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viasplace-my.sharepoint.com/personal/muhammad_juviasplace_com/Documents/ULTA Portal/Monthly Shipment Forecast/"/>
    </mc:Choice>
  </mc:AlternateContent>
  <xr:revisionPtr revIDLastSave="74" documentId="11_F1F50A4F3615A26DF6E56A97650B3744A939EDA1" xr6:coauthVersionLast="47" xr6:coauthVersionMax="47" xr10:uidLastSave="{739353F4-0843-4C3F-AEDD-8D2C7928ECC4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  <sheet name="Definitions_and_Disclaimer" sheetId="2" r:id="rId3"/>
  </sheets>
  <externalReferences>
    <externalReference r:id="rId4"/>
  </externalReferences>
  <definedNames>
    <definedName name="_xlnm._FilterDatabase" localSheetId="0" hidden="1">Sheet1!$A$8:$AL$639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40" i="1" l="1"/>
  <c r="AS208" i="1"/>
  <c r="AS209" i="1"/>
  <c r="AS210" i="1"/>
  <c r="AS211" i="1"/>
  <c r="AS207" i="1"/>
  <c r="AR208" i="1"/>
  <c r="AT208" i="1" s="1"/>
  <c r="AR209" i="1"/>
  <c r="AT209" i="1" s="1"/>
  <c r="AR210" i="1"/>
  <c r="AT210" i="1" s="1"/>
  <c r="AR211" i="1"/>
  <c r="AT211" i="1" s="1"/>
  <c r="AR207" i="1"/>
  <c r="AT207" i="1" s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K630" i="1" s="1"/>
  <c r="AB630" i="1"/>
  <c r="AC630" i="1"/>
  <c r="AD630" i="1"/>
  <c r="AE630" i="1"/>
  <c r="AF630" i="1"/>
  <c r="AG630" i="1"/>
  <c r="AH630" i="1"/>
  <c r="AA631" i="1"/>
  <c r="AK631" i="1" s="1"/>
  <c r="AB631" i="1"/>
  <c r="AC631" i="1"/>
  <c r="AD631" i="1"/>
  <c r="AE631" i="1"/>
  <c r="AF631" i="1"/>
  <c r="AG631" i="1"/>
  <c r="AH631" i="1"/>
  <c r="AA632" i="1"/>
  <c r="AK632" i="1" s="1"/>
  <c r="AB632" i="1"/>
  <c r="AC632" i="1"/>
  <c r="AD632" i="1"/>
  <c r="AE632" i="1"/>
  <c r="AF632" i="1"/>
  <c r="AG632" i="1"/>
  <c r="AH632" i="1"/>
  <c r="AA633" i="1"/>
  <c r="AK633" i="1" s="1"/>
  <c r="AB633" i="1"/>
  <c r="AC633" i="1"/>
  <c r="AD633" i="1"/>
  <c r="AE633" i="1"/>
  <c r="AF633" i="1"/>
  <c r="AG633" i="1"/>
  <c r="AH633" i="1"/>
  <c r="AA634" i="1"/>
  <c r="AK634" i="1" s="1"/>
  <c r="AB634" i="1"/>
  <c r="AC634" i="1"/>
  <c r="AD634" i="1"/>
  <c r="AE634" i="1"/>
  <c r="AF634" i="1"/>
  <c r="AG634" i="1"/>
  <c r="AH634" i="1"/>
  <c r="AA635" i="1"/>
  <c r="AK635" i="1" s="1"/>
  <c r="AB635" i="1"/>
  <c r="AC635" i="1"/>
  <c r="AD635" i="1"/>
  <c r="AE635" i="1"/>
  <c r="AF635" i="1"/>
  <c r="AG635" i="1"/>
  <c r="AH635" i="1"/>
  <c r="AA636" i="1"/>
  <c r="AK636" i="1" s="1"/>
  <c r="AL636" i="1" s="1"/>
  <c r="AB636" i="1"/>
  <c r="AC636" i="1"/>
  <c r="AD636" i="1"/>
  <c r="AE636" i="1"/>
  <c r="AF636" i="1"/>
  <c r="AG636" i="1"/>
  <c r="AH636" i="1"/>
  <c r="AA637" i="1"/>
  <c r="AK637" i="1" s="1"/>
  <c r="AB637" i="1"/>
  <c r="AC637" i="1"/>
  <c r="AD637" i="1"/>
  <c r="AE637" i="1"/>
  <c r="AF637" i="1"/>
  <c r="AG637" i="1"/>
  <c r="AH637" i="1"/>
  <c r="AA638" i="1"/>
  <c r="AK638" i="1" s="1"/>
  <c r="AB638" i="1"/>
  <c r="AC638" i="1"/>
  <c r="AD638" i="1"/>
  <c r="AE638" i="1"/>
  <c r="AF638" i="1"/>
  <c r="AG638" i="1"/>
  <c r="AH638" i="1"/>
  <c r="AA639" i="1"/>
  <c r="AK639" i="1" s="1"/>
  <c r="AB639" i="1"/>
  <c r="AC639" i="1"/>
  <c r="AD639" i="1"/>
  <c r="AE639" i="1"/>
  <c r="AF639" i="1"/>
  <c r="AG639" i="1"/>
  <c r="AH639" i="1"/>
  <c r="AA10" i="1"/>
  <c r="AB9" i="1"/>
  <c r="AB156" i="1" s="1"/>
  <c r="AB571" i="1" l="1"/>
  <c r="AB590" i="1"/>
  <c r="AB465" i="1"/>
  <c r="AB541" i="1"/>
  <c r="AB300" i="1"/>
  <c r="AB550" i="1"/>
  <c r="AL634" i="1"/>
  <c r="AB126" i="1"/>
  <c r="AB625" i="1"/>
  <c r="AB518" i="1"/>
  <c r="AL635" i="1"/>
  <c r="AL633" i="1"/>
  <c r="AB618" i="1"/>
  <c r="AB576" i="1"/>
  <c r="AB493" i="1"/>
  <c r="AB391" i="1"/>
  <c r="AB317" i="1"/>
  <c r="AB549" i="1"/>
  <c r="AB481" i="1"/>
  <c r="AB538" i="1"/>
  <c r="AB379" i="1"/>
  <c r="AB608" i="1"/>
  <c r="AB561" i="1"/>
  <c r="AB342" i="1"/>
  <c r="AB528" i="1"/>
  <c r="AB285" i="1"/>
  <c r="AB600" i="1"/>
  <c r="AB479" i="1"/>
  <c r="AB573" i="1"/>
  <c r="AB488" i="1"/>
  <c r="AB274" i="1"/>
  <c r="AB169" i="1"/>
  <c r="AB264" i="1"/>
  <c r="AB162" i="1"/>
  <c r="AB199" i="1"/>
  <c r="AB220" i="1"/>
  <c r="AB286" i="1"/>
  <c r="AB311" i="1"/>
  <c r="AB320" i="1"/>
  <c r="AB327" i="1"/>
  <c r="AB83" i="1"/>
  <c r="AB211" i="1"/>
  <c r="AB234" i="1"/>
  <c r="AB246" i="1"/>
  <c r="AB295" i="1"/>
  <c r="AB490" i="1"/>
  <c r="AB497" i="1"/>
  <c r="AB504" i="1"/>
  <c r="AB530" i="1"/>
  <c r="AB536" i="1"/>
  <c r="AB557" i="1"/>
  <c r="AB564" i="1"/>
  <c r="AB574" i="1"/>
  <c r="AB591" i="1"/>
  <c r="AB597" i="1"/>
  <c r="AB603" i="1"/>
  <c r="AB609" i="1"/>
  <c r="AB615" i="1"/>
  <c r="AB287" i="1"/>
  <c r="AB305" i="1"/>
  <c r="AB336" i="1"/>
  <c r="AB352" i="1"/>
  <c r="AB393" i="1"/>
  <c r="AB451" i="1"/>
  <c r="AB483" i="1"/>
  <c r="AB511" i="1"/>
  <c r="AB523" i="1"/>
  <c r="AB545" i="1"/>
  <c r="AB569" i="1"/>
  <c r="AB585" i="1"/>
  <c r="AB628" i="1"/>
  <c r="AB270" i="1"/>
  <c r="AB280" i="1"/>
  <c r="AB328" i="1"/>
  <c r="AB345" i="1"/>
  <c r="AB401" i="1"/>
  <c r="AB417" i="1"/>
  <c r="AB425" i="1"/>
  <c r="AB435" i="1"/>
  <c r="AB459" i="1"/>
  <c r="AB498" i="1"/>
  <c r="AB558" i="1"/>
  <c r="AB580" i="1"/>
  <c r="AB616" i="1"/>
  <c r="AB140" i="1"/>
  <c r="AB153" i="1"/>
  <c r="AB164" i="1"/>
  <c r="AB505" i="1"/>
  <c r="AB598" i="1"/>
  <c r="AB296" i="1"/>
  <c r="AB552" i="1"/>
  <c r="AB59" i="1"/>
  <c r="AB109" i="1"/>
  <c r="AB141" i="1"/>
  <c r="AB191" i="1"/>
  <c r="AB132" i="1"/>
  <c r="AB181" i="1"/>
  <c r="AB203" i="1"/>
  <c r="AB329" i="1"/>
  <c r="AB354" i="1"/>
  <c r="AB369" i="1"/>
  <c r="AB469" i="1"/>
  <c r="AB484" i="1"/>
  <c r="AB499" i="1"/>
  <c r="AB506" i="1"/>
  <c r="AB525" i="1"/>
  <c r="AB546" i="1"/>
  <c r="AB553" i="1"/>
  <c r="AB570" i="1"/>
  <c r="AB629" i="1"/>
  <c r="AB502" i="1"/>
  <c r="AB455" i="1"/>
  <c r="AB427" i="1"/>
  <c r="AB373" i="1"/>
  <c r="AB310" i="1"/>
  <c r="AB217" i="1"/>
  <c r="AB381" i="1"/>
  <c r="AB11" i="1"/>
  <c r="AB516" i="1"/>
  <c r="AB617" i="1"/>
  <c r="AB509" i="1"/>
  <c r="AB389" i="1"/>
  <c r="AB308" i="1"/>
  <c r="AB277" i="1"/>
  <c r="AB228" i="1"/>
  <c r="AB51" i="1"/>
  <c r="AB601" i="1"/>
  <c r="AB334" i="1"/>
  <c r="AB423" i="1"/>
  <c r="AB397" i="1"/>
  <c r="AB323" i="1"/>
  <c r="AB238" i="1"/>
  <c r="AB607" i="1"/>
  <c r="AB560" i="1"/>
  <c r="AB314" i="1"/>
  <c r="AB513" i="1"/>
  <c r="AB350" i="1"/>
  <c r="AB527" i="1"/>
  <c r="AB449" i="1"/>
  <c r="AB413" i="1"/>
  <c r="AB303" i="1"/>
  <c r="AB183" i="1"/>
  <c r="AB117" i="1"/>
  <c r="AB103" i="1"/>
  <c r="AB363" i="1"/>
  <c r="AB531" i="1"/>
  <c r="AB437" i="1"/>
  <c r="AB326" i="1"/>
  <c r="AB602" i="1"/>
  <c r="AB445" i="1"/>
  <c r="AB266" i="1"/>
  <c r="AB568" i="1"/>
  <c r="AB623" i="1"/>
  <c r="AB581" i="1"/>
  <c r="AB554" i="1"/>
  <c r="AB145" i="1"/>
  <c r="AB433" i="1"/>
  <c r="AB294" i="1"/>
  <c r="AB621" i="1"/>
  <c r="AB593" i="1"/>
  <c r="AB544" i="1"/>
  <c r="AB599" i="1"/>
  <c r="AB584" i="1"/>
  <c r="AB578" i="1"/>
  <c r="AB559" i="1"/>
  <c r="AB534" i="1"/>
  <c r="AB520" i="1"/>
  <c r="AB512" i="1"/>
  <c r="AB487" i="1"/>
  <c r="AB395" i="1"/>
  <c r="AB385" i="1"/>
  <c r="AB339" i="1"/>
  <c r="AB293" i="1"/>
  <c r="AB283" i="1"/>
  <c r="AB88" i="1"/>
  <c r="AB135" i="1"/>
  <c r="AB624" i="1"/>
  <c r="AB562" i="1"/>
  <c r="AB453" i="1"/>
  <c r="AB335" i="1"/>
  <c r="AB587" i="1"/>
  <c r="AB548" i="1"/>
  <c r="AB575" i="1"/>
  <c r="AB529" i="1"/>
  <c r="AB407" i="1"/>
  <c r="AB522" i="1"/>
  <c r="AB306" i="1"/>
  <c r="AB507" i="1"/>
  <c r="AB157" i="1"/>
  <c r="AB332" i="1"/>
  <c r="AB104" i="1"/>
  <c r="AB567" i="1"/>
  <c r="AB535" i="1"/>
  <c r="AB606" i="1"/>
  <c r="AB592" i="1"/>
  <c r="AB613" i="1"/>
  <c r="AB566" i="1"/>
  <c r="AB551" i="1"/>
  <c r="AB543" i="1"/>
  <c r="AB526" i="1"/>
  <c r="AB495" i="1"/>
  <c r="AB477" i="1"/>
  <c r="AB439" i="1"/>
  <c r="AB421" i="1"/>
  <c r="AB375" i="1"/>
  <c r="AB356" i="1"/>
  <c r="AB330" i="1"/>
  <c r="AB206" i="1"/>
  <c r="AB290" i="1"/>
  <c r="AB589" i="1"/>
  <c r="AB39" i="1"/>
  <c r="AB596" i="1"/>
  <c r="AB555" i="1"/>
  <c r="AB316" i="1"/>
  <c r="AB242" i="1"/>
  <c r="AB582" i="1"/>
  <c r="AB539" i="1"/>
  <c r="AB500" i="1"/>
  <c r="AB325" i="1"/>
  <c r="AB361" i="1"/>
  <c r="AB187" i="1"/>
  <c r="AB122" i="1"/>
  <c r="AC9" i="1"/>
  <c r="AC351" i="1" s="1"/>
  <c r="AB515" i="1"/>
  <c r="AB461" i="1"/>
  <c r="AB351" i="1"/>
  <c r="AB10" i="1"/>
  <c r="AB622" i="1"/>
  <c r="AB489" i="1"/>
  <c r="AB341" i="1"/>
  <c r="AB250" i="1"/>
  <c r="AB614" i="1"/>
  <c r="AB521" i="1"/>
  <c r="AB405" i="1"/>
  <c r="AB626" i="1"/>
  <c r="AB619" i="1"/>
  <c r="AB605" i="1"/>
  <c r="AB486" i="1"/>
  <c r="AB457" i="1"/>
  <c r="AB429" i="1"/>
  <c r="AB403" i="1"/>
  <c r="AB348" i="1"/>
  <c r="AB301" i="1"/>
  <c r="AB282" i="1"/>
  <c r="AB87" i="1"/>
  <c r="AB510" i="1"/>
  <c r="AB419" i="1"/>
  <c r="AB299" i="1"/>
  <c r="AB610" i="1"/>
  <c r="AB254" i="1"/>
  <c r="AB371" i="1"/>
  <c r="AB594" i="1"/>
  <c r="AB443" i="1"/>
  <c r="AB471" i="1"/>
  <c r="AB415" i="1"/>
  <c r="AB315" i="1"/>
  <c r="AB586" i="1"/>
  <c r="AB612" i="1"/>
  <c r="AB583" i="1"/>
  <c r="AB577" i="1"/>
  <c r="AB565" i="1"/>
  <c r="AB532" i="1"/>
  <c r="AB503" i="1"/>
  <c r="AB494" i="1"/>
  <c r="AB447" i="1"/>
  <c r="AB411" i="1"/>
  <c r="AB383" i="1"/>
  <c r="AB355" i="1"/>
  <c r="AB100" i="1"/>
  <c r="AB173" i="1"/>
  <c r="AB106" i="1"/>
  <c r="AB92" i="1"/>
  <c r="AB23" i="1"/>
  <c r="AB542" i="1"/>
  <c r="AB537" i="1"/>
  <c r="AB519" i="1"/>
  <c r="AB514" i="1"/>
  <c r="AB496" i="1"/>
  <c r="AB491" i="1"/>
  <c r="AB475" i="1"/>
  <c r="AB467" i="1"/>
  <c r="AB387" i="1"/>
  <c r="AB344" i="1"/>
  <c r="AB321" i="1"/>
  <c r="AB304" i="1"/>
  <c r="AB272" i="1"/>
  <c r="AB12" i="1"/>
  <c r="AB14" i="1"/>
  <c r="AB16" i="1"/>
  <c r="AB18" i="1"/>
  <c r="AB20" i="1"/>
  <c r="AB22" i="1"/>
  <c r="AB24" i="1"/>
  <c r="AB26" i="1"/>
  <c r="AB28" i="1"/>
  <c r="AB30" i="1"/>
  <c r="AB32" i="1"/>
  <c r="AB34" i="1"/>
  <c r="AB36" i="1"/>
  <c r="AB38" i="1"/>
  <c r="AB40" i="1"/>
  <c r="AB42" i="1"/>
  <c r="AB29" i="1"/>
  <c r="AB52" i="1"/>
  <c r="AB69" i="1"/>
  <c r="AB84" i="1"/>
  <c r="AB101" i="1"/>
  <c r="AB116" i="1"/>
  <c r="AB133" i="1"/>
  <c r="AB148" i="1"/>
  <c r="AB165" i="1"/>
  <c r="AB180" i="1"/>
  <c r="AB182" i="1"/>
  <c r="AB184" i="1"/>
  <c r="AB186" i="1"/>
  <c r="AB188" i="1"/>
  <c r="AB190" i="1"/>
  <c r="AB192" i="1"/>
  <c r="AB194" i="1"/>
  <c r="AB196" i="1"/>
  <c r="AB198" i="1"/>
  <c r="AB200" i="1"/>
  <c r="AB202" i="1"/>
  <c r="AB35" i="1"/>
  <c r="AB50" i="1"/>
  <c r="AB67" i="1"/>
  <c r="AB82" i="1"/>
  <c r="AB99" i="1"/>
  <c r="AB114" i="1"/>
  <c r="AB131" i="1"/>
  <c r="AB146" i="1"/>
  <c r="AB163" i="1"/>
  <c r="AB178" i="1"/>
  <c r="AB41" i="1"/>
  <c r="AB48" i="1"/>
  <c r="AB65" i="1"/>
  <c r="AB80" i="1"/>
  <c r="AB97" i="1"/>
  <c r="AB112" i="1"/>
  <c r="AB129" i="1"/>
  <c r="AB144" i="1"/>
  <c r="AB161" i="1"/>
  <c r="AB176" i="1"/>
  <c r="AB15" i="1"/>
  <c r="AB46" i="1"/>
  <c r="AB63" i="1"/>
  <c r="AB78" i="1"/>
  <c r="AB95" i="1"/>
  <c r="AB110" i="1"/>
  <c r="AB127" i="1"/>
  <c r="AB142" i="1"/>
  <c r="AB159" i="1"/>
  <c r="AB174" i="1"/>
  <c r="AB21" i="1"/>
  <c r="AB44" i="1"/>
  <c r="AB61" i="1"/>
  <c r="AB76" i="1"/>
  <c r="AB93" i="1"/>
  <c r="AB108" i="1"/>
  <c r="AB43" i="1"/>
  <c r="AB55" i="1"/>
  <c r="AB81" i="1"/>
  <c r="AB90" i="1"/>
  <c r="AB136" i="1"/>
  <c r="AB152" i="1"/>
  <c r="AB195" i="1"/>
  <c r="AB207" i="1"/>
  <c r="AB216" i="1"/>
  <c r="AB225" i="1"/>
  <c r="AB227" i="1"/>
  <c r="AB229" i="1"/>
  <c r="AB231" i="1"/>
  <c r="AB233" i="1"/>
  <c r="AB235" i="1"/>
  <c r="AB237" i="1"/>
  <c r="AB239" i="1"/>
  <c r="AB241" i="1"/>
  <c r="AB243" i="1"/>
  <c r="AB245" i="1"/>
  <c r="AB247" i="1"/>
  <c r="AB249" i="1"/>
  <c r="AB251" i="1"/>
  <c r="AB253" i="1"/>
  <c r="AB255" i="1"/>
  <c r="AB257" i="1"/>
  <c r="AB259" i="1"/>
  <c r="AB261" i="1"/>
  <c r="AB263" i="1"/>
  <c r="AB265" i="1"/>
  <c r="AB267" i="1"/>
  <c r="AB269" i="1"/>
  <c r="AB271" i="1"/>
  <c r="AB49" i="1"/>
  <c r="AB58" i="1"/>
  <c r="AB96" i="1"/>
  <c r="AB102" i="1"/>
  <c r="AB166" i="1"/>
  <c r="AB223" i="1"/>
  <c r="AB64" i="1"/>
  <c r="AB70" i="1"/>
  <c r="AB128" i="1"/>
  <c r="AB158" i="1"/>
  <c r="AB185" i="1"/>
  <c r="AB205" i="1"/>
  <c r="AB214" i="1"/>
  <c r="AB221" i="1"/>
  <c r="AB105" i="1"/>
  <c r="AB123" i="1"/>
  <c r="AB139" i="1"/>
  <c r="AB147" i="1"/>
  <c r="AB172" i="1"/>
  <c r="AB177" i="1"/>
  <c r="AB193" i="1"/>
  <c r="AB17" i="1"/>
  <c r="AB31" i="1"/>
  <c r="AB45" i="1"/>
  <c r="AB60" i="1"/>
  <c r="AB218" i="1"/>
  <c r="AB27" i="1"/>
  <c r="AB53" i="1"/>
  <c r="AB57" i="1"/>
  <c r="AB71" i="1"/>
  <c r="AB94" i="1"/>
  <c r="AB119" i="1"/>
  <c r="AB201" i="1"/>
  <c r="AB232" i="1"/>
  <c r="AB240" i="1"/>
  <c r="AB248" i="1"/>
  <c r="AB13" i="1"/>
  <c r="AB68" i="1"/>
  <c r="AB79" i="1"/>
  <c r="AB86" i="1"/>
  <c r="AB137" i="1"/>
  <c r="AB154" i="1"/>
  <c r="AB168" i="1"/>
  <c r="AB171" i="1"/>
  <c r="AB210" i="1"/>
  <c r="AB224" i="1"/>
  <c r="AB258" i="1"/>
  <c r="AB33" i="1"/>
  <c r="AB37" i="1"/>
  <c r="AB72" i="1"/>
  <c r="AB75" i="1"/>
  <c r="AB91" i="1"/>
  <c r="AB130" i="1"/>
  <c r="AB134" i="1"/>
  <c r="AB151" i="1"/>
  <c r="AB175" i="1"/>
  <c r="AB204" i="1"/>
  <c r="AB213" i="1"/>
  <c r="AB219" i="1"/>
  <c r="AB56" i="1"/>
  <c r="AB120" i="1"/>
  <c r="AB236" i="1"/>
  <c r="AB273" i="1"/>
  <c r="AB276" i="1"/>
  <c r="AB281" i="1"/>
  <c r="AB284" i="1"/>
  <c r="AB289" i="1"/>
  <c r="AB292" i="1"/>
  <c r="AB309" i="1"/>
  <c r="AB25" i="1"/>
  <c r="AB115" i="1"/>
  <c r="AB150" i="1"/>
  <c r="AB167" i="1"/>
  <c r="AB208" i="1"/>
  <c r="AB215" i="1"/>
  <c r="AB256" i="1"/>
  <c r="AB262" i="1"/>
  <c r="AB302" i="1"/>
  <c r="AB319" i="1"/>
  <c r="AB324" i="1"/>
  <c r="AB333" i="1"/>
  <c r="AB340" i="1"/>
  <c r="AB349" i="1"/>
  <c r="AB19" i="1"/>
  <c r="AB89" i="1"/>
  <c r="AB111" i="1"/>
  <c r="AB138" i="1"/>
  <c r="AB155" i="1"/>
  <c r="AB189" i="1"/>
  <c r="AB226" i="1"/>
  <c r="AB268" i="1"/>
  <c r="AB297" i="1"/>
  <c r="AB312" i="1"/>
  <c r="AB360" i="1"/>
  <c r="AB362" i="1"/>
  <c r="AB364" i="1"/>
  <c r="AB366" i="1"/>
  <c r="AB368" i="1"/>
  <c r="AB370" i="1"/>
  <c r="AB372" i="1"/>
  <c r="AB374" i="1"/>
  <c r="AB376" i="1"/>
  <c r="AB378" i="1"/>
  <c r="AB380" i="1"/>
  <c r="AB382" i="1"/>
  <c r="AB384" i="1"/>
  <c r="AB386" i="1"/>
  <c r="AB388" i="1"/>
  <c r="AB390" i="1"/>
  <c r="AB392" i="1"/>
  <c r="AB394" i="1"/>
  <c r="AB396" i="1"/>
  <c r="AB398" i="1"/>
  <c r="AB400" i="1"/>
  <c r="AB402" i="1"/>
  <c r="AB404" i="1"/>
  <c r="AB406" i="1"/>
  <c r="AB408" i="1"/>
  <c r="AB410" i="1"/>
  <c r="AB412" i="1"/>
  <c r="AB414" i="1"/>
  <c r="AB416" i="1"/>
  <c r="AB418" i="1"/>
  <c r="AB420" i="1"/>
  <c r="AB422" i="1"/>
  <c r="AB424" i="1"/>
  <c r="AB426" i="1"/>
  <c r="AB428" i="1"/>
  <c r="AB430" i="1"/>
  <c r="AB432" i="1"/>
  <c r="AB434" i="1"/>
  <c r="AB436" i="1"/>
  <c r="AB438" i="1"/>
  <c r="AB440" i="1"/>
  <c r="AB442" i="1"/>
  <c r="AB444" i="1"/>
  <c r="AB446" i="1"/>
  <c r="AB448" i="1"/>
  <c r="AB450" i="1"/>
  <c r="AB452" i="1"/>
  <c r="AB454" i="1"/>
  <c r="AB456" i="1"/>
  <c r="AB458" i="1"/>
  <c r="AB460" i="1"/>
  <c r="AB462" i="1"/>
  <c r="AB464" i="1"/>
  <c r="AB466" i="1"/>
  <c r="AB468" i="1"/>
  <c r="AB470" i="1"/>
  <c r="AB472" i="1"/>
  <c r="AB474" i="1"/>
  <c r="AB476" i="1"/>
  <c r="AB478" i="1"/>
  <c r="AB480" i="1"/>
  <c r="AB482" i="1"/>
  <c r="AB62" i="1"/>
  <c r="AB66" i="1"/>
  <c r="AB98" i="1"/>
  <c r="AB121" i="1"/>
  <c r="AB125" i="1"/>
  <c r="AB197" i="1"/>
  <c r="AB212" i="1"/>
  <c r="AB230" i="1"/>
  <c r="AB307" i="1"/>
  <c r="AB322" i="1"/>
  <c r="AB331" i="1"/>
  <c r="AB338" i="1"/>
  <c r="AB347" i="1"/>
  <c r="AB358" i="1"/>
  <c r="AB54" i="1"/>
  <c r="AB73" i="1"/>
  <c r="AB143" i="1"/>
  <c r="AB222" i="1"/>
  <c r="AB85" i="1"/>
  <c r="AB170" i="1"/>
  <c r="AB179" i="1"/>
  <c r="AB244" i="1"/>
  <c r="AB252" i="1"/>
  <c r="AB288" i="1"/>
  <c r="AB313" i="1"/>
  <c r="AB367" i="1"/>
  <c r="AB399" i="1"/>
  <c r="AB431" i="1"/>
  <c r="AB463" i="1"/>
  <c r="AB485" i="1"/>
  <c r="AB501" i="1"/>
  <c r="AB517" i="1"/>
  <c r="AB533" i="1"/>
  <c r="AB113" i="1"/>
  <c r="AB118" i="1"/>
  <c r="AB74" i="1"/>
  <c r="AB107" i="1"/>
  <c r="AB124" i="1"/>
  <c r="AB149" i="1"/>
  <c r="AB209" i="1"/>
  <c r="AB260" i="1"/>
  <c r="AB278" i="1"/>
  <c r="AB291" i="1"/>
  <c r="AB298" i="1"/>
  <c r="AB337" i="1"/>
  <c r="AB343" i="1"/>
  <c r="AB346" i="1"/>
  <c r="AB357" i="1"/>
  <c r="AB377" i="1"/>
  <c r="AB409" i="1"/>
  <c r="AB441" i="1"/>
  <c r="AB473" i="1"/>
  <c r="AB492" i="1"/>
  <c r="AB508" i="1"/>
  <c r="AB524" i="1"/>
  <c r="AB540" i="1"/>
  <c r="AB160" i="1"/>
  <c r="AB627" i="1"/>
  <c r="AB620" i="1"/>
  <c r="AB611" i="1"/>
  <c r="AB604" i="1"/>
  <c r="AB595" i="1"/>
  <c r="AB588" i="1"/>
  <c r="AB579" i="1"/>
  <c r="AB572" i="1"/>
  <c r="AB563" i="1"/>
  <c r="AB556" i="1"/>
  <c r="AB547" i="1"/>
  <c r="AB365" i="1"/>
  <c r="AB359" i="1"/>
  <c r="AB353" i="1"/>
  <c r="AB318" i="1"/>
  <c r="AB279" i="1"/>
  <c r="AB275" i="1"/>
  <c r="AB77" i="1"/>
  <c r="AB47" i="1"/>
  <c r="AL638" i="1"/>
  <c r="AL631" i="1"/>
  <c r="AL630" i="1"/>
  <c r="AL632" i="1"/>
  <c r="AL639" i="1"/>
  <c r="AL637" i="1"/>
  <c r="AC112" i="1" l="1"/>
  <c r="AC26" i="1"/>
  <c r="AC97" i="1"/>
  <c r="AC352" i="1"/>
  <c r="AC563" i="1"/>
  <c r="AC556" i="1"/>
  <c r="AC77" i="1"/>
  <c r="AC100" i="1"/>
  <c r="AC424" i="1"/>
  <c r="AC66" i="1"/>
  <c r="AC172" i="1"/>
  <c r="AC385" i="1"/>
  <c r="AC530" i="1"/>
  <c r="AC426" i="1"/>
  <c r="AC236" i="1"/>
  <c r="AC159" i="1"/>
  <c r="AC200" i="1"/>
  <c r="AC422" i="1"/>
  <c r="AC336" i="1"/>
  <c r="AC166" i="1"/>
  <c r="AC381" i="1"/>
  <c r="AC108" i="1"/>
  <c r="AC433" i="1"/>
  <c r="AC129" i="1"/>
  <c r="AC344" i="1"/>
  <c r="AC402" i="1"/>
  <c r="AC257" i="1"/>
  <c r="AC493" i="1"/>
  <c r="AC520" i="1"/>
  <c r="AC249" i="1"/>
  <c r="AC483" i="1"/>
  <c r="AC392" i="1"/>
  <c r="AC247" i="1"/>
  <c r="AC149" i="1"/>
  <c r="AC390" i="1"/>
  <c r="AC245" i="1"/>
  <c r="AC517" i="1"/>
  <c r="AC225" i="1"/>
  <c r="AC264" i="1"/>
  <c r="AC88" i="1"/>
  <c r="AC47" i="1"/>
  <c r="AC348" i="1"/>
  <c r="AC370" i="1"/>
  <c r="AC488" i="1"/>
  <c r="AC152" i="1"/>
  <c r="AC486" i="1"/>
  <c r="AC136" i="1"/>
  <c r="AC607" i="1"/>
  <c r="AC244" i="1"/>
  <c r="AC147" i="1"/>
  <c r="AC74" i="1"/>
  <c r="AC17" i="1"/>
  <c r="AC615" i="1"/>
  <c r="AC304" i="1"/>
  <c r="AC22" i="1"/>
  <c r="AC456" i="1"/>
  <c r="AC324" i="1"/>
  <c r="AC181" i="1"/>
  <c r="AC122" i="1"/>
  <c r="AC23" i="1"/>
  <c r="AC339" i="1"/>
  <c r="AC485" i="1"/>
  <c r="AC198" i="1"/>
  <c r="AC311" i="1"/>
  <c r="AC312" i="1"/>
  <c r="AC90" i="1"/>
  <c r="AC458" i="1"/>
  <c r="AC171" i="1"/>
  <c r="AC329" i="1"/>
  <c r="AC272" i="1"/>
  <c r="AC453" i="1"/>
  <c r="AC454" i="1"/>
  <c r="AC319" i="1"/>
  <c r="AC164" i="1"/>
  <c r="AC113" i="1"/>
  <c r="AC505" i="1"/>
  <c r="AC449" i="1"/>
  <c r="AC522" i="1"/>
  <c r="AC246" i="1"/>
  <c r="AC80" i="1"/>
  <c r="AC234" i="1"/>
  <c r="AC394" i="1"/>
  <c r="AC114" i="1"/>
  <c r="AC612" i="1"/>
  <c r="AC518" i="1"/>
  <c r="AC51" i="1"/>
  <c r="AC50" i="1"/>
  <c r="AC625" i="1"/>
  <c r="AC498" i="1"/>
  <c r="AC35" i="1"/>
  <c r="AC145" i="1"/>
  <c r="AC490" i="1"/>
  <c r="AC13" i="1"/>
  <c r="AC18" i="1"/>
  <c r="AC622" i="1"/>
  <c r="AC12" i="1"/>
  <c r="AC497" i="1"/>
  <c r="AC604" i="1"/>
  <c r="AC134" i="1"/>
  <c r="AC440" i="1"/>
  <c r="AC302" i="1"/>
  <c r="AC143" i="1"/>
  <c r="AC93" i="1"/>
  <c r="AC549" i="1"/>
  <c r="AC191" i="1"/>
  <c r="AC535" i="1"/>
  <c r="AC501" i="1"/>
  <c r="AC362" i="1"/>
  <c r="AC201" i="1"/>
  <c r="AC116" i="1"/>
  <c r="AC541" i="1"/>
  <c r="AC360" i="1"/>
  <c r="AC52" i="1"/>
  <c r="AC466" i="1"/>
  <c r="AC29" i="1"/>
  <c r="AC321" i="1"/>
  <c r="AC19" i="1"/>
  <c r="AC332" i="1"/>
  <c r="AC572" i="1"/>
  <c r="AC106" i="1"/>
  <c r="AC434" i="1"/>
  <c r="AC284" i="1"/>
  <c r="AC70" i="1"/>
  <c r="AC15" i="1"/>
  <c r="AC552" i="1"/>
  <c r="AC305" i="1"/>
  <c r="AC33" i="1"/>
  <c r="AC399" i="1"/>
  <c r="AC512" i="1"/>
  <c r="AC416" i="1"/>
  <c r="AC215" i="1"/>
  <c r="AC56" i="1"/>
  <c r="AC57" i="1"/>
  <c r="AC58" i="1"/>
  <c r="AC55" i="1"/>
  <c r="AC48" i="1"/>
  <c r="AC135" i="1"/>
  <c r="AC546" i="1"/>
  <c r="AC519" i="1"/>
  <c r="AC347" i="1"/>
  <c r="AC328" i="1"/>
  <c r="AC510" i="1"/>
  <c r="AC446" i="1"/>
  <c r="AC382" i="1"/>
  <c r="AC208" i="1"/>
  <c r="AC53" i="1"/>
  <c r="AC49" i="1"/>
  <c r="AC43" i="1"/>
  <c r="AC41" i="1"/>
  <c r="AC118" i="1"/>
  <c r="AC459" i="1"/>
  <c r="AC423" i="1"/>
  <c r="AC177" i="1"/>
  <c r="AC565" i="1"/>
  <c r="AC287" i="1"/>
  <c r="AC475" i="1"/>
  <c r="AC353" i="1"/>
  <c r="AC331" i="1"/>
  <c r="AC313" i="1"/>
  <c r="AC325" i="1"/>
  <c r="AC540" i="1"/>
  <c r="AC508" i="1"/>
  <c r="AC476" i="1"/>
  <c r="AC444" i="1"/>
  <c r="AC412" i="1"/>
  <c r="AC380" i="1"/>
  <c r="AC151" i="1"/>
  <c r="AC193" i="1"/>
  <c r="AC342" i="1"/>
  <c r="AC154" i="1"/>
  <c r="AC27" i="1"/>
  <c r="AC205" i="1"/>
  <c r="AC40" i="1"/>
  <c r="AC235" i="1"/>
  <c r="AC36" i="1"/>
  <c r="AC95" i="1"/>
  <c r="AC24" i="1"/>
  <c r="AC182" i="1"/>
  <c r="AC103" i="1"/>
  <c r="AC623" i="1"/>
  <c r="AC162" i="1"/>
  <c r="AC303" i="1"/>
  <c r="AC301" i="1"/>
  <c r="AC373" i="1"/>
  <c r="AC544" i="1"/>
  <c r="AC448" i="1"/>
  <c r="AC226" i="1"/>
  <c r="AC210" i="1"/>
  <c r="AC221" i="1"/>
  <c r="AC239" i="1"/>
  <c r="AC186" i="1"/>
  <c r="AC523" i="1"/>
  <c r="AC443" i="1"/>
  <c r="AC469" i="1"/>
  <c r="AC298" i="1"/>
  <c r="AC359" i="1"/>
  <c r="AC367" i="1"/>
  <c r="AC542" i="1"/>
  <c r="AC478" i="1"/>
  <c r="AC414" i="1"/>
  <c r="AC189" i="1"/>
  <c r="AC168" i="1"/>
  <c r="AC214" i="1"/>
  <c r="AC237" i="1"/>
  <c r="AC110" i="1"/>
  <c r="AC184" i="1"/>
  <c r="AC597" i="1"/>
  <c r="AC465" i="1"/>
  <c r="AC206" i="1"/>
  <c r="AC568" i="1"/>
  <c r="AC238" i="1"/>
  <c r="AC467" i="1"/>
  <c r="AC338" i="1"/>
  <c r="AC209" i="1"/>
  <c r="AC307" i="1"/>
  <c r="AC170" i="1"/>
  <c r="AC538" i="1"/>
  <c r="AC506" i="1"/>
  <c r="AC474" i="1"/>
  <c r="AC442" i="1"/>
  <c r="AC410" i="1"/>
  <c r="AC378" i="1"/>
  <c r="AC138" i="1"/>
  <c r="AC25" i="1"/>
  <c r="AC335" i="1"/>
  <c r="AC137" i="1"/>
  <c r="AC218" i="1"/>
  <c r="AC185" i="1"/>
  <c r="AC265" i="1"/>
  <c r="AC233" i="1"/>
  <c r="AC28" i="1"/>
  <c r="AC78" i="1"/>
  <c r="AC178" i="1"/>
  <c r="AC180" i="1"/>
  <c r="AC86" i="1"/>
  <c r="AC317" i="1"/>
  <c r="AC369" i="1"/>
  <c r="AC408" i="1"/>
  <c r="AC376" i="1"/>
  <c r="AC111" i="1"/>
  <c r="AC309" i="1"/>
  <c r="AC326" i="1"/>
  <c r="AC105" i="1"/>
  <c r="AC60" i="1"/>
  <c r="AC158" i="1"/>
  <c r="AC263" i="1"/>
  <c r="AC231" i="1"/>
  <c r="AC20" i="1"/>
  <c r="AC63" i="1"/>
  <c r="AC163" i="1"/>
  <c r="AC165" i="1"/>
  <c r="AC71" i="1"/>
  <c r="AC600" i="1"/>
  <c r="AC437" i="1"/>
  <c r="AC562" i="1"/>
  <c r="AC584" i="1"/>
  <c r="AC279" i="1"/>
  <c r="AC271" i="1"/>
  <c r="AC534" i="1"/>
  <c r="AC470" i="1"/>
  <c r="AC406" i="1"/>
  <c r="AC374" i="1"/>
  <c r="AC89" i="1"/>
  <c r="AC314" i="1"/>
  <c r="AC79" i="1"/>
  <c r="AC45" i="1"/>
  <c r="AC128" i="1"/>
  <c r="AC261" i="1"/>
  <c r="AC229" i="1"/>
  <c r="AC179" i="1"/>
  <c r="AC46" i="1"/>
  <c r="AC146" i="1"/>
  <c r="AC148" i="1"/>
  <c r="AC54" i="1"/>
  <c r="AC610" i="1"/>
  <c r="AC529" i="1"/>
  <c r="AC365" i="1"/>
  <c r="AC334" i="1"/>
  <c r="AC480" i="1"/>
  <c r="AC384" i="1"/>
  <c r="AC31" i="1"/>
  <c r="AC557" i="1"/>
  <c r="AC277" i="1"/>
  <c r="AC581" i="1"/>
  <c r="AC228" i="1"/>
  <c r="AC627" i="1"/>
  <c r="AC318" i="1"/>
  <c r="AC153" i="1"/>
  <c r="AC288" i="1"/>
  <c r="AC91" i="1"/>
  <c r="AC536" i="1"/>
  <c r="AC504" i="1"/>
  <c r="AC472" i="1"/>
  <c r="AC286" i="1"/>
  <c r="AC199" i="1"/>
  <c r="AC620" i="1"/>
  <c r="AC140" i="1"/>
  <c r="AC85" i="1"/>
  <c r="AC502" i="1"/>
  <c r="AC438" i="1"/>
  <c r="AC292" i="1"/>
  <c r="AC589" i="1"/>
  <c r="AC308" i="1"/>
  <c r="AC594" i="1"/>
  <c r="AC341" i="1"/>
  <c r="AC611" i="1"/>
  <c r="AC275" i="1"/>
  <c r="AC121" i="1"/>
  <c r="AC252" i="1"/>
  <c r="AC222" i="1"/>
  <c r="AC532" i="1"/>
  <c r="AC500" i="1"/>
  <c r="AC468" i="1"/>
  <c r="AC436" i="1"/>
  <c r="AC404" i="1"/>
  <c r="AC372" i="1"/>
  <c r="AC37" i="1"/>
  <c r="AC289" i="1"/>
  <c r="AC299" i="1"/>
  <c r="AC68" i="1"/>
  <c r="AC42" i="1"/>
  <c r="AC76" i="1"/>
  <c r="AC259" i="1"/>
  <c r="AC227" i="1"/>
  <c r="AC174" i="1"/>
  <c r="AC30" i="1"/>
  <c r="AC131" i="1"/>
  <c r="AC133" i="1"/>
  <c r="AC38" i="1"/>
  <c r="AC628" i="1"/>
  <c r="AC587" i="1"/>
  <c r="AC294" i="1"/>
  <c r="AC595" i="1"/>
  <c r="AC537" i="1"/>
  <c r="AC124" i="1"/>
  <c r="AC175" i="1"/>
  <c r="AC73" i="1"/>
  <c r="AC528" i="1"/>
  <c r="AC496" i="1"/>
  <c r="AC464" i="1"/>
  <c r="AC432" i="1"/>
  <c r="AC400" i="1"/>
  <c r="AC368" i="1"/>
  <c r="AC349" i="1"/>
  <c r="AC281" i="1"/>
  <c r="AC219" i="1"/>
  <c r="AC248" i="1"/>
  <c r="AC267" i="1"/>
  <c r="AC64" i="1"/>
  <c r="AC255" i="1"/>
  <c r="AC216" i="1"/>
  <c r="AC155" i="1"/>
  <c r="AC176" i="1"/>
  <c r="AC99" i="1"/>
  <c r="AC101" i="1"/>
  <c r="AC282" i="1"/>
  <c r="AC104" i="1"/>
  <c r="AC555" i="1"/>
  <c r="AC343" i="1"/>
  <c r="AC588" i="1"/>
  <c r="AC107" i="1"/>
  <c r="AC21" i="1"/>
  <c r="AC494" i="1"/>
  <c r="AC462" i="1"/>
  <c r="AC430" i="1"/>
  <c r="AC366" i="1"/>
  <c r="AC340" i="1"/>
  <c r="AC276" i="1"/>
  <c r="AC204" i="1"/>
  <c r="AC240" i="1"/>
  <c r="AC260" i="1"/>
  <c r="AC32" i="1"/>
  <c r="AC253" i="1"/>
  <c r="AC207" i="1"/>
  <c r="AC141" i="1"/>
  <c r="AC161" i="1"/>
  <c r="AC82" i="1"/>
  <c r="AC84" i="1"/>
  <c r="AC316" i="1"/>
  <c r="AC296" i="1"/>
  <c r="AC10" i="1"/>
  <c r="AC560" i="1"/>
  <c r="AC173" i="1"/>
  <c r="AC491" i="1"/>
  <c r="AC139" i="1"/>
  <c r="AC526" i="1"/>
  <c r="AC398" i="1"/>
  <c r="AC511" i="1"/>
  <c r="AC375" i="1"/>
  <c r="AC278" i="1"/>
  <c r="AC72" i="1"/>
  <c r="AC579" i="1"/>
  <c r="AC387" i="1"/>
  <c r="AC533" i="1"/>
  <c r="AC44" i="1"/>
  <c r="AC213" i="1"/>
  <c r="AC524" i="1"/>
  <c r="AC492" i="1"/>
  <c r="AC460" i="1"/>
  <c r="AC428" i="1"/>
  <c r="AC396" i="1"/>
  <c r="AC364" i="1"/>
  <c r="AC333" i="1"/>
  <c r="AC273" i="1"/>
  <c r="AC92" i="1"/>
  <c r="AC232" i="1"/>
  <c r="AC194" i="1"/>
  <c r="AC223" i="1"/>
  <c r="AC251" i="1"/>
  <c r="AC195" i="1"/>
  <c r="AC125" i="1"/>
  <c r="AC144" i="1"/>
  <c r="AC67" i="1"/>
  <c r="AC69" i="1"/>
  <c r="AC355" i="1"/>
  <c r="AC300" i="1"/>
  <c r="AC167" i="1"/>
  <c r="AC576" i="1"/>
  <c r="AC401" i="1"/>
  <c r="AC391" i="1"/>
  <c r="AC220" i="1"/>
  <c r="AC571" i="1"/>
  <c r="AC455" i="1"/>
  <c r="AC605" i="1"/>
  <c r="AC192" i="1"/>
  <c r="AC547" i="1"/>
  <c r="AC417" i="1"/>
  <c r="AC463" i="1"/>
  <c r="AC421" i="1"/>
  <c r="AC62" i="1"/>
  <c r="AC516" i="1"/>
  <c r="AC484" i="1"/>
  <c r="AC452" i="1"/>
  <c r="AC420" i="1"/>
  <c r="AC388" i="1"/>
  <c r="AC297" i="1"/>
  <c r="AC262" i="1"/>
  <c r="AC142" i="1"/>
  <c r="AC258" i="1"/>
  <c r="AC119" i="1"/>
  <c r="AC123" i="1"/>
  <c r="AC102" i="1"/>
  <c r="AC243" i="1"/>
  <c r="AC81" i="1"/>
  <c r="AC87" i="1"/>
  <c r="AC190" i="1"/>
  <c r="AC291" i="1"/>
  <c r="AC592" i="1"/>
  <c r="AC487" i="1"/>
  <c r="AC156" i="1"/>
  <c r="AC160" i="1"/>
  <c r="AC409" i="1"/>
  <c r="AC395" i="1"/>
  <c r="AC431" i="1"/>
  <c r="AC389" i="1"/>
  <c r="AC14" i="1"/>
  <c r="AC514" i="1"/>
  <c r="AC482" i="1"/>
  <c r="AC450" i="1"/>
  <c r="AC418" i="1"/>
  <c r="AC386" i="1"/>
  <c r="AC268" i="1"/>
  <c r="AC256" i="1"/>
  <c r="AC120" i="1"/>
  <c r="AC224" i="1"/>
  <c r="AC94" i="1"/>
  <c r="AC115" i="1"/>
  <c r="AC96" i="1"/>
  <c r="AC241" i="1"/>
  <c r="AC61" i="1"/>
  <c r="AC75" i="1"/>
  <c r="AC65" i="1"/>
  <c r="AC188" i="1"/>
  <c r="AC150" i="1"/>
  <c r="AC602" i="1"/>
  <c r="AC427" i="1"/>
  <c r="AC169" i="1"/>
  <c r="AC117" i="1"/>
  <c r="AC187" i="1"/>
  <c r="AC269" i="1"/>
  <c r="AC320" i="1"/>
  <c r="AC327" i="1"/>
  <c r="AC358" i="1"/>
  <c r="AC383" i="1"/>
  <c r="AC551" i="1"/>
  <c r="AC621" i="1"/>
  <c r="AC211" i="1"/>
  <c r="AC295" i="1"/>
  <c r="AC564" i="1"/>
  <c r="AC574" i="1"/>
  <c r="AC591" i="1"/>
  <c r="AC603" i="1"/>
  <c r="AC609" i="1"/>
  <c r="AC377" i="1"/>
  <c r="AC393" i="1"/>
  <c r="AC451" i="1"/>
  <c r="AC545" i="1"/>
  <c r="AC569" i="1"/>
  <c r="AC212" i="1"/>
  <c r="AC280" i="1"/>
  <c r="AC83" i="1"/>
  <c r="AC130" i="1"/>
  <c r="AC270" i="1"/>
  <c r="AC202" i="1"/>
  <c r="AC585" i="1"/>
  <c r="AC16" i="1"/>
  <c r="AC98" i="1"/>
  <c r="AC59" i="1"/>
  <c r="AC109" i="1"/>
  <c r="AC306" i="1"/>
  <c r="AC575" i="1"/>
  <c r="AC126" i="1"/>
  <c r="AC525" i="1"/>
  <c r="AC550" i="1"/>
  <c r="AC590" i="1"/>
  <c r="AC479" i="1"/>
  <c r="AC132" i="1"/>
  <c r="AC499" i="1"/>
  <c r="AC435" i="1"/>
  <c r="AC554" i="1"/>
  <c r="AC601" i="1"/>
  <c r="AC473" i="1"/>
  <c r="AC509" i="1"/>
  <c r="AC539" i="1"/>
  <c r="AC39" i="1"/>
  <c r="AC346" i="1"/>
  <c r="AC290" i="1"/>
  <c r="AC411" i="1"/>
  <c r="AC447" i="1"/>
  <c r="AC503" i="1"/>
  <c r="AC558" i="1"/>
  <c r="AC577" i="1"/>
  <c r="AC583" i="1"/>
  <c r="AC598" i="1"/>
  <c r="AC553" i="1"/>
  <c r="AC521" i="1"/>
  <c r="AC573" i="1"/>
  <c r="AC489" i="1"/>
  <c r="AC561" i="1"/>
  <c r="AC616" i="1"/>
  <c r="AC445" i="1"/>
  <c r="AC310" i="1"/>
  <c r="AC363" i="1"/>
  <c r="AC127" i="1"/>
  <c r="AC403" i="1"/>
  <c r="AC429" i="1"/>
  <c r="AC457" i="1"/>
  <c r="AC619" i="1"/>
  <c r="AC626" i="1"/>
  <c r="AC197" i="1"/>
  <c r="AC274" i="1"/>
  <c r="AC405" i="1"/>
  <c r="AC567" i="1"/>
  <c r="AC593" i="1"/>
  <c r="AC34" i="1"/>
  <c r="AC250" i="1"/>
  <c r="AC157" i="1"/>
  <c r="AC608" i="1"/>
  <c r="AC379" i="1"/>
  <c r="AC371" i="1"/>
  <c r="AC481" i="1"/>
  <c r="AC266" i="1"/>
  <c r="AC624" i="1"/>
  <c r="AC330" i="1"/>
  <c r="AC356" i="1"/>
  <c r="AC439" i="1"/>
  <c r="AC477" i="1"/>
  <c r="AC495" i="1"/>
  <c r="AC543" i="1"/>
  <c r="AC566" i="1"/>
  <c r="AC613" i="1"/>
  <c r="AC357" i="1"/>
  <c r="AC413" i="1"/>
  <c r="AC614" i="1"/>
  <c r="AC580" i="1"/>
  <c r="AC515" i="1"/>
  <c r="AC361" i="1"/>
  <c r="AC345" i="1"/>
  <c r="AC203" i="1"/>
  <c r="AC570" i="1"/>
  <c r="AC596" i="1"/>
  <c r="AC11" i="1"/>
  <c r="AC230" i="1"/>
  <c r="AC217" i="1"/>
  <c r="AC196" i="1"/>
  <c r="AC283" i="1"/>
  <c r="AC293" i="1"/>
  <c r="AC322" i="1"/>
  <c r="AC559" i="1"/>
  <c r="AC578" i="1"/>
  <c r="AC599" i="1"/>
  <c r="AC606" i="1"/>
  <c r="AC527" i="1"/>
  <c r="AC350" i="1"/>
  <c r="AC441" i="1"/>
  <c r="AC513" i="1"/>
  <c r="AC323" i="1"/>
  <c r="AC586" i="1"/>
  <c r="AC415" i="1"/>
  <c r="AC471" i="1"/>
  <c r="AC461" i="1"/>
  <c r="AD9" i="1"/>
  <c r="AC425" i="1"/>
  <c r="AC548" i="1"/>
  <c r="AC354" i="1"/>
  <c r="AC582" i="1"/>
  <c r="AC617" i="1"/>
  <c r="AC242" i="1"/>
  <c r="AC337" i="1"/>
  <c r="AC531" i="1"/>
  <c r="AC618" i="1"/>
  <c r="AC183" i="1"/>
  <c r="AC629" i="1"/>
  <c r="AC285" i="1"/>
  <c r="AC397" i="1"/>
  <c r="AC507" i="1"/>
  <c r="AC315" i="1"/>
  <c r="AC407" i="1"/>
  <c r="AC254" i="1"/>
  <c r="AC419" i="1"/>
  <c r="AD110" i="1" l="1"/>
  <c r="AD117" i="1"/>
  <c r="AD518" i="1"/>
  <c r="AD358" i="1"/>
  <c r="AD530" i="1"/>
  <c r="AD621" i="1"/>
  <c r="AD603" i="1"/>
  <c r="AD628" i="1"/>
  <c r="AD564" i="1"/>
  <c r="AD98" i="1"/>
  <c r="AD322" i="1"/>
  <c r="AD337" i="1"/>
  <c r="AD460" i="1"/>
  <c r="AD610" i="1"/>
  <c r="AD363" i="1"/>
  <c r="AD274" i="1"/>
  <c r="AD203" i="1"/>
  <c r="AD474" i="1"/>
  <c r="AD293" i="1"/>
  <c r="AD567" i="1"/>
  <c r="AD624" i="1"/>
  <c r="AD386" i="1"/>
  <c r="AD600" i="1"/>
  <c r="AD315" i="1"/>
  <c r="AD553" i="1"/>
  <c r="AE9" i="1"/>
  <c r="AD596" i="1"/>
  <c r="AD11" i="1"/>
  <c r="AD59" i="1"/>
  <c r="AD422" i="1"/>
  <c r="AD495" i="1"/>
  <c r="AD377" i="1"/>
  <c r="AD470" i="1"/>
  <c r="AD451" i="1"/>
  <c r="AD522" i="1"/>
  <c r="AD575" i="1"/>
  <c r="AD400" i="1"/>
  <c r="AD582" i="1"/>
  <c r="AD396" i="1"/>
  <c r="AD593" i="1"/>
  <c r="AD354" i="1"/>
  <c r="AD283" i="1"/>
  <c r="AD38" i="1"/>
  <c r="AD133" i="1"/>
  <c r="AD206" i="1"/>
  <c r="AD114" i="1"/>
  <c r="AD119" i="1"/>
  <c r="AD171" i="1"/>
  <c r="AD229" i="1"/>
  <c r="AD261" i="1"/>
  <c r="AD215" i="1"/>
  <c r="AD265" i="1"/>
  <c r="AD154" i="1"/>
  <c r="AD335" i="1"/>
  <c r="AD129" i="1"/>
  <c r="AD234" i="1"/>
  <c r="AD475" i="1"/>
  <c r="AD205" i="1"/>
  <c r="AD290" i="1"/>
  <c r="AD549" i="1"/>
  <c r="AD63" i="1"/>
  <c r="AD268" i="1"/>
  <c r="AD264" i="1"/>
  <c r="AD573" i="1"/>
  <c r="AD291" i="1"/>
  <c r="AD472" i="1"/>
  <c r="AD360" i="1"/>
  <c r="AD584" i="1"/>
  <c r="AD228" i="1"/>
  <c r="AD571" i="1"/>
  <c r="AD570" i="1"/>
  <c r="AD270" i="1"/>
  <c r="AD54" i="1"/>
  <c r="AD148" i="1"/>
  <c r="AD208" i="1"/>
  <c r="AD131" i="1"/>
  <c r="AD130" i="1"/>
  <c r="AD174" i="1"/>
  <c r="AD231" i="1"/>
  <c r="AD40" i="1"/>
  <c r="AD221" i="1"/>
  <c r="AD27" i="1"/>
  <c r="AD211" i="1"/>
  <c r="AD342" i="1"/>
  <c r="AD168" i="1"/>
  <c r="AD100" i="1"/>
  <c r="AD487" i="1"/>
  <c r="AD325" i="1"/>
  <c r="AD307" i="1"/>
  <c r="AD558" i="1"/>
  <c r="AD121" i="1"/>
  <c r="AD279" i="1"/>
  <c r="AD272" i="1"/>
  <c r="AD578" i="1"/>
  <c r="AD303" i="1"/>
  <c r="AD505" i="1"/>
  <c r="AD138" i="1"/>
  <c r="AD594" i="1"/>
  <c r="AD282" i="1"/>
  <c r="AD587" i="1"/>
  <c r="AD512" i="1"/>
  <c r="AD71" i="1"/>
  <c r="AD165" i="1"/>
  <c r="AD210" i="1"/>
  <c r="AD146" i="1"/>
  <c r="AD149" i="1"/>
  <c r="AD179" i="1"/>
  <c r="AD233" i="1"/>
  <c r="AD49" i="1"/>
  <c r="AD250" i="1"/>
  <c r="AD53" i="1"/>
  <c r="AD242" i="1"/>
  <c r="AD351" i="1"/>
  <c r="AD176" i="1"/>
  <c r="AD213" i="1"/>
  <c r="AD494" i="1"/>
  <c r="AD328" i="1"/>
  <c r="AD350" i="1"/>
  <c r="AD565" i="1"/>
  <c r="AD153" i="1"/>
  <c r="AD318" i="1"/>
  <c r="AD344" i="1"/>
  <c r="AD599" i="1"/>
  <c r="AD312" i="1"/>
  <c r="AD620" i="1"/>
  <c r="AD177" i="1"/>
  <c r="AD612" i="1"/>
  <c r="AD355" i="1"/>
  <c r="AD317" i="1"/>
  <c r="AD490" i="1"/>
  <c r="AD73" i="1"/>
  <c r="AD52" i="1"/>
  <c r="AD202" i="1"/>
  <c r="AD178" i="1"/>
  <c r="AD75" i="1"/>
  <c r="AD90" i="1"/>
  <c r="AD255" i="1"/>
  <c r="AD269" i="1"/>
  <c r="AD185" i="1"/>
  <c r="AD79" i="1"/>
  <c r="AD289" i="1"/>
  <c r="AD199" i="1"/>
  <c r="AD519" i="1"/>
  <c r="AD436" i="1"/>
  <c r="AD464" i="1"/>
  <c r="AD563" i="1"/>
  <c r="AD359" i="1"/>
  <c r="AD320" i="1"/>
  <c r="AD329" i="1"/>
  <c r="AD562" i="1"/>
  <c r="AD277" i="1"/>
  <c r="AD15" i="1"/>
  <c r="AD352" i="1"/>
  <c r="AD393" i="1"/>
  <c r="AD88" i="1"/>
  <c r="AD69" i="1"/>
  <c r="AD204" i="1"/>
  <c r="AD24" i="1"/>
  <c r="AD87" i="1"/>
  <c r="AD136" i="1"/>
  <c r="AD257" i="1"/>
  <c r="AD115" i="1"/>
  <c r="AD201" i="1"/>
  <c r="AD92" i="1"/>
  <c r="AD292" i="1"/>
  <c r="AD21" i="1"/>
  <c r="AD526" i="1"/>
  <c r="AD453" i="1"/>
  <c r="AD493" i="1"/>
  <c r="AD572" i="1"/>
  <c r="AD368" i="1"/>
  <c r="AD407" i="1"/>
  <c r="AD544" i="1"/>
  <c r="AD589" i="1"/>
  <c r="AD308" i="1"/>
  <c r="AD263" i="1"/>
  <c r="AD385" i="1"/>
  <c r="AD367" i="1"/>
  <c r="AD471" i="1"/>
  <c r="AD217" i="1"/>
  <c r="AD432" i="1"/>
  <c r="AD86" i="1"/>
  <c r="AD190" i="1"/>
  <c r="AD67" i="1"/>
  <c r="AD209" i="1"/>
  <c r="AD195" i="1"/>
  <c r="AD96" i="1"/>
  <c r="AD181" i="1"/>
  <c r="AD106" i="1"/>
  <c r="AD172" i="1"/>
  <c r="AD349" i="1"/>
  <c r="AD503" i="1"/>
  <c r="AD468" i="1"/>
  <c r="AD529" i="1"/>
  <c r="AD384" i="1"/>
  <c r="AD412" i="1"/>
  <c r="AD10" i="1"/>
  <c r="AD508" i="1"/>
  <c r="AD541" i="1"/>
  <c r="AD391" i="1"/>
  <c r="AD162" i="1"/>
  <c r="AD489" i="1"/>
  <c r="AD158" i="1"/>
  <c r="AD266" i="1"/>
  <c r="AD30" i="1"/>
  <c r="AD488" i="1"/>
  <c r="AD346" i="1"/>
  <c r="AD492" i="1"/>
  <c r="AD561" i="1"/>
  <c r="AD626" i="1"/>
  <c r="AD507" i="1"/>
  <c r="AD416" i="1"/>
  <c r="AD103" i="1"/>
  <c r="AD192" i="1"/>
  <c r="AD82" i="1"/>
  <c r="AD31" i="1"/>
  <c r="AD207" i="1"/>
  <c r="AD102" i="1"/>
  <c r="AD260" i="1"/>
  <c r="AD124" i="1"/>
  <c r="AD236" i="1"/>
  <c r="AD19" i="1"/>
  <c r="AD510" i="1"/>
  <c r="AD44" i="1"/>
  <c r="AD574" i="1"/>
  <c r="AD395" i="1"/>
  <c r="AD456" i="1"/>
  <c r="AD602" i="1"/>
  <c r="AD517" i="1"/>
  <c r="AD592" i="1"/>
  <c r="AD427" i="1"/>
  <c r="AD408" i="1"/>
  <c r="AD454" i="1"/>
  <c r="AD608" i="1"/>
  <c r="AD536" i="1"/>
  <c r="AD618" i="1"/>
  <c r="AD109" i="1"/>
  <c r="AD609" i="1"/>
  <c r="AD189" i="1"/>
  <c r="AD601" i="1"/>
  <c r="AD327" i="1"/>
  <c r="AD280" i="1"/>
  <c r="AD132" i="1"/>
  <c r="AD135" i="1"/>
  <c r="AD163" i="1"/>
  <c r="AD227" i="1"/>
  <c r="AD42" i="1"/>
  <c r="AD118" i="1"/>
  <c r="AD194" i="1"/>
  <c r="AD99" i="1"/>
  <c r="AD93" i="1"/>
  <c r="AD225" i="1"/>
  <c r="AD108" i="1"/>
  <c r="AD267" i="1"/>
  <c r="AD252" i="1"/>
  <c r="AD273" i="1"/>
  <c r="AD37" i="1"/>
  <c r="AD535" i="1"/>
  <c r="AD139" i="1"/>
  <c r="AD581" i="1"/>
  <c r="AD398" i="1"/>
  <c r="AD478" i="1"/>
  <c r="AD296" i="1"/>
  <c r="AD520" i="1"/>
  <c r="AD332" i="1"/>
  <c r="AD532" i="1"/>
  <c r="AD476" i="1"/>
  <c r="AD484" i="1"/>
  <c r="AD429" i="1"/>
  <c r="AD548" i="1"/>
  <c r="AD196" i="1"/>
  <c r="AD113" i="1"/>
  <c r="AD166" i="1"/>
  <c r="AD304" i="1"/>
  <c r="AD23" i="1"/>
  <c r="AD214" i="1"/>
  <c r="AD39" i="1"/>
  <c r="AD81" i="1"/>
  <c r="AD126" i="1"/>
  <c r="AD240" i="1"/>
  <c r="AD159" i="1"/>
  <c r="AD294" i="1"/>
  <c r="AD85" i="1"/>
  <c r="AD447" i="1"/>
  <c r="AD373" i="1"/>
  <c r="AD72" i="1"/>
  <c r="AD95" i="1"/>
  <c r="AD579" i="1"/>
  <c r="AD625" i="1"/>
  <c r="AD418" i="1"/>
  <c r="AD540" i="1"/>
  <c r="AD295" i="1"/>
  <c r="AD616" i="1"/>
  <c r="AD550" i="1"/>
  <c r="AD216" i="1"/>
  <c r="AD235" i="1"/>
  <c r="AD140" i="1"/>
  <c r="AD276" i="1"/>
  <c r="AD310" i="1"/>
  <c r="AD91" i="1"/>
  <c r="AD450" i="1"/>
  <c r="AD376" i="1"/>
  <c r="AD173" i="1"/>
  <c r="AD111" i="1"/>
  <c r="AD615" i="1"/>
  <c r="AD538" i="1"/>
  <c r="AD258" i="1"/>
  <c r="AD480" i="1"/>
  <c r="AD516" i="1"/>
  <c r="AD527" i="1"/>
  <c r="AD498" i="1"/>
  <c r="AD441" i="1"/>
  <c r="AD150" i="1"/>
  <c r="AD46" i="1"/>
  <c r="AD248" i="1"/>
  <c r="AD167" i="1"/>
  <c r="AD218" i="1"/>
  <c r="AD107" i="1"/>
  <c r="AD237" i="1"/>
  <c r="AD157" i="1"/>
  <c r="AD70" i="1"/>
  <c r="AD281" i="1"/>
  <c r="AD316" i="1"/>
  <c r="AD170" i="1"/>
  <c r="AD461" i="1"/>
  <c r="AD417" i="1"/>
  <c r="AD34" i="1"/>
  <c r="AD145" i="1"/>
  <c r="AD278" i="1"/>
  <c r="AD552" i="1"/>
  <c r="AD485" i="1"/>
  <c r="AD463" i="1"/>
  <c r="AD357" i="1"/>
  <c r="AD435" i="1"/>
  <c r="AD383" i="1"/>
  <c r="AD515" i="1"/>
  <c r="AD528" i="1"/>
  <c r="AD313" i="1"/>
  <c r="AD74" i="1"/>
  <c r="AD369" i="1"/>
  <c r="AD419" i="1"/>
  <c r="AD151" i="1"/>
  <c r="AD12" i="1"/>
  <c r="AD220" i="1"/>
  <c r="AD160" i="1"/>
  <c r="AD239" i="1"/>
  <c r="AD191" i="1"/>
  <c r="AD284" i="1"/>
  <c r="AD331" i="1"/>
  <c r="AD334" i="1"/>
  <c r="AD511" i="1"/>
  <c r="AD431" i="1"/>
  <c r="AD183" i="1"/>
  <c r="AD339" i="1"/>
  <c r="AD348" i="1"/>
  <c r="AD605" i="1"/>
  <c r="AD306" i="1"/>
  <c r="AD66" i="1"/>
  <c r="AD301" i="1"/>
  <c r="AD182" i="1"/>
  <c r="AD97" i="1"/>
  <c r="AD243" i="1"/>
  <c r="AD45" i="1"/>
  <c r="AD326" i="1"/>
  <c r="AD379" i="1"/>
  <c r="AD226" i="1"/>
  <c r="AD556" i="1"/>
  <c r="AD452" i="1"/>
  <c r="AD557" i="1"/>
  <c r="AD455" i="1"/>
  <c r="AD555" i="1"/>
  <c r="AD543" i="1"/>
  <c r="AD387" i="1"/>
  <c r="AD392" i="1"/>
  <c r="AD238" i="1"/>
  <c r="AD147" i="1"/>
  <c r="AD483" i="1"/>
  <c r="AD244" i="1"/>
  <c r="AD184" i="1"/>
  <c r="AD112" i="1"/>
  <c r="AD245" i="1"/>
  <c r="AD60" i="1"/>
  <c r="AD13" i="1"/>
  <c r="AD394" i="1"/>
  <c r="AD286" i="1"/>
  <c r="AD297" i="1"/>
  <c r="AD481" i="1"/>
  <c r="AD607" i="1"/>
  <c r="AD546" i="1"/>
  <c r="AD539" i="1"/>
  <c r="AD627" i="1"/>
  <c r="AD374" i="1"/>
  <c r="AD619" i="1"/>
  <c r="AD230" i="1"/>
  <c r="AD200" i="1"/>
  <c r="AD193" i="1"/>
  <c r="AD554" i="1"/>
  <c r="AD525" i="1"/>
  <c r="AD186" i="1"/>
  <c r="AD16" i="1"/>
  <c r="AD247" i="1"/>
  <c r="AD64" i="1"/>
  <c r="AD142" i="1"/>
  <c r="AD411" i="1"/>
  <c r="AD381" i="1"/>
  <c r="AD347" i="1"/>
  <c r="AD499" i="1"/>
  <c r="AD104" i="1"/>
  <c r="AD568" i="1"/>
  <c r="AD506" i="1"/>
  <c r="AD531" i="1"/>
  <c r="AD444" i="1"/>
  <c r="AD285" i="1"/>
  <c r="AD271" i="1"/>
  <c r="AD125" i="1"/>
  <c r="AD458" i="1"/>
  <c r="AD466" i="1"/>
  <c r="AD457" i="1"/>
  <c r="AD521" i="1"/>
  <c r="AD17" i="1"/>
  <c r="AD188" i="1"/>
  <c r="AD187" i="1"/>
  <c r="AD249" i="1"/>
  <c r="AD57" i="1"/>
  <c r="AD309" i="1"/>
  <c r="AD426" i="1"/>
  <c r="AD406" i="1"/>
  <c r="AD434" i="1"/>
  <c r="AD502" i="1"/>
  <c r="AD366" i="1"/>
  <c r="AD482" i="1"/>
  <c r="AD566" i="1"/>
  <c r="AD345" i="1"/>
  <c r="AD591" i="1"/>
  <c r="AD56" i="1"/>
  <c r="AD253" i="1"/>
  <c r="AD428" i="1"/>
  <c r="AD623" i="1"/>
  <c r="AD486" i="1"/>
  <c r="AD32" i="1"/>
  <c r="AD198" i="1"/>
  <c r="AD122" i="1"/>
  <c r="AD251" i="1"/>
  <c r="AD94" i="1"/>
  <c r="AD25" i="1"/>
  <c r="AD443" i="1"/>
  <c r="AD425" i="1"/>
  <c r="AD442" i="1"/>
  <c r="AD534" i="1"/>
  <c r="AD424" i="1"/>
  <c r="AD497" i="1"/>
  <c r="AD467" i="1"/>
  <c r="AD537" i="1"/>
  <c r="AD311" i="1"/>
  <c r="AD559" i="1"/>
  <c r="AD101" i="1"/>
  <c r="AD20" i="1"/>
  <c r="AD164" i="1"/>
  <c r="AD333" i="1"/>
  <c r="AD524" i="1"/>
  <c r="AD77" i="1"/>
  <c r="AD336" i="1"/>
  <c r="AD156" i="1"/>
  <c r="AD370" i="1"/>
  <c r="AD445" i="1"/>
  <c r="AD551" i="1"/>
  <c r="AD513" i="1"/>
  <c r="AD580" i="1"/>
  <c r="AD479" i="1"/>
  <c r="AD477" i="1"/>
  <c r="AD47" i="1"/>
  <c r="AD588" i="1"/>
  <c r="AD18" i="1"/>
  <c r="AD449" i="1"/>
  <c r="AD275" i="1"/>
  <c r="AD116" i="1"/>
  <c r="AD28" i="1"/>
  <c r="AD232" i="1"/>
  <c r="AD340" i="1"/>
  <c r="AD590" i="1"/>
  <c r="AD33" i="1"/>
  <c r="AD343" i="1"/>
  <c r="AD533" i="1"/>
  <c r="AD323" i="1"/>
  <c r="AD403" i="1"/>
  <c r="AD397" i="1"/>
  <c r="AD622" i="1"/>
  <c r="AD371" i="1"/>
  <c r="AD241" i="1"/>
  <c r="AD219" i="1"/>
  <c r="AD180" i="1"/>
  <c r="AD36" i="1"/>
  <c r="AD83" i="1"/>
  <c r="AD128" i="1"/>
  <c r="AD597" i="1"/>
  <c r="AD413" i="1"/>
  <c r="AD375" i="1"/>
  <c r="AD569" i="1"/>
  <c r="AD61" i="1"/>
  <c r="AD405" i="1"/>
  <c r="AD629" i="1"/>
  <c r="AD545" i="1"/>
  <c r="AD14" i="1"/>
  <c r="AD212" i="1"/>
  <c r="AD43" i="1"/>
  <c r="AD321" i="1"/>
  <c r="AD134" i="1"/>
  <c r="AD606" i="1"/>
  <c r="AD617" i="1"/>
  <c r="AD433" i="1"/>
  <c r="AD586" i="1"/>
  <c r="AD224" i="1"/>
  <c r="AD583" i="1"/>
  <c r="AD51" i="1"/>
  <c r="AD560" i="1"/>
  <c r="AD330" i="1"/>
  <c r="AD259" i="1"/>
  <c r="AD305" i="1"/>
  <c r="AD222" i="1"/>
  <c r="AD55" i="1"/>
  <c r="AD353" i="1"/>
  <c r="AD362" i="1"/>
  <c r="AD613" i="1"/>
  <c r="AD414" i="1"/>
  <c r="AD440" i="1"/>
  <c r="AD390" i="1"/>
  <c r="AD542" i="1"/>
  <c r="AD459" i="1"/>
  <c r="AD446" i="1"/>
  <c r="AD298" i="1"/>
  <c r="AD448" i="1"/>
  <c r="AD175" i="1"/>
  <c r="AD361" i="1"/>
  <c r="AD35" i="1"/>
  <c r="AD288" i="1"/>
  <c r="AD84" i="1"/>
  <c r="AD161" i="1"/>
  <c r="AD439" i="1"/>
  <c r="AD491" i="1"/>
  <c r="AD364" i="1"/>
  <c r="AD262" i="1"/>
  <c r="AD415" i="1"/>
  <c r="AD401" i="1"/>
  <c r="AD595" i="1"/>
  <c r="AD469" i="1"/>
  <c r="AD58" i="1"/>
  <c r="AD68" i="1"/>
  <c r="AD577" i="1"/>
  <c r="AD137" i="1"/>
  <c r="AD341" i="1"/>
  <c r="AD404" i="1"/>
  <c r="AD169" i="1"/>
  <c r="AD437" i="1"/>
  <c r="AD50" i="1"/>
  <c r="AD246" i="1"/>
  <c r="AD365" i="1"/>
  <c r="AD382" i="1"/>
  <c r="AD399" i="1"/>
  <c r="AD473" i="1"/>
  <c r="AD65" i="1"/>
  <c r="AD380" i="1"/>
  <c r="AD80" i="1"/>
  <c r="AD302" i="1"/>
  <c r="AD547" i="1"/>
  <c r="AD62" i="1"/>
  <c r="AD105" i="1"/>
  <c r="AD22" i="1"/>
  <c r="AD41" i="1"/>
  <c r="AD299" i="1"/>
  <c r="AD501" i="1"/>
  <c r="AD388" i="1"/>
  <c r="AD26" i="1"/>
  <c r="AD410" i="1"/>
  <c r="AD420" i="1"/>
  <c r="AD141" i="1"/>
  <c r="AD144" i="1"/>
  <c r="AD89" i="1"/>
  <c r="AD604" i="1"/>
  <c r="AD223" i="1"/>
  <c r="AD76" i="1"/>
  <c r="AD430" i="1"/>
  <c r="AD78" i="1"/>
  <c r="AD465" i="1"/>
  <c r="AD123" i="1"/>
  <c r="AD127" i="1"/>
  <c r="AD48" i="1"/>
  <c r="AD314" i="1"/>
  <c r="AD338" i="1"/>
  <c r="AD576" i="1"/>
  <c r="AD402" i="1"/>
  <c r="AD504" i="1"/>
  <c r="AD438" i="1"/>
  <c r="AD254" i="1"/>
  <c r="AD256" i="1"/>
  <c r="AD585" i="1"/>
  <c r="AD496" i="1"/>
  <c r="AD319" i="1"/>
  <c r="AD324" i="1"/>
  <c r="AD378" i="1"/>
  <c r="AD423" i="1"/>
  <c r="AD120" i="1"/>
  <c r="AD389" i="1"/>
  <c r="AD197" i="1"/>
  <c r="AD356" i="1"/>
  <c r="AD523" i="1"/>
  <c r="AD509" i="1"/>
  <c r="AD143" i="1"/>
  <c r="AD409" i="1"/>
  <c r="AD500" i="1"/>
  <c r="AD287" i="1"/>
  <c r="AD300" i="1"/>
  <c r="AD514" i="1"/>
  <c r="AD155" i="1"/>
  <c r="AD598" i="1"/>
  <c r="AD372" i="1"/>
  <c r="AD462" i="1"/>
  <c r="AD614" i="1"/>
  <c r="AD152" i="1"/>
  <c r="AD611" i="1"/>
  <c r="AD421" i="1"/>
  <c r="AD29" i="1"/>
  <c r="AE176" i="1" l="1"/>
  <c r="AE474" i="1"/>
  <c r="AE409" i="1"/>
  <c r="AE518" i="1"/>
  <c r="AE368" i="1"/>
  <c r="AE491" i="1"/>
  <c r="AE530" i="1"/>
  <c r="AE261" i="1"/>
  <c r="AE377" i="1"/>
  <c r="AE451" i="1"/>
  <c r="AE571" i="1"/>
  <c r="AE553" i="1"/>
  <c r="AE567" i="1"/>
  <c r="AE400" i="1"/>
  <c r="AE556" i="1"/>
  <c r="AE363" i="1"/>
  <c r="AE585" i="1"/>
  <c r="AE386" i="1"/>
  <c r="AE470" i="1"/>
  <c r="AE582" i="1"/>
  <c r="AE460" i="1"/>
  <c r="AE322" i="1"/>
  <c r="AE575" i="1"/>
  <c r="AF9" i="1"/>
  <c r="AE564" i="1"/>
  <c r="AE422" i="1"/>
  <c r="AE522" i="1"/>
  <c r="AE610" i="1"/>
  <c r="AE603" i="1"/>
  <c r="AE357" i="1"/>
  <c r="AE380" i="1"/>
  <c r="AE608" i="1"/>
  <c r="AE457" i="1"/>
  <c r="AE387" i="1"/>
  <c r="AE626" i="1"/>
  <c r="AE30" i="1"/>
  <c r="AE572" i="1"/>
  <c r="AE330" i="1"/>
  <c r="AE587" i="1"/>
  <c r="AE504" i="1"/>
  <c r="AE374" i="1"/>
  <c r="AE548" i="1"/>
  <c r="AE598" i="1"/>
  <c r="AE601" i="1"/>
  <c r="AE438" i="1"/>
  <c r="AE65" i="1"/>
  <c r="AE390" i="1"/>
  <c r="AE476" i="1"/>
  <c r="AE302" i="1"/>
  <c r="AE477" i="1"/>
  <c r="AE399" i="1"/>
  <c r="AE527" i="1"/>
  <c r="AE392" i="1"/>
  <c r="AE500" i="1"/>
  <c r="AE486" i="1"/>
  <c r="AE230" i="1"/>
  <c r="AE23" i="1"/>
  <c r="AE122" i="1"/>
  <c r="AE86" i="1"/>
  <c r="AE182" i="1"/>
  <c r="AE214" i="1"/>
  <c r="AE119" i="1"/>
  <c r="AE20" i="1"/>
  <c r="AE239" i="1"/>
  <c r="AE277" i="1"/>
  <c r="AE309" i="1"/>
  <c r="AE341" i="1"/>
  <c r="AE123" i="1"/>
  <c r="AE132" i="1"/>
  <c r="AE252" i="1"/>
  <c r="AE159" i="1"/>
  <c r="AE128" i="1"/>
  <c r="AE480" i="1"/>
  <c r="AE458" i="1"/>
  <c r="AE203" i="1"/>
  <c r="AE40" i="1"/>
  <c r="AE511" i="1"/>
  <c r="AE417" i="1"/>
  <c r="AE272" i="1"/>
  <c r="AE586" i="1"/>
  <c r="AE320" i="1"/>
  <c r="AE382" i="1"/>
  <c r="AE462" i="1"/>
  <c r="AE391" i="1"/>
  <c r="AE546" i="1"/>
  <c r="AE371" i="1"/>
  <c r="AE158" i="1"/>
  <c r="AE27" i="1"/>
  <c r="AE300" i="1"/>
  <c r="AE584" i="1"/>
  <c r="AE514" i="1"/>
  <c r="AE468" i="1"/>
  <c r="AE577" i="1"/>
  <c r="AE479" i="1"/>
  <c r="AE25" i="1"/>
  <c r="AE139" i="1"/>
  <c r="AE103" i="1"/>
  <c r="AE184" i="1"/>
  <c r="AE216" i="1"/>
  <c r="AE130" i="1"/>
  <c r="AE28" i="1"/>
  <c r="AE241" i="1"/>
  <c r="AE279" i="1"/>
  <c r="AE311" i="1"/>
  <c r="AE343" i="1"/>
  <c r="AE143" i="1"/>
  <c r="AE145" i="1"/>
  <c r="AE304" i="1"/>
  <c r="AE172" i="1"/>
  <c r="AE185" i="1"/>
  <c r="AE62" i="1"/>
  <c r="AE475" i="1"/>
  <c r="AE251" i="1"/>
  <c r="AE127" i="1"/>
  <c r="AE524" i="1"/>
  <c r="AE434" i="1"/>
  <c r="AE266" i="1"/>
  <c r="AE604" i="1"/>
  <c r="AE404" i="1"/>
  <c r="AE552" i="1"/>
  <c r="AE508" i="1"/>
  <c r="AE459" i="1"/>
  <c r="AE594" i="1"/>
  <c r="AE498" i="1"/>
  <c r="AE402" i="1"/>
  <c r="AE154" i="1"/>
  <c r="AE186" i="1"/>
  <c r="AE36" i="1"/>
  <c r="AE281" i="1"/>
  <c r="AE345" i="1"/>
  <c r="AE161" i="1"/>
  <c r="AE353" i="1"/>
  <c r="AE199" i="1"/>
  <c r="AE487" i="1"/>
  <c r="AE529" i="1"/>
  <c r="AE358" i="1"/>
  <c r="AE366" i="1"/>
  <c r="AE523" i="1"/>
  <c r="AE583" i="1"/>
  <c r="AE288" i="1"/>
  <c r="AE280" i="1"/>
  <c r="AE393" i="1"/>
  <c r="AE364" i="1"/>
  <c r="AE616" i="1"/>
  <c r="AE421" i="1"/>
  <c r="AE614" i="1"/>
  <c r="AE118" i="1"/>
  <c r="AE218" i="1"/>
  <c r="AE149" i="1"/>
  <c r="AE243" i="1"/>
  <c r="AE313" i="1"/>
  <c r="AE175" i="1"/>
  <c r="AE201" i="1"/>
  <c r="AE85" i="1"/>
  <c r="AE147" i="1"/>
  <c r="AE442" i="1"/>
  <c r="AE407" i="1"/>
  <c r="AE612" i="1"/>
  <c r="AE346" i="1"/>
  <c r="AE254" i="1"/>
  <c r="AE31" i="1"/>
  <c r="AE88" i="1"/>
  <c r="AE101" i="1"/>
  <c r="AE208" i="1"/>
  <c r="AE160" i="1"/>
  <c r="AE136" i="1"/>
  <c r="AE226" i="1"/>
  <c r="AE301" i="1"/>
  <c r="AE339" i="1"/>
  <c r="AE260" i="1"/>
  <c r="AE344" i="1"/>
  <c r="AE326" i="1"/>
  <c r="AE189" i="1"/>
  <c r="AE129" i="1"/>
  <c r="AE526" i="1"/>
  <c r="AE516" i="1"/>
  <c r="AE461" i="1"/>
  <c r="AE48" i="1"/>
  <c r="AE436" i="1"/>
  <c r="AE532" i="1"/>
  <c r="AE599" i="1"/>
  <c r="AE430" i="1"/>
  <c r="AE408" i="1"/>
  <c r="AE563" i="1"/>
  <c r="AE513" i="1"/>
  <c r="AE298" i="1"/>
  <c r="AE566" i="1"/>
  <c r="AE383" i="1"/>
  <c r="AE492" i="1"/>
  <c r="AE238" i="1"/>
  <c r="AE33" i="1"/>
  <c r="AE105" i="1"/>
  <c r="AE116" i="1"/>
  <c r="AE210" i="1"/>
  <c r="AE187" i="1"/>
  <c r="AE195" i="1"/>
  <c r="AE234" i="1"/>
  <c r="AE303" i="1"/>
  <c r="AE347" i="1"/>
  <c r="AE267" i="1"/>
  <c r="AE355" i="1"/>
  <c r="AE217" i="1"/>
  <c r="AE134" i="1"/>
  <c r="AE535" i="1"/>
  <c r="AE521" i="1"/>
  <c r="AE464" i="1"/>
  <c r="AE478" i="1"/>
  <c r="AE437" i="1"/>
  <c r="AE617" i="1"/>
  <c r="AE146" i="1"/>
  <c r="AE600" i="1"/>
  <c r="AE595" i="1"/>
  <c r="AE342" i="1"/>
  <c r="AE63" i="1"/>
  <c r="AE517" i="1"/>
  <c r="AE258" i="1"/>
  <c r="AE334" i="1"/>
  <c r="AE306" i="1"/>
  <c r="AE559" i="1"/>
  <c r="AE35" i="1"/>
  <c r="AE120" i="1"/>
  <c r="AE133" i="1"/>
  <c r="AE212" i="1"/>
  <c r="AE209" i="1"/>
  <c r="AE207" i="1"/>
  <c r="AE242" i="1"/>
  <c r="AE305" i="1"/>
  <c r="AE349" i="1"/>
  <c r="AE42" i="1"/>
  <c r="AE70" i="1"/>
  <c r="AE351" i="1"/>
  <c r="AE100" i="1"/>
  <c r="AE223" i="1"/>
  <c r="AE542" i="1"/>
  <c r="AE534" i="1"/>
  <c r="AE493" i="1"/>
  <c r="AE121" i="1"/>
  <c r="AE484" i="1"/>
  <c r="AE34" i="1"/>
  <c r="AE568" i="1"/>
  <c r="AE520" i="1"/>
  <c r="AE177" i="1"/>
  <c r="AE453" i="1"/>
  <c r="AE596" i="1"/>
  <c r="AE580" i="1"/>
  <c r="AE137" i="1"/>
  <c r="AE220" i="1"/>
  <c r="AE225" i="1"/>
  <c r="AE255" i="1"/>
  <c r="AE22" i="1"/>
  <c r="AE74" i="1"/>
  <c r="AE213" i="1"/>
  <c r="AE14" i="1"/>
  <c r="AE549" i="1"/>
  <c r="AE376" i="1"/>
  <c r="AE53" i="1"/>
  <c r="AE557" i="1"/>
  <c r="AE278" i="1"/>
  <c r="AE168" i="1"/>
  <c r="AE444" i="1"/>
  <c r="AE507" i="1"/>
  <c r="AE37" i="1"/>
  <c r="AE148" i="1"/>
  <c r="AE87" i="1"/>
  <c r="AE307" i="1"/>
  <c r="AE45" i="1"/>
  <c r="AE57" i="1"/>
  <c r="AE248" i="1"/>
  <c r="AE539" i="1"/>
  <c r="AE490" i="1"/>
  <c r="AE72" i="1"/>
  <c r="AE308" i="1"/>
  <c r="AE441" i="1"/>
  <c r="AE593" i="1"/>
  <c r="AE592" i="1"/>
  <c r="AE19" i="1"/>
  <c r="AE169" i="1"/>
  <c r="AE194" i="1"/>
  <c r="AE16" i="1"/>
  <c r="AE229" i="1"/>
  <c r="AE287" i="1"/>
  <c r="AE333" i="1"/>
  <c r="AE64" i="1"/>
  <c r="AE51" i="1"/>
  <c r="AE138" i="1"/>
  <c r="AE316" i="1"/>
  <c r="AE356" i="1"/>
  <c r="AE439" i="1"/>
  <c r="AE501" i="1"/>
  <c r="AE570" i="1"/>
  <c r="AE554" i="1"/>
  <c r="AE589" i="1"/>
  <c r="AE446" i="1"/>
  <c r="AE244" i="1"/>
  <c r="AE628" i="1"/>
  <c r="AE605" i="1"/>
  <c r="AE545" i="1"/>
  <c r="AE44" i="1"/>
  <c r="AE21" i="1"/>
  <c r="AE38" i="1"/>
  <c r="AE196" i="1"/>
  <c r="AE24" i="1"/>
  <c r="AE231" i="1"/>
  <c r="AE289" i="1"/>
  <c r="AE335" i="1"/>
  <c r="AE112" i="1"/>
  <c r="AE79" i="1"/>
  <c r="AE153" i="1"/>
  <c r="AE362" i="1"/>
  <c r="AE403" i="1"/>
  <c r="AE447" i="1"/>
  <c r="AE205" i="1"/>
  <c r="AE228" i="1"/>
  <c r="AE573" i="1"/>
  <c r="AE607" i="1"/>
  <c r="AE449" i="1"/>
  <c r="AE624" i="1"/>
  <c r="AE497" i="1"/>
  <c r="AE94" i="1"/>
  <c r="AE389" i="1"/>
  <c r="AE360" i="1"/>
  <c r="AE29" i="1"/>
  <c r="AE54" i="1"/>
  <c r="AE198" i="1"/>
  <c r="AE46" i="1"/>
  <c r="AE233" i="1"/>
  <c r="AE291" i="1"/>
  <c r="AE337" i="1"/>
  <c r="AE178" i="1"/>
  <c r="AE92" i="1"/>
  <c r="AE173" i="1"/>
  <c r="AE379" i="1"/>
  <c r="AE455" i="1"/>
  <c r="AE450" i="1"/>
  <c r="AE232" i="1"/>
  <c r="AE282" i="1"/>
  <c r="AE578" i="1"/>
  <c r="AE10" i="1"/>
  <c r="AE625" i="1"/>
  <c r="AE525" i="1"/>
  <c r="AE621" i="1"/>
  <c r="AE156" i="1"/>
  <c r="AE588" i="1"/>
  <c r="AE618" i="1"/>
  <c r="AE39" i="1"/>
  <c r="AE71" i="1"/>
  <c r="AE200" i="1"/>
  <c r="AE93" i="1"/>
  <c r="AE235" i="1"/>
  <c r="AE293" i="1"/>
  <c r="AE126" i="1"/>
  <c r="AE253" i="1"/>
  <c r="AE102" i="1"/>
  <c r="AE256" i="1"/>
  <c r="AE394" i="1"/>
  <c r="AE469" i="1"/>
  <c r="AE558" i="1"/>
  <c r="AE268" i="1"/>
  <c r="AE388" i="1"/>
  <c r="AE414" i="1"/>
  <c r="AE240" i="1"/>
  <c r="AE576" i="1"/>
  <c r="AE555" i="1"/>
  <c r="AE611" i="1"/>
  <c r="AE536" i="1"/>
  <c r="AE41" i="1"/>
  <c r="AE135" i="1"/>
  <c r="AE202" i="1"/>
  <c r="AE113" i="1"/>
  <c r="AE237" i="1"/>
  <c r="AE295" i="1"/>
  <c r="AE140" i="1"/>
  <c r="AE265" i="1"/>
  <c r="AE219" i="1"/>
  <c r="AE274" i="1"/>
  <c r="AE411" i="1"/>
  <c r="AE472" i="1"/>
  <c r="AE565" i="1"/>
  <c r="AE318" i="1"/>
  <c r="AE538" i="1"/>
  <c r="AE427" i="1"/>
  <c r="AE340" i="1"/>
  <c r="AE263" i="1"/>
  <c r="AE489" i="1"/>
  <c r="AE59" i="1"/>
  <c r="AE109" i="1"/>
  <c r="AE73" i="1"/>
  <c r="AE50" i="1"/>
  <c r="AE61" i="1"/>
  <c r="AE315" i="1"/>
  <c r="AE115" i="1"/>
  <c r="AE314" i="1"/>
  <c r="AE433" i="1"/>
  <c r="AE488" i="1"/>
  <c r="AE613" i="1"/>
  <c r="AE543" i="1"/>
  <c r="AE348" i="1"/>
  <c r="AE375" i="1"/>
  <c r="AE142" i="1"/>
  <c r="AE262" i="1"/>
  <c r="AE97" i="1"/>
  <c r="AE290" i="1"/>
  <c r="AE17" i="1"/>
  <c r="AE249" i="1"/>
  <c r="AE562" i="1"/>
  <c r="AE396" i="1"/>
  <c r="AE512" i="1"/>
  <c r="AE509" i="1"/>
  <c r="AE152" i="1"/>
  <c r="AE67" i="1"/>
  <c r="AE81" i="1"/>
  <c r="AE317" i="1"/>
  <c r="AE164" i="1"/>
  <c r="AE448" i="1"/>
  <c r="AE506" i="1"/>
  <c r="AE622" i="1"/>
  <c r="AE602" i="1"/>
  <c r="AE440" i="1"/>
  <c r="AE540" i="1"/>
  <c r="AE52" i="1"/>
  <c r="AE426" i="1"/>
  <c r="AE429" i="1"/>
  <c r="AE327" i="1"/>
  <c r="AE413" i="1"/>
  <c r="AE370" i="1"/>
  <c r="AE150" i="1"/>
  <c r="AE82" i="1"/>
  <c r="AE227" i="1"/>
  <c r="AE319" i="1"/>
  <c r="AE181" i="1"/>
  <c r="AE236" i="1"/>
  <c r="AE465" i="1"/>
  <c r="AE431" i="1"/>
  <c r="AE629" i="1"/>
  <c r="AE620" i="1"/>
  <c r="AE312" i="1"/>
  <c r="AE385" i="1"/>
  <c r="AE561" i="1"/>
  <c r="AE222" i="1"/>
  <c r="AE257" i="1"/>
  <c r="AE78" i="1"/>
  <c r="AE443" i="1"/>
  <c r="AE445" i="1"/>
  <c r="AE419" i="1"/>
  <c r="AE544" i="1"/>
  <c r="AE482" i="1"/>
  <c r="AE11" i="1"/>
  <c r="AE167" i="1"/>
  <c r="AE99" i="1"/>
  <c r="AE245" i="1"/>
  <c r="AE321" i="1"/>
  <c r="AE60" i="1"/>
  <c r="AE259" i="1"/>
  <c r="AE96" i="1"/>
  <c r="AE483" i="1"/>
  <c r="AE373" i="1"/>
  <c r="AE131" i="1"/>
  <c r="AE324" i="1"/>
  <c r="AE424" i="1"/>
  <c r="AE15" i="1"/>
  <c r="AE325" i="1"/>
  <c r="AE395" i="1"/>
  <c r="AE104" i="1"/>
  <c r="AE350" i="1"/>
  <c r="AE76" i="1"/>
  <c r="AE550" i="1"/>
  <c r="AE13" i="1"/>
  <c r="AE12" i="1"/>
  <c r="AE114" i="1"/>
  <c r="AE247" i="1"/>
  <c r="AE323" i="1"/>
  <c r="AE110" i="1"/>
  <c r="AE276" i="1"/>
  <c r="AE310" i="1"/>
  <c r="AE286" i="1"/>
  <c r="AE398" i="1"/>
  <c r="AE183" i="1"/>
  <c r="AE378" i="1"/>
  <c r="AE627" i="1"/>
  <c r="AE619" i="1"/>
  <c r="AE547" i="1"/>
  <c r="AE66" i="1"/>
  <c r="AE284" i="1"/>
  <c r="AE423" i="1"/>
  <c r="AE69" i="1"/>
  <c r="AE292" i="1"/>
  <c r="AE338" i="1"/>
  <c r="AE569" i="1"/>
  <c r="AE467" i="1"/>
  <c r="AE107" i="1"/>
  <c r="AE144" i="1"/>
  <c r="AE331" i="1"/>
  <c r="AE246" i="1"/>
  <c r="AE91" i="1"/>
  <c r="AE410" i="1"/>
  <c r="AE296" i="1"/>
  <c r="AE495" i="1"/>
  <c r="AE170" i="1"/>
  <c r="AE179" i="1"/>
  <c r="AE332" i="1"/>
  <c r="AE359" i="1"/>
  <c r="AE428" i="1"/>
  <c r="AE49" i="1"/>
  <c r="AE412" i="1"/>
  <c r="AE271" i="1"/>
  <c r="AE361" i="1"/>
  <c r="AE416" i="1"/>
  <c r="AE466" i="1"/>
  <c r="AE206" i="1"/>
  <c r="AE606" i="1"/>
  <c r="AE106" i="1"/>
  <c r="AE124" i="1"/>
  <c r="AE609" i="1"/>
  <c r="AE125" i="1"/>
  <c r="AE365" i="1"/>
  <c r="AE329" i="1"/>
  <c r="AE505" i="1"/>
  <c r="AE432" i="1"/>
  <c r="AE415" i="1"/>
  <c r="AE515" i="1"/>
  <c r="AE171" i="1"/>
  <c r="AE155" i="1"/>
  <c r="AE157" i="1"/>
  <c r="AE77" i="1"/>
  <c r="AE496" i="1"/>
  <c r="AE352" i="1"/>
  <c r="AE250" i="1"/>
  <c r="AE269" i="1"/>
  <c r="AE224" i="1"/>
  <c r="AE270" i="1"/>
  <c r="AE273" i="1"/>
  <c r="AE591" i="1"/>
  <c r="AE328" i="1"/>
  <c r="AE26" i="1"/>
  <c r="AE456" i="1"/>
  <c r="AE418" i="1"/>
  <c r="AE32" i="1"/>
  <c r="AE163" i="1"/>
  <c r="AE191" i="1"/>
  <c r="AE95" i="1"/>
  <c r="AE98" i="1"/>
  <c r="AE528" i="1"/>
  <c r="AE560" i="1"/>
  <c r="AE454" i="1"/>
  <c r="AE354" i="1"/>
  <c r="AE405" i="1"/>
  <c r="AE425" i="1"/>
  <c r="AE180" i="1"/>
  <c r="AE452" i="1"/>
  <c r="AE384" i="1"/>
  <c r="AE190" i="1"/>
  <c r="AE499" i="1"/>
  <c r="AE473" i="1"/>
  <c r="AE294" i="1"/>
  <c r="AE494" i="1"/>
  <c r="AE283" i="1"/>
  <c r="AE579" i="1"/>
  <c r="AE285" i="1"/>
  <c r="AE615" i="1"/>
  <c r="AE551" i="1"/>
  <c r="AE297" i="1"/>
  <c r="AE89" i="1"/>
  <c r="AE151" i="1"/>
  <c r="AE75" i="1"/>
  <c r="AE68" i="1"/>
  <c r="AE435" i="1"/>
  <c r="AE47" i="1"/>
  <c r="AE541" i="1"/>
  <c r="AE56" i="1"/>
  <c r="AE174" i="1"/>
  <c r="AE215" i="1"/>
  <c r="AE117" i="1"/>
  <c r="AE381" i="1"/>
  <c r="AE531" i="1"/>
  <c r="AE162" i="1"/>
  <c r="AE221" i="1"/>
  <c r="AE537" i="1"/>
  <c r="AE55" i="1"/>
  <c r="AE336" i="1"/>
  <c r="AE533" i="1"/>
  <c r="AE369" i="1"/>
  <c r="AE188" i="1"/>
  <c r="AE481" i="1"/>
  <c r="AE581" i="1"/>
  <c r="AE590" i="1"/>
  <c r="AE275" i="1"/>
  <c r="AE597" i="1"/>
  <c r="AE83" i="1"/>
  <c r="AE471" i="1"/>
  <c r="AE18" i="1"/>
  <c r="AE193" i="1"/>
  <c r="AE58" i="1"/>
  <c r="AE519" i="1"/>
  <c r="AE211" i="1"/>
  <c r="AE141" i="1"/>
  <c r="AE397" i="1"/>
  <c r="AE84" i="1"/>
  <c r="AE406" i="1"/>
  <c r="AE165" i="1"/>
  <c r="AE420" i="1"/>
  <c r="AE108" i="1"/>
  <c r="AE372" i="1"/>
  <c r="AE111" i="1"/>
  <c r="AE574" i="1"/>
  <c r="AE166" i="1"/>
  <c r="AE401" i="1"/>
  <c r="AE192" i="1"/>
  <c r="AE502" i="1"/>
  <c r="AE204" i="1"/>
  <c r="AE367" i="1"/>
  <c r="AE623" i="1"/>
  <c r="AE503" i="1"/>
  <c r="AE463" i="1"/>
  <c r="AE43" i="1"/>
  <c r="AE510" i="1"/>
  <c r="AE197" i="1"/>
  <c r="AE264" i="1"/>
  <c r="AE299" i="1"/>
  <c r="AE485" i="1"/>
  <c r="AE90" i="1"/>
  <c r="AE80" i="1"/>
  <c r="AF68" i="1" l="1"/>
  <c r="AF400" i="1"/>
  <c r="AF466" i="1"/>
  <c r="AF442" i="1"/>
  <c r="AF474" i="1"/>
  <c r="AF409" i="1"/>
  <c r="AF483" i="1"/>
  <c r="AF518" i="1"/>
  <c r="AF212" i="1"/>
  <c r="AF310" i="1"/>
  <c r="AF338" i="1"/>
  <c r="AF530" i="1"/>
  <c r="AF575" i="1"/>
  <c r="AF571" i="1"/>
  <c r="AF422" i="1"/>
  <c r="AF503" i="1"/>
  <c r="AF386" i="1"/>
  <c r="AF460" i="1"/>
  <c r="AF349" i="1"/>
  <c r="AF377" i="1"/>
  <c r="AF491" i="1"/>
  <c r="AF522" i="1"/>
  <c r="AG9" i="1"/>
  <c r="AF136" i="1"/>
  <c r="AF437" i="1"/>
  <c r="AF373" i="1"/>
  <c r="AF261" i="1"/>
  <c r="AF451" i="1"/>
  <c r="AF510" i="1"/>
  <c r="AF35" i="1"/>
  <c r="AF58" i="1"/>
  <c r="AF169" i="1"/>
  <c r="AF51" i="1"/>
  <c r="AF133" i="1"/>
  <c r="AF179" i="1"/>
  <c r="AF194" i="1"/>
  <c r="AF287" i="1"/>
  <c r="AF319" i="1"/>
  <c r="AF161" i="1"/>
  <c r="AF286" i="1"/>
  <c r="AF355" i="1"/>
  <c r="AF246" i="1"/>
  <c r="AF138" i="1"/>
  <c r="AF438" i="1"/>
  <c r="AF556" i="1"/>
  <c r="AF588" i="1"/>
  <c r="AF620" i="1"/>
  <c r="AF401" i="1"/>
  <c r="AF551" i="1"/>
  <c r="AF403" i="1"/>
  <c r="AF99" i="1"/>
  <c r="AF205" i="1"/>
  <c r="AF609" i="1"/>
  <c r="AF272" i="1"/>
  <c r="AF440" i="1"/>
  <c r="AF320" i="1"/>
  <c r="AF589" i="1"/>
  <c r="AF343" i="1"/>
  <c r="AF619" i="1"/>
  <c r="AF196" i="1"/>
  <c r="AF37" i="1"/>
  <c r="AF75" i="1"/>
  <c r="AF38" i="1"/>
  <c r="AF72" i="1"/>
  <c r="AF149" i="1"/>
  <c r="AF200" i="1"/>
  <c r="AF226" i="1"/>
  <c r="AF289" i="1"/>
  <c r="AF321" i="1"/>
  <c r="AF164" i="1"/>
  <c r="AF316" i="1"/>
  <c r="AF70" i="1"/>
  <c r="AF265" i="1"/>
  <c r="AF153" i="1"/>
  <c r="AF455" i="1"/>
  <c r="AF558" i="1"/>
  <c r="AF590" i="1"/>
  <c r="AF622" i="1"/>
  <c r="AF416" i="1"/>
  <c r="AF567" i="1"/>
  <c r="AF469" i="1"/>
  <c r="AF114" i="1"/>
  <c r="AF268" i="1"/>
  <c r="AF627" i="1"/>
  <c r="AF358" i="1"/>
  <c r="AF449" i="1"/>
  <c r="AF339" i="1"/>
  <c r="AF607" i="1"/>
  <c r="AF378" i="1"/>
  <c r="AF367" i="1"/>
  <c r="AF393" i="1"/>
  <c r="AF444" i="1"/>
  <c r="AF419" i="1"/>
  <c r="AF561" i="1"/>
  <c r="AF176" i="1"/>
  <c r="AF39" i="1"/>
  <c r="AF90" i="1"/>
  <c r="AF54" i="1"/>
  <c r="AF98" i="1"/>
  <c r="AF160" i="1"/>
  <c r="AF63" i="1"/>
  <c r="AF229" i="1"/>
  <c r="AF291" i="1"/>
  <c r="AF22" i="1"/>
  <c r="AF181" i="1"/>
  <c r="AF337" i="1"/>
  <c r="AF74" i="1"/>
  <c r="AF314" i="1"/>
  <c r="AF159" i="1"/>
  <c r="AF470" i="1"/>
  <c r="AF560" i="1"/>
  <c r="AF592" i="1"/>
  <c r="AF624" i="1"/>
  <c r="AF433" i="1"/>
  <c r="AF583" i="1"/>
  <c r="AF472" i="1"/>
  <c r="AF127" i="1"/>
  <c r="AF276" i="1"/>
  <c r="AF170" i="1"/>
  <c r="AF365" i="1"/>
  <c r="AF625" i="1"/>
  <c r="AF404" i="1"/>
  <c r="AF375" i="1"/>
  <c r="AF417" i="1"/>
  <c r="AF298" i="1"/>
  <c r="AF569" i="1"/>
  <c r="AF45" i="1"/>
  <c r="AF32" i="1"/>
  <c r="AF52" i="1"/>
  <c r="AF119" i="1"/>
  <c r="AF100" i="1"/>
  <c r="AF255" i="1"/>
  <c r="AF307" i="1"/>
  <c r="AF115" i="1"/>
  <c r="AF357" i="1"/>
  <c r="AF243" i="1"/>
  <c r="AF48" i="1"/>
  <c r="AF374" i="1"/>
  <c r="AF554" i="1"/>
  <c r="AF598" i="1"/>
  <c r="AF213" i="1"/>
  <c r="AF389" i="1"/>
  <c r="AF356" i="1"/>
  <c r="AF186" i="1"/>
  <c r="AF346" i="1"/>
  <c r="AF340" i="1"/>
  <c r="AF10" i="1"/>
  <c r="AF407" i="1"/>
  <c r="AF538" i="1"/>
  <c r="AF325" i="1"/>
  <c r="AF248" i="1"/>
  <c r="AF504" i="1"/>
  <c r="AF405" i="1"/>
  <c r="AF60" i="1"/>
  <c r="AF56" i="1"/>
  <c r="AF69" i="1"/>
  <c r="AF130" i="1"/>
  <c r="AF129" i="1"/>
  <c r="AF271" i="1"/>
  <c r="AF309" i="1"/>
  <c r="AF123" i="1"/>
  <c r="AF36" i="1"/>
  <c r="AF252" i="1"/>
  <c r="AF112" i="1"/>
  <c r="AF391" i="1"/>
  <c r="AF562" i="1"/>
  <c r="AF600" i="1"/>
  <c r="AF256" i="1"/>
  <c r="AF392" i="1"/>
  <c r="AF362" i="1"/>
  <c r="AF210" i="1"/>
  <c r="AF361" i="1"/>
  <c r="AF382" i="1"/>
  <c r="AF308" i="1"/>
  <c r="AF413" i="1"/>
  <c r="AF366" i="1"/>
  <c r="AF494" i="1"/>
  <c r="AF94" i="1"/>
  <c r="AF402" i="1"/>
  <c r="AF370" i="1"/>
  <c r="AF611" i="1"/>
  <c r="AF231" i="1"/>
  <c r="AF476" i="1"/>
  <c r="AF11" i="1"/>
  <c r="AF77" i="1"/>
  <c r="AF73" i="1"/>
  <c r="AF84" i="1"/>
  <c r="AF182" i="1"/>
  <c r="AF146" i="1"/>
  <c r="AF273" i="1"/>
  <c r="AF311" i="1"/>
  <c r="AF143" i="1"/>
  <c r="AF132" i="1"/>
  <c r="AF304" i="1"/>
  <c r="AF203" i="1"/>
  <c r="AF406" i="1"/>
  <c r="AF564" i="1"/>
  <c r="AF602" i="1"/>
  <c r="AF124" i="1"/>
  <c r="AF71" i="1"/>
  <c r="AF78" i="1"/>
  <c r="AF174" i="1"/>
  <c r="AF277" i="1"/>
  <c r="AF140" i="1"/>
  <c r="AF128" i="1"/>
  <c r="AF83" i="1"/>
  <c r="AF230" i="1"/>
  <c r="AF505" i="1"/>
  <c r="AF578" i="1"/>
  <c r="AF628" i="1"/>
  <c r="AF324" i="1"/>
  <c r="AF488" i="1"/>
  <c r="AF439" i="1"/>
  <c r="AF468" i="1"/>
  <c r="AF410" i="1"/>
  <c r="AF80" i="1"/>
  <c r="AF557" i="1"/>
  <c r="AF336" i="1"/>
  <c r="AF497" i="1"/>
  <c r="AF501" i="1"/>
  <c r="AF591" i="1"/>
  <c r="AF513" i="1"/>
  <c r="AF623" i="1"/>
  <c r="AF302" i="1"/>
  <c r="AF453" i="1"/>
  <c r="AF363" i="1"/>
  <c r="AF13" i="1"/>
  <c r="AF141" i="1"/>
  <c r="AF86" i="1"/>
  <c r="AF197" i="1"/>
  <c r="AF82" i="1"/>
  <c r="AF279" i="1"/>
  <c r="AF157" i="1"/>
  <c r="AF162" i="1"/>
  <c r="AF106" i="1"/>
  <c r="AF67" i="1"/>
  <c r="AF512" i="1"/>
  <c r="AF580" i="1"/>
  <c r="AF134" i="1"/>
  <c r="AF334" i="1"/>
  <c r="AF506" i="1"/>
  <c r="AF447" i="1"/>
  <c r="AF471" i="1"/>
  <c r="AF436" i="1"/>
  <c r="AF131" i="1"/>
  <c r="AF443" i="1"/>
  <c r="AF597" i="1"/>
  <c r="AF492" i="1"/>
  <c r="AF172" i="1"/>
  <c r="AF479" i="1"/>
  <c r="AF158" i="1"/>
  <c r="AF553" i="1"/>
  <c r="AF563" i="1"/>
  <c r="AF76" i="1"/>
  <c r="AF173" i="1"/>
  <c r="AF184" i="1"/>
  <c r="AF215" i="1"/>
  <c r="AF335" i="1"/>
  <c r="AF528" i="1"/>
  <c r="AF165" i="1"/>
  <c r="AF534" i="1"/>
  <c r="AF253" i="1"/>
  <c r="AF201" i="1"/>
  <c r="AF148" i="1"/>
  <c r="AF15" i="1"/>
  <c r="AF156" i="1"/>
  <c r="AF103" i="1"/>
  <c r="AF16" i="1"/>
  <c r="AF177" i="1"/>
  <c r="AF281" i="1"/>
  <c r="AF191" i="1"/>
  <c r="AF192" i="1"/>
  <c r="AF180" i="1"/>
  <c r="AF95" i="1"/>
  <c r="AF521" i="1"/>
  <c r="AF582" i="1"/>
  <c r="AF55" i="1"/>
  <c r="AF414" i="1"/>
  <c r="AF516" i="1"/>
  <c r="AF529" i="1"/>
  <c r="AF525" i="1"/>
  <c r="AF478" i="1"/>
  <c r="AF183" i="1"/>
  <c r="AF240" i="1"/>
  <c r="AF535" i="1"/>
  <c r="AF500" i="1"/>
  <c r="AF224" i="1"/>
  <c r="AF59" i="1"/>
  <c r="AF621" i="1"/>
  <c r="AF17" i="1"/>
  <c r="AF118" i="1"/>
  <c r="AF24" i="1"/>
  <c r="AF283" i="1"/>
  <c r="AF232" i="1"/>
  <c r="AF117" i="1"/>
  <c r="AF584" i="1"/>
  <c r="AF477" i="1"/>
  <c r="AF549" i="1"/>
  <c r="AF484" i="1"/>
  <c r="AF434" i="1"/>
  <c r="AF236" i="1"/>
  <c r="AF318" i="1"/>
  <c r="AF122" i="1"/>
  <c r="AF168" i="1"/>
  <c r="AF163" i="1"/>
  <c r="AF297" i="1"/>
  <c r="AF267" i="1"/>
  <c r="AF344" i="1"/>
  <c r="AF185" i="1"/>
  <c r="AF568" i="1"/>
  <c r="AF626" i="1"/>
  <c r="AF381" i="1"/>
  <c r="AF40" i="1"/>
  <c r="AF458" i="1"/>
  <c r="AF517" i="1"/>
  <c r="AF499" i="1"/>
  <c r="AF520" i="1"/>
  <c r="AF473" i="1"/>
  <c r="AF467" i="1"/>
  <c r="AF527" i="1"/>
  <c r="AF536" i="1"/>
  <c r="AF429" i="1"/>
  <c r="AF603" i="1"/>
  <c r="AF274" i="1"/>
  <c r="AF502" i="1"/>
  <c r="AF81" i="1"/>
  <c r="AF91" i="1"/>
  <c r="AF380" i="1"/>
  <c r="AF415" i="1"/>
  <c r="AF595" i="1"/>
  <c r="AF540" i="1"/>
  <c r="AF104" i="1"/>
  <c r="AF322" i="1"/>
  <c r="AF425" i="1"/>
  <c r="AF19" i="1"/>
  <c r="AF139" i="1"/>
  <c r="AF202" i="1"/>
  <c r="AF206" i="1"/>
  <c r="AF299" i="1"/>
  <c r="AF30" i="1"/>
  <c r="AF353" i="1"/>
  <c r="AF195" i="1"/>
  <c r="AF570" i="1"/>
  <c r="AF461" i="1"/>
  <c r="AF85" i="1"/>
  <c r="AF372" i="1"/>
  <c r="AF332" i="1"/>
  <c r="AF25" i="1"/>
  <c r="AF66" i="1"/>
  <c r="AF65" i="1"/>
  <c r="AF359" i="1"/>
  <c r="AF526" i="1"/>
  <c r="AF21" i="1"/>
  <c r="AF154" i="1"/>
  <c r="AF211" i="1"/>
  <c r="AF262" i="1"/>
  <c r="AF301" i="1"/>
  <c r="AF42" i="1"/>
  <c r="AF47" i="1"/>
  <c r="AF199" i="1"/>
  <c r="AF572" i="1"/>
  <c r="AF331" i="1"/>
  <c r="AF464" i="1"/>
  <c r="AF147" i="1"/>
  <c r="AF398" i="1"/>
  <c r="AF228" i="1"/>
  <c r="AF573" i="1"/>
  <c r="AF352" i="1"/>
  <c r="AF577" i="1"/>
  <c r="AF601" i="1"/>
  <c r="AF482" i="1"/>
  <c r="AF368" i="1"/>
  <c r="AF515" i="1"/>
  <c r="AF585" i="1"/>
  <c r="AF341" i="1"/>
  <c r="AF426" i="1"/>
  <c r="AF88" i="1"/>
  <c r="AF305" i="1"/>
  <c r="AF102" i="1"/>
  <c r="AF511" i="1"/>
  <c r="AF296" i="1"/>
  <c r="AF23" i="1"/>
  <c r="AF171" i="1"/>
  <c r="AF218" i="1"/>
  <c r="AF97" i="1"/>
  <c r="AF303" i="1"/>
  <c r="AF61" i="1"/>
  <c r="AF79" i="1"/>
  <c r="AF235" i="1"/>
  <c r="AF574" i="1"/>
  <c r="AF354" i="1"/>
  <c r="AF493" i="1"/>
  <c r="AF347" i="1"/>
  <c r="AF446" i="1"/>
  <c r="AF388" i="1"/>
  <c r="AF617" i="1"/>
  <c r="AF427" i="1"/>
  <c r="AF555" i="1"/>
  <c r="AF259" i="1"/>
  <c r="AF559" i="1"/>
  <c r="AF576" i="1"/>
  <c r="AF135" i="1"/>
  <c r="AF144" i="1"/>
  <c r="AF126" i="1"/>
  <c r="AF270" i="1"/>
  <c r="AF489" i="1"/>
  <c r="AF612" i="1"/>
  <c r="AF565" i="1"/>
  <c r="AF238" i="1"/>
  <c r="AF329" i="1"/>
  <c r="AF193" i="1"/>
  <c r="AF509" i="1"/>
  <c r="AF41" i="1"/>
  <c r="AF49" i="1"/>
  <c r="AF350" i="1"/>
  <c r="AF454" i="1"/>
  <c r="AF27" i="1"/>
  <c r="AF150" i="1"/>
  <c r="AF155" i="1"/>
  <c r="AF221" i="1"/>
  <c r="AF294" i="1"/>
  <c r="AF496" i="1"/>
  <c r="AF614" i="1"/>
  <c r="AF251" i="1"/>
  <c r="AF244" i="1"/>
  <c r="AF395" i="1"/>
  <c r="AF207" i="1"/>
  <c r="AF225" i="1"/>
  <c r="AF399" i="1"/>
  <c r="AF463" i="1"/>
  <c r="AF541" i="1"/>
  <c r="AF384" i="1"/>
  <c r="AF462" i="1"/>
  <c r="AF29" i="1"/>
  <c r="AF167" i="1"/>
  <c r="AF108" i="1"/>
  <c r="AF250" i="1"/>
  <c r="AF328" i="1"/>
  <c r="AF537" i="1"/>
  <c r="AF616" i="1"/>
  <c r="AF300" i="1"/>
  <c r="AF371" i="1"/>
  <c r="AF424" i="1"/>
  <c r="AF292" i="1"/>
  <c r="AF613" i="1"/>
  <c r="AF360" i="1"/>
  <c r="AF234" i="1"/>
  <c r="AF548" i="1"/>
  <c r="AF257" i="1"/>
  <c r="AF31" i="1"/>
  <c r="AF12" i="1"/>
  <c r="AF111" i="1"/>
  <c r="AF269" i="1"/>
  <c r="AF208" i="1"/>
  <c r="AF544" i="1"/>
  <c r="AF618" i="1"/>
  <c r="AF539" i="1"/>
  <c r="AF387" i="1"/>
  <c r="AF53" i="1"/>
  <c r="AF312" i="1"/>
  <c r="AF376" i="1"/>
  <c r="AF333" i="1"/>
  <c r="AF579" i="1"/>
  <c r="AF89" i="1"/>
  <c r="AF116" i="1"/>
  <c r="AF326" i="1"/>
  <c r="AF178" i="1"/>
  <c r="AF486" i="1"/>
  <c r="AF33" i="1"/>
  <c r="AF101" i="1"/>
  <c r="AF188" i="1"/>
  <c r="AF18" i="1"/>
  <c r="AF219" i="1"/>
  <c r="AF546" i="1"/>
  <c r="AF369" i="1"/>
  <c r="AF290" i="1"/>
  <c r="AF445" i="1"/>
  <c r="AF214" i="1"/>
  <c r="AF430" i="1"/>
  <c r="AF532" i="1"/>
  <c r="AF421" i="1"/>
  <c r="AF327" i="1"/>
  <c r="AF216" i="1"/>
  <c r="AF260" i="1"/>
  <c r="AF227" i="1"/>
  <c r="AF166" i="1"/>
  <c r="AF233" i="1"/>
  <c r="AF514" i="1"/>
  <c r="AF411" i="1"/>
  <c r="AF418" i="1"/>
  <c r="AF242" i="1"/>
  <c r="AF394" i="1"/>
  <c r="AF239" i="1"/>
  <c r="AF20" i="1"/>
  <c r="AF87" i="1"/>
  <c r="AF264" i="1"/>
  <c r="AF348" i="1"/>
  <c r="AF241" i="1"/>
  <c r="AF223" i="1"/>
  <c r="AF385" i="1"/>
  <c r="AF587" i="1"/>
  <c r="AF222" i="1"/>
  <c r="AF428" i="1"/>
  <c r="AF258" i="1"/>
  <c r="AF92" i="1"/>
  <c r="AF93" i="1"/>
  <c r="AF278" i="1"/>
  <c r="AF423" i="1"/>
  <c r="AF282" i="1"/>
  <c r="AF456" i="1"/>
  <c r="AF459" i="1"/>
  <c r="AF284" i="1"/>
  <c r="AF586" i="1"/>
  <c r="AF523" i="1"/>
  <c r="AF545" i="1"/>
  <c r="AF105" i="1"/>
  <c r="AF109" i="1"/>
  <c r="AF113" i="1"/>
  <c r="AF145" i="1"/>
  <c r="AF550" i="1"/>
  <c r="AF498" i="1"/>
  <c r="AF263" i="1"/>
  <c r="AF62" i="1"/>
  <c r="AF435" i="1"/>
  <c r="AF629" i="1"/>
  <c r="AF524" i="1"/>
  <c r="AF245" i="1"/>
  <c r="AF397" i="1"/>
  <c r="AF26" i="1"/>
  <c r="AF125" i="1"/>
  <c r="AF175" i="1"/>
  <c r="AF552" i="1"/>
  <c r="AF599" i="1"/>
  <c r="AF220" i="1"/>
  <c r="AF96" i="1"/>
  <c r="AF383" i="1"/>
  <c r="AF408" i="1"/>
  <c r="AF547" i="1"/>
  <c r="AF457" i="1"/>
  <c r="AF43" i="1"/>
  <c r="AF237" i="1"/>
  <c r="AF204" i="1"/>
  <c r="AF566" i="1"/>
  <c r="AF615" i="1"/>
  <c r="AF266" i="1"/>
  <c r="AF508" i="1"/>
  <c r="AF306" i="1"/>
  <c r="AF107" i="1"/>
  <c r="AF594" i="1"/>
  <c r="AF519" i="1"/>
  <c r="AF198" i="1"/>
  <c r="AF480" i="1"/>
  <c r="AF487" i="1"/>
  <c r="AF412" i="1"/>
  <c r="AF110" i="1"/>
  <c r="AF46" i="1"/>
  <c r="AF34" i="1"/>
  <c r="AF345" i="1"/>
  <c r="AF396" i="1"/>
  <c r="AF64" i="1"/>
  <c r="AF441" i="1"/>
  <c r="AF285" i="1"/>
  <c r="AF432" i="1"/>
  <c r="AF543" i="1"/>
  <c r="AF280" i="1"/>
  <c r="AF452" i="1"/>
  <c r="AF364" i="1"/>
  <c r="AF481" i="1"/>
  <c r="AF120" i="1"/>
  <c r="AF249" i="1"/>
  <c r="AF450" i="1"/>
  <c r="AF187" i="1"/>
  <c r="AF533" i="1"/>
  <c r="AF217" i="1"/>
  <c r="AF390" i="1"/>
  <c r="AF330" i="1"/>
  <c r="AF608" i="1"/>
  <c r="AF317" i="1"/>
  <c r="AF137" i="1"/>
  <c r="AF342" i="1"/>
  <c r="AF542" i="1"/>
  <c r="AF507" i="1"/>
  <c r="AF495" i="1"/>
  <c r="AF14" i="1"/>
  <c r="AF50" i="1"/>
  <c r="AF121" i="1"/>
  <c r="AF254" i="1"/>
  <c r="AF288" i="1"/>
  <c r="AF44" i="1"/>
  <c r="AF275" i="1"/>
  <c r="AF606" i="1"/>
  <c r="AF605" i="1"/>
  <c r="AF610" i="1"/>
  <c r="AF315" i="1"/>
  <c r="AF152" i="1"/>
  <c r="AF351" i="1"/>
  <c r="AF581" i="1"/>
  <c r="AF431" i="1"/>
  <c r="AF189" i="1"/>
  <c r="AF151" i="1"/>
  <c r="AF490" i="1"/>
  <c r="AF604" i="1"/>
  <c r="AF293" i="1"/>
  <c r="AF485" i="1"/>
  <c r="AF295" i="1"/>
  <c r="AF313" i="1"/>
  <c r="AF448" i="1"/>
  <c r="AF465" i="1"/>
  <c r="AF323" i="1"/>
  <c r="AF593" i="1"/>
  <c r="AF57" i="1"/>
  <c r="AF28" i="1"/>
  <c r="AF247" i="1"/>
  <c r="AF190" i="1"/>
  <c r="AF209" i="1"/>
  <c r="AF596" i="1"/>
  <c r="AF142" i="1"/>
  <c r="AF531" i="1"/>
  <c r="AF420" i="1"/>
  <c r="AF379" i="1"/>
  <c r="AF475" i="1"/>
  <c r="AG205" i="1" l="1"/>
  <c r="AG68" i="1"/>
  <c r="AG491" i="1"/>
  <c r="AG530" i="1"/>
  <c r="AG510" i="1"/>
  <c r="AG518" i="1"/>
  <c r="AG310" i="1"/>
  <c r="AG338" i="1"/>
  <c r="AG437" i="1"/>
  <c r="AG571" i="1"/>
  <c r="AG522" i="1"/>
  <c r="AG136" i="1"/>
  <c r="AG409" i="1"/>
  <c r="AG354" i="1"/>
  <c r="AG395" i="1"/>
  <c r="AG416" i="1"/>
  <c r="AG467" i="1"/>
  <c r="AG507" i="1"/>
  <c r="AG236" i="1"/>
  <c r="AG547" i="1"/>
  <c r="AG461" i="1"/>
  <c r="AG35" i="1"/>
  <c r="AG67" i="1"/>
  <c r="AG99" i="1"/>
  <c r="AG131" i="1"/>
  <c r="AG163" i="1"/>
  <c r="AG92" i="1"/>
  <c r="AG118" i="1"/>
  <c r="AG78" i="1"/>
  <c r="AG132" i="1"/>
  <c r="AG585" i="1"/>
  <c r="AG302" i="1"/>
  <c r="AG555" i="1"/>
  <c r="AG76" i="1"/>
  <c r="AG37" i="1"/>
  <c r="AG69" i="1"/>
  <c r="AG101" i="1"/>
  <c r="AG133" i="1"/>
  <c r="AG165" i="1"/>
  <c r="AG124" i="1"/>
  <c r="AG542" i="1"/>
  <c r="AG541" i="1"/>
  <c r="AG224" i="1"/>
  <c r="AG431" i="1"/>
  <c r="AG429" i="1"/>
  <c r="AG497" i="1"/>
  <c r="AG248" i="1"/>
  <c r="AG380" i="1"/>
  <c r="AG412" i="1"/>
  <c r="AG535" i="1"/>
  <c r="AG19" i="1"/>
  <c r="AG55" i="1"/>
  <c r="AG91" i="1"/>
  <c r="AG127" i="1"/>
  <c r="AG167" i="1"/>
  <c r="AG58" i="1"/>
  <c r="AG192" i="1"/>
  <c r="AG52" i="1"/>
  <c r="AG100" i="1"/>
  <c r="AG275" i="1"/>
  <c r="AG307" i="1"/>
  <c r="AG339" i="1"/>
  <c r="AG250" i="1"/>
  <c r="AG278" i="1"/>
  <c r="AG148" i="1"/>
  <c r="AG381" i="1"/>
  <c r="AG432" i="1"/>
  <c r="AG463" i="1"/>
  <c r="AG342" i="1"/>
  <c r="AG21" i="1"/>
  <c r="AG57" i="1"/>
  <c r="AG93" i="1"/>
  <c r="AG129" i="1"/>
  <c r="AG169" i="1"/>
  <c r="AG90" i="1"/>
  <c r="AG12" i="1"/>
  <c r="AG130" i="1"/>
  <c r="AG184" i="1"/>
  <c r="AG277" i="1"/>
  <c r="AG309" i="1"/>
  <c r="AG341" i="1"/>
  <c r="AG269" i="1"/>
  <c r="AG286" i="1"/>
  <c r="AG164" i="1"/>
  <c r="AG396" i="1"/>
  <c r="AG423" i="1"/>
  <c r="AG554" i="1"/>
  <c r="AG586" i="1"/>
  <c r="AG618" i="1"/>
  <c r="AG411" i="1"/>
  <c r="AG282" i="1"/>
  <c r="AG515" i="1"/>
  <c r="AG464" i="1"/>
  <c r="AG263" i="1"/>
  <c r="AG621" i="1"/>
  <c r="AG11" i="1"/>
  <c r="AG51" i="1"/>
  <c r="AG95" i="1"/>
  <c r="AG139" i="1"/>
  <c r="AG179" i="1"/>
  <c r="AG152" i="1"/>
  <c r="AG66" i="1"/>
  <c r="AG203" i="1"/>
  <c r="AG271" i="1"/>
  <c r="AG311" i="1"/>
  <c r="AG347" i="1"/>
  <c r="AG258" i="1"/>
  <c r="AG294" i="1"/>
  <c r="AG189" i="1"/>
  <c r="AG322" i="1"/>
  <c r="AG546" i="1"/>
  <c r="AG580" i="1"/>
  <c r="AG614" i="1"/>
  <c r="AG378" i="1"/>
  <c r="AG324" i="1"/>
  <c r="AG260" i="1"/>
  <c r="AG439" i="1"/>
  <c r="AG44" i="1"/>
  <c r="AG375" i="1"/>
  <c r="AG490" i="1"/>
  <c r="AG446" i="1"/>
  <c r="AG514" i="1"/>
  <c r="AG482" i="1"/>
  <c r="AG385" i="1"/>
  <c r="AG448" i="1"/>
  <c r="AG408" i="1"/>
  <c r="AG254" i="1"/>
  <c r="AG13" i="1"/>
  <c r="AG53" i="1"/>
  <c r="AG97" i="1"/>
  <c r="AG141" i="1"/>
  <c r="AG14" i="1"/>
  <c r="AG38" i="1"/>
  <c r="AG84" i="1"/>
  <c r="AG212" i="1"/>
  <c r="AG273" i="1"/>
  <c r="AG313" i="1"/>
  <c r="AG349" i="1"/>
  <c r="AG306" i="1"/>
  <c r="AG328" i="1"/>
  <c r="AG217" i="1"/>
  <c r="AG348" i="1"/>
  <c r="AG548" i="1"/>
  <c r="AG582" i="1"/>
  <c r="AG616" i="1"/>
  <c r="AG419" i="1"/>
  <c r="AG334" i="1"/>
  <c r="AG362" i="1"/>
  <c r="AG513" i="1"/>
  <c r="AG233" i="1"/>
  <c r="AG401" i="1"/>
  <c r="AG493" i="1"/>
  <c r="AG64" i="1"/>
  <c r="AG308" i="1"/>
  <c r="AG454" i="1"/>
  <c r="AG259" i="1"/>
  <c r="AG62" i="1"/>
  <c r="AG252" i="1"/>
  <c r="AG315" i="1"/>
  <c r="AG330" i="1"/>
  <c r="AG344" i="1"/>
  <c r="AG374" i="1"/>
  <c r="AG584" i="1"/>
  <c r="AG422" i="1"/>
  <c r="AG384" i="1"/>
  <c r="AG540" i="1"/>
  <c r="AG449" i="1"/>
  <c r="AG434" i="1"/>
  <c r="AG372" i="1"/>
  <c r="AG447" i="1"/>
  <c r="AG383" i="1"/>
  <c r="AG504" i="1"/>
  <c r="AG15" i="1"/>
  <c r="AG59" i="1"/>
  <c r="AG103" i="1"/>
  <c r="AG143" i="1"/>
  <c r="AG54" i="1"/>
  <c r="AG197" i="1"/>
  <c r="AG279" i="1"/>
  <c r="AG351" i="1"/>
  <c r="AG227" i="1"/>
  <c r="AG550" i="1"/>
  <c r="AG620" i="1"/>
  <c r="AG389" i="1"/>
  <c r="AG244" i="1"/>
  <c r="AG543" i="1"/>
  <c r="AG426" i="1"/>
  <c r="AG629" i="1"/>
  <c r="AG142" i="1"/>
  <c r="AG435" i="1"/>
  <c r="AG495" i="1"/>
  <c r="AG23" i="1"/>
  <c r="AG73" i="1"/>
  <c r="AG119" i="1"/>
  <c r="AG173" i="1"/>
  <c r="AG86" i="1"/>
  <c r="AG160" i="1"/>
  <c r="AG226" i="1"/>
  <c r="AG299" i="1"/>
  <c r="AG345" i="1"/>
  <c r="AG42" i="1"/>
  <c r="AG208" i="1"/>
  <c r="AG10" i="1"/>
  <c r="AG537" i="1"/>
  <c r="AG590" i="1"/>
  <c r="AG178" i="1"/>
  <c r="AG251" i="1"/>
  <c r="AG506" i="1"/>
  <c r="AG591" i="1"/>
  <c r="AG468" i="1"/>
  <c r="AG365" i="1"/>
  <c r="AG520" i="1"/>
  <c r="AG462" i="1"/>
  <c r="AG415" i="1"/>
  <c r="AG377" i="1"/>
  <c r="AG523" i="1"/>
  <c r="AG25" i="1"/>
  <c r="AG75" i="1"/>
  <c r="AG121" i="1"/>
  <c r="AG175" i="1"/>
  <c r="AG182" i="1"/>
  <c r="AG229" i="1"/>
  <c r="AG301" i="1"/>
  <c r="AG353" i="1"/>
  <c r="AG238" i="1"/>
  <c r="AG544" i="1"/>
  <c r="AG592" i="1"/>
  <c r="AG198" i="1"/>
  <c r="AG356" i="1"/>
  <c r="AG534" i="1"/>
  <c r="AG619" i="1"/>
  <c r="AG471" i="1"/>
  <c r="AG394" i="1"/>
  <c r="AG170" i="1"/>
  <c r="AG398" i="1"/>
  <c r="AG225" i="1"/>
  <c r="AG104" i="1"/>
  <c r="AG128" i="1"/>
  <c r="AG185" i="1"/>
  <c r="AG219" i="1"/>
  <c r="AG373" i="1"/>
  <c r="AG605" i="1"/>
  <c r="AG519" i="1"/>
  <c r="AG418" i="1"/>
  <c r="AG424" i="1"/>
  <c r="AG27" i="1"/>
  <c r="AG77" i="1"/>
  <c r="AG123" i="1"/>
  <c r="AG177" i="1"/>
  <c r="AG138" i="1"/>
  <c r="AG187" i="1"/>
  <c r="AG234" i="1"/>
  <c r="AG303" i="1"/>
  <c r="AG355" i="1"/>
  <c r="AG162" i="1"/>
  <c r="AG28" i="1"/>
  <c r="AG195" i="1"/>
  <c r="AG552" i="1"/>
  <c r="AG594" i="1"/>
  <c r="AG220" i="1"/>
  <c r="AG472" i="1"/>
  <c r="AG134" i="1"/>
  <c r="AG475" i="1"/>
  <c r="AG525" i="1"/>
  <c r="AG397" i="1"/>
  <c r="AG268" i="1"/>
  <c r="AG440" i="1"/>
  <c r="AG50" i="1"/>
  <c r="AG501" i="1"/>
  <c r="AG536" i="1"/>
  <c r="AG29" i="1"/>
  <c r="AG125" i="1"/>
  <c r="AG146" i="1"/>
  <c r="AG190" i="1"/>
  <c r="AG305" i="1"/>
  <c r="AG232" i="1"/>
  <c r="AG199" i="1"/>
  <c r="AG556" i="1"/>
  <c r="AG231" i="1"/>
  <c r="AG469" i="1"/>
  <c r="AG573" i="1"/>
  <c r="AG410" i="1"/>
  <c r="AG526" i="1"/>
  <c r="AG545" i="1"/>
  <c r="AG261" i="1"/>
  <c r="AG79" i="1"/>
  <c r="AG94" i="1"/>
  <c r="AG237" i="1"/>
  <c r="AG357" i="1"/>
  <c r="AG34" i="1"/>
  <c r="AG596" i="1"/>
  <c r="AG516" i="1"/>
  <c r="AG609" i="1"/>
  <c r="AG332" i="1"/>
  <c r="AG444" i="1"/>
  <c r="AG427" i="1"/>
  <c r="AG181" i="1"/>
  <c r="AG318" i="1"/>
  <c r="AG45" i="1"/>
  <c r="AG113" i="1"/>
  <c r="AG158" i="1"/>
  <c r="AG168" i="1"/>
  <c r="AG108" i="1"/>
  <c r="AG319" i="1"/>
  <c r="AG221" i="1"/>
  <c r="AG180" i="1"/>
  <c r="AG391" i="1"/>
  <c r="AG568" i="1"/>
  <c r="AG624" i="1"/>
  <c r="AG241" i="1"/>
  <c r="AG256" i="1"/>
  <c r="AG361" i="1"/>
  <c r="AG478" i="1"/>
  <c r="AG404" i="1"/>
  <c r="AG532" i="1"/>
  <c r="AG18" i="1"/>
  <c r="AG402" i="1"/>
  <c r="AG145" i="1"/>
  <c r="AG255" i="1"/>
  <c r="AG489" i="1"/>
  <c r="AG368" i="1"/>
  <c r="AG393" i="1"/>
  <c r="AG577" i="1"/>
  <c r="AG102" i="1"/>
  <c r="AG611" i="1"/>
  <c r="AG47" i="1"/>
  <c r="AG115" i="1"/>
  <c r="AG20" i="1"/>
  <c r="AG202" i="1"/>
  <c r="AG188" i="1"/>
  <c r="AG321" i="1"/>
  <c r="AG96" i="1"/>
  <c r="AG243" i="1"/>
  <c r="AG406" i="1"/>
  <c r="AG570" i="1"/>
  <c r="AG626" i="1"/>
  <c r="AG392" i="1"/>
  <c r="AG290" i="1"/>
  <c r="AG371" i="1"/>
  <c r="AG484" i="1"/>
  <c r="AG407" i="1"/>
  <c r="AG363" i="1"/>
  <c r="AG296" i="1"/>
  <c r="AG593" i="1"/>
  <c r="AG122" i="1"/>
  <c r="AG346" i="1"/>
  <c r="AG314" i="1"/>
  <c r="AG502" i="1"/>
  <c r="AG280" i="1"/>
  <c r="AG49" i="1"/>
  <c r="AG117" i="1"/>
  <c r="AG60" i="1"/>
  <c r="AG211" i="1"/>
  <c r="AG194" i="1"/>
  <c r="AG323" i="1"/>
  <c r="AG183" i="1"/>
  <c r="AG304" i="1"/>
  <c r="AG438" i="1"/>
  <c r="AG572" i="1"/>
  <c r="AG628" i="1"/>
  <c r="AG414" i="1"/>
  <c r="AG350" i="1"/>
  <c r="AG387" i="1"/>
  <c r="AG565" i="1"/>
  <c r="AG420" i="1"/>
  <c r="AG425" i="1"/>
  <c r="AG601" i="1"/>
  <c r="AG288" i="1"/>
  <c r="AG24" i="1"/>
  <c r="AG230" i="1"/>
  <c r="AG567" i="1"/>
  <c r="AG487" i="1"/>
  <c r="AG473" i="1"/>
  <c r="AG479" i="1"/>
  <c r="AG61" i="1"/>
  <c r="AG135" i="1"/>
  <c r="AG156" i="1"/>
  <c r="AG218" i="1"/>
  <c r="AG242" i="1"/>
  <c r="AG325" i="1"/>
  <c r="AG196" i="1"/>
  <c r="AG48" i="1"/>
  <c r="AG455" i="1"/>
  <c r="AG574" i="1"/>
  <c r="AG246" i="1"/>
  <c r="AG498" i="1"/>
  <c r="AG247" i="1"/>
  <c r="AG627" i="1"/>
  <c r="AG581" i="1"/>
  <c r="AG433" i="1"/>
  <c r="AG450" i="1"/>
  <c r="AG399" i="1"/>
  <c r="AG524" i="1"/>
  <c r="AG65" i="1"/>
  <c r="AG329" i="1"/>
  <c r="AG578" i="1"/>
  <c r="AG508" i="1"/>
  <c r="AG326" i="1"/>
  <c r="AG352" i="1"/>
  <c r="AG63" i="1"/>
  <c r="AG137" i="1"/>
  <c r="AG26" i="1"/>
  <c r="AG16" i="1"/>
  <c r="AG245" i="1"/>
  <c r="AG327" i="1"/>
  <c r="AG200" i="1"/>
  <c r="AG112" i="1"/>
  <c r="AG470" i="1"/>
  <c r="AG576" i="1"/>
  <c r="AG267" i="1"/>
  <c r="AG551" i="1"/>
  <c r="AG213" i="1"/>
  <c r="AG549" i="1"/>
  <c r="AG481" i="1"/>
  <c r="AG452" i="1"/>
  <c r="AG623" i="1"/>
  <c r="AG500" i="1"/>
  <c r="AG575" i="1"/>
  <c r="AG111" i="1"/>
  <c r="AG176" i="1"/>
  <c r="AG283" i="1"/>
  <c r="AG140" i="1"/>
  <c r="AG364" i="1"/>
  <c r="AG566" i="1"/>
  <c r="AG485" i="1"/>
  <c r="AG312" i="1"/>
  <c r="AG272" i="1"/>
  <c r="AG228" i="1"/>
  <c r="AG474" i="1"/>
  <c r="AG41" i="1"/>
  <c r="AG293" i="1"/>
  <c r="AG583" i="1"/>
  <c r="AG613" i="1"/>
  <c r="AG157" i="1"/>
  <c r="AG235" i="1"/>
  <c r="AG599" i="1"/>
  <c r="AG297" i="1"/>
  <c r="AG417" i="1"/>
  <c r="AG17" i="1"/>
  <c r="AG147" i="1"/>
  <c r="AG72" i="1"/>
  <c r="AG285" i="1"/>
  <c r="AG191" i="1"/>
  <c r="AG413" i="1"/>
  <c r="AG588" i="1"/>
  <c r="AG503" i="1"/>
  <c r="AG430" i="1"/>
  <c r="AG358" i="1"/>
  <c r="AG369" i="1"/>
  <c r="AG379" i="1"/>
  <c r="AG390" i="1"/>
  <c r="AG46" i="1"/>
  <c r="AG253" i="1"/>
  <c r="AG209" i="1"/>
  <c r="AG553" i="1"/>
  <c r="AG159" i="1"/>
  <c r="AG496" i="1"/>
  <c r="AG569" i="1"/>
  <c r="AG494" i="1"/>
  <c r="AG595" i="1"/>
  <c r="AG31" i="1"/>
  <c r="AG149" i="1"/>
  <c r="AG98" i="1"/>
  <c r="AG287" i="1"/>
  <c r="AG215" i="1"/>
  <c r="AG428" i="1"/>
  <c r="AG598" i="1"/>
  <c r="AG531" i="1"/>
  <c r="AG511" i="1"/>
  <c r="AG465" i="1"/>
  <c r="AG388" i="1"/>
  <c r="AG274" i="1"/>
  <c r="AG459" i="1"/>
  <c r="AG457" i="1"/>
  <c r="AG466" i="1"/>
  <c r="AG316" i="1"/>
  <c r="AG265" i="1"/>
  <c r="AG204" i="1"/>
  <c r="AG216" i="1"/>
  <c r="AG615" i="1"/>
  <c r="AG561" i="1"/>
  <c r="AG33" i="1"/>
  <c r="AG151" i="1"/>
  <c r="AG110" i="1"/>
  <c r="AG289" i="1"/>
  <c r="AG30" i="1"/>
  <c r="AG445" i="1"/>
  <c r="AG600" i="1"/>
  <c r="AH9" i="1"/>
  <c r="AG517" i="1"/>
  <c r="AG617" i="1"/>
  <c r="AG456" i="1"/>
  <c r="AG421" i="1"/>
  <c r="AG476" i="1"/>
  <c r="AG451" i="1"/>
  <c r="AG477" i="1"/>
  <c r="AG563" i="1"/>
  <c r="AG295" i="1"/>
  <c r="AG292" i="1"/>
  <c r="AG71" i="1"/>
  <c r="AG608" i="1"/>
  <c r="AG39" i="1"/>
  <c r="AG153" i="1"/>
  <c r="AG116" i="1"/>
  <c r="AG291" i="1"/>
  <c r="AG264" i="1"/>
  <c r="AG460" i="1"/>
  <c r="AG602" i="1"/>
  <c r="AG166" i="1"/>
  <c r="AG607" i="1"/>
  <c r="AG193" i="1"/>
  <c r="AG538" i="1"/>
  <c r="AG579" i="1"/>
  <c r="AG442" i="1"/>
  <c r="AG155" i="1"/>
  <c r="AG604" i="1"/>
  <c r="AG207" i="1"/>
  <c r="AG486" i="1"/>
  <c r="AG43" i="1"/>
  <c r="AG606" i="1"/>
  <c r="AG443" i="1"/>
  <c r="AG222" i="1"/>
  <c r="AG223" i="1"/>
  <c r="AG453" i="1"/>
  <c r="AG109" i="1"/>
  <c r="AG281" i="1"/>
  <c r="AG300" i="1"/>
  <c r="AG480" i="1"/>
  <c r="AG266" i="1"/>
  <c r="AG376" i="1"/>
  <c r="AG483" i="1"/>
  <c r="AG40" i="1"/>
  <c r="AG320" i="1"/>
  <c r="AG343" i="1"/>
  <c r="AG210" i="1"/>
  <c r="AG564" i="1"/>
  <c r="AG81" i="1"/>
  <c r="AG527" i="1"/>
  <c r="AG74" i="1"/>
  <c r="AG622" i="1"/>
  <c r="AG336" i="1"/>
  <c r="AG89" i="1"/>
  <c r="AG529" i="1"/>
  <c r="AG144" i="1"/>
  <c r="AG262" i="1"/>
  <c r="AG240" i="1"/>
  <c r="AG161" i="1"/>
  <c r="AG317" i="1"/>
  <c r="AG505" i="1"/>
  <c r="AG403" i="1"/>
  <c r="AG80" i="1"/>
  <c r="AG337" i="1"/>
  <c r="AG366" i="1"/>
  <c r="AG56" i="1"/>
  <c r="AG509" i="1"/>
  <c r="AG597" i="1"/>
  <c r="AG400" i="1"/>
  <c r="AG610" i="1"/>
  <c r="AG557" i="1"/>
  <c r="AG492" i="1"/>
  <c r="AG150" i="1"/>
  <c r="AG405" i="1"/>
  <c r="AG171" i="1"/>
  <c r="AG331" i="1"/>
  <c r="AG512" i="1"/>
  <c r="AG488" i="1"/>
  <c r="AG201" i="1"/>
  <c r="AG386" i="1"/>
  <c r="AG335" i="1"/>
  <c r="AG32" i="1"/>
  <c r="AG499" i="1"/>
  <c r="AG533" i="1"/>
  <c r="AG359" i="1"/>
  <c r="AG22" i="1"/>
  <c r="AG382" i="1"/>
  <c r="AG83" i="1"/>
  <c r="AG270" i="1"/>
  <c r="AG174" i="1"/>
  <c r="AG82" i="1"/>
  <c r="AG436" i="1"/>
  <c r="AG107" i="1"/>
  <c r="AG298" i="1"/>
  <c r="AG126" i="1"/>
  <c r="AG333" i="1"/>
  <c r="AG521" i="1"/>
  <c r="AG539" i="1"/>
  <c r="AG214" i="1"/>
  <c r="AG154" i="1"/>
  <c r="AG257" i="1"/>
  <c r="AG360" i="1"/>
  <c r="AG114" i="1"/>
  <c r="AG186" i="1"/>
  <c r="AG587" i="1"/>
  <c r="AG88" i="1"/>
  <c r="AG120" i="1"/>
  <c r="AG276" i="1"/>
  <c r="AG36" i="1"/>
  <c r="AG441" i="1"/>
  <c r="AG612" i="1"/>
  <c r="AG589" i="1"/>
  <c r="AG87" i="1"/>
  <c r="AG367" i="1"/>
  <c r="AG106" i="1"/>
  <c r="AG206" i="1"/>
  <c r="AG603" i="1"/>
  <c r="AG458" i="1"/>
  <c r="AG172" i="1"/>
  <c r="AG528" i="1"/>
  <c r="AG558" i="1"/>
  <c r="AG560" i="1"/>
  <c r="AG562" i="1"/>
  <c r="AG340" i="1"/>
  <c r="AG239" i="1"/>
  <c r="AG249" i="1"/>
  <c r="AG85" i="1"/>
  <c r="AG70" i="1"/>
  <c r="AG370" i="1"/>
  <c r="AG105" i="1"/>
  <c r="AG625" i="1"/>
  <c r="AG559" i="1"/>
  <c r="AG284" i="1"/>
  <c r="AH13" i="1" l="1"/>
  <c r="AK13" i="1" s="1"/>
  <c r="AL13" i="1" s="1"/>
  <c r="AH47" i="1"/>
  <c r="AK47" i="1" s="1"/>
  <c r="AL47" i="1" s="1"/>
  <c r="AH141" i="1"/>
  <c r="AK141" i="1" s="1"/>
  <c r="AL141" i="1" s="1"/>
  <c r="AH90" i="1"/>
  <c r="AK90" i="1" s="1"/>
  <c r="AL90" i="1" s="1"/>
  <c r="AH132" i="1"/>
  <c r="AK132" i="1" s="1"/>
  <c r="AL132" i="1" s="1"/>
  <c r="AH12" i="1"/>
  <c r="AK12" i="1" s="1"/>
  <c r="AL12" i="1" s="1"/>
  <c r="AH197" i="1"/>
  <c r="AK197" i="1" s="1"/>
  <c r="AL197" i="1" s="1"/>
  <c r="AH150" i="1"/>
  <c r="AK150" i="1" s="1"/>
  <c r="AL150" i="1" s="1"/>
  <c r="AH229" i="1"/>
  <c r="AK229" i="1" s="1"/>
  <c r="AL229" i="1" s="1"/>
  <c r="AH291" i="1"/>
  <c r="AK291" i="1" s="1"/>
  <c r="AL291" i="1" s="1"/>
  <c r="AH373" i="1"/>
  <c r="AK373" i="1" s="1"/>
  <c r="AL373" i="1" s="1"/>
  <c r="AH405" i="1"/>
  <c r="AK405" i="1" s="1"/>
  <c r="AL405" i="1" s="1"/>
  <c r="AH437" i="1"/>
  <c r="AK437" i="1" s="1"/>
  <c r="AL437" i="1" s="1"/>
  <c r="AH469" i="1"/>
  <c r="AK469" i="1" s="1"/>
  <c r="AL469" i="1" s="1"/>
  <c r="AH501" i="1"/>
  <c r="AK501" i="1" s="1"/>
  <c r="AL501" i="1" s="1"/>
  <c r="AH533" i="1"/>
  <c r="AK533" i="1" s="1"/>
  <c r="AL533" i="1" s="1"/>
  <c r="AH346" i="1"/>
  <c r="AK346" i="1" s="1"/>
  <c r="AL346" i="1" s="1"/>
  <c r="AH239" i="1"/>
  <c r="AK239" i="1" s="1"/>
  <c r="AL239" i="1" s="1"/>
  <c r="AH164" i="1"/>
  <c r="AK164" i="1" s="1"/>
  <c r="AL164" i="1" s="1"/>
  <c r="AH386" i="1"/>
  <c r="AK386" i="1" s="1"/>
  <c r="AL386" i="1" s="1"/>
  <c r="AH227" i="1"/>
  <c r="AK227" i="1" s="1"/>
  <c r="AL227" i="1" s="1"/>
  <c r="AH259" i="1"/>
  <c r="AK259" i="1" s="1"/>
  <c r="AL259" i="1" s="1"/>
  <c r="AH592" i="1"/>
  <c r="AK592" i="1" s="1"/>
  <c r="AL592" i="1" s="1"/>
  <c r="AH198" i="1"/>
  <c r="AK198" i="1" s="1"/>
  <c r="AL198" i="1" s="1"/>
  <c r="AH558" i="1"/>
  <c r="AK558" i="1" s="1"/>
  <c r="AL558" i="1" s="1"/>
  <c r="AH186" i="1"/>
  <c r="AK186" i="1" s="1"/>
  <c r="AL186" i="1" s="1"/>
  <c r="AH559" i="1"/>
  <c r="AK559" i="1" s="1"/>
  <c r="AL559" i="1" s="1"/>
  <c r="AH368" i="1"/>
  <c r="AK368" i="1" s="1"/>
  <c r="AL368" i="1" s="1"/>
  <c r="AH292" i="1"/>
  <c r="AK292" i="1" s="1"/>
  <c r="AL292" i="1" s="1"/>
  <c r="AH404" i="1"/>
  <c r="AK404" i="1" s="1"/>
  <c r="AL404" i="1" s="1"/>
  <c r="AH562" i="1"/>
  <c r="AK562" i="1" s="1"/>
  <c r="AL562" i="1" s="1"/>
  <c r="AH118" i="1"/>
  <c r="AK118" i="1" s="1"/>
  <c r="AL118" i="1" s="1"/>
  <c r="AH524" i="1"/>
  <c r="AK524" i="1" s="1"/>
  <c r="AL524" i="1" s="1"/>
  <c r="AH247" i="1"/>
  <c r="AK247" i="1" s="1"/>
  <c r="AL247" i="1" s="1"/>
  <c r="AH59" i="1"/>
  <c r="AK59" i="1" s="1"/>
  <c r="AL59" i="1" s="1"/>
  <c r="AH402" i="1"/>
  <c r="AK402" i="1" s="1"/>
  <c r="AL402" i="1" s="1"/>
  <c r="AH434" i="1"/>
  <c r="AK434" i="1" s="1"/>
  <c r="AL434" i="1" s="1"/>
  <c r="AH605" i="1"/>
  <c r="AK605" i="1" s="1"/>
  <c r="AL605" i="1" s="1"/>
  <c r="AH454" i="1"/>
  <c r="AK454" i="1" s="1"/>
  <c r="AL454" i="1" s="1"/>
  <c r="AH488" i="1"/>
  <c r="AK488" i="1" s="1"/>
  <c r="AL488" i="1" s="1"/>
  <c r="AH268" i="1"/>
  <c r="AK268" i="1" s="1"/>
  <c r="AL268" i="1" s="1"/>
  <c r="AH532" i="1"/>
  <c r="AK532" i="1" s="1"/>
  <c r="AL532" i="1" s="1"/>
  <c r="AH317" i="1"/>
  <c r="AK317" i="1" s="1"/>
  <c r="AL317" i="1" s="1"/>
  <c r="AH616" i="1"/>
  <c r="AK616" i="1" s="1"/>
  <c r="AL616" i="1" s="1"/>
  <c r="AH380" i="1"/>
  <c r="AK380" i="1" s="1"/>
  <c r="AL380" i="1" s="1"/>
  <c r="AH75" i="1"/>
  <c r="AK75" i="1" s="1"/>
  <c r="AL75" i="1" s="1"/>
  <c r="AH267" i="1"/>
  <c r="AK267" i="1" s="1"/>
  <c r="AL267" i="1" s="1"/>
  <c r="AH481" i="1"/>
  <c r="AK481" i="1" s="1"/>
  <c r="AL481" i="1" s="1"/>
  <c r="AH530" i="1"/>
  <c r="AK530" i="1" s="1"/>
  <c r="AL530" i="1" s="1"/>
  <c r="AH295" i="1"/>
  <c r="AK295" i="1" s="1"/>
  <c r="AL295" i="1" s="1"/>
  <c r="AH382" i="1"/>
  <c r="AK382" i="1" s="1"/>
  <c r="AL382" i="1" s="1"/>
  <c r="AH613" i="1"/>
  <c r="AK613" i="1" s="1"/>
  <c r="AL613" i="1" s="1"/>
  <c r="AH56" i="1"/>
  <c r="AK56" i="1" s="1"/>
  <c r="AL56" i="1" s="1"/>
  <c r="AH167" i="1"/>
  <c r="AK167" i="1" s="1"/>
  <c r="AL167" i="1" s="1"/>
  <c r="AH451" i="1"/>
  <c r="AK451" i="1" s="1"/>
  <c r="AL451" i="1" s="1"/>
  <c r="AH159" i="1"/>
  <c r="AK159" i="1" s="1"/>
  <c r="AL159" i="1" s="1"/>
  <c r="AH251" i="1"/>
  <c r="AK251" i="1" s="1"/>
  <c r="AL251" i="1" s="1"/>
  <c r="AH131" i="1"/>
  <c r="AK131" i="1" s="1"/>
  <c r="AL131" i="1" s="1"/>
  <c r="AH219" i="1"/>
  <c r="AK219" i="1" s="1"/>
  <c r="AL219" i="1" s="1"/>
  <c r="AH71" i="1"/>
  <c r="AK71" i="1" s="1"/>
  <c r="AL71" i="1" s="1"/>
  <c r="AH100" i="1"/>
  <c r="AK100" i="1" s="1"/>
  <c r="AL100" i="1" s="1"/>
  <c r="AH421" i="1"/>
  <c r="AK421" i="1" s="1"/>
  <c r="AL421" i="1" s="1"/>
  <c r="AH286" i="1"/>
  <c r="AK286" i="1" s="1"/>
  <c r="AL286" i="1" s="1"/>
  <c r="AH334" i="1"/>
  <c r="AK334" i="1" s="1"/>
  <c r="AL334" i="1" s="1"/>
  <c r="AH604" i="1"/>
  <c r="AK604" i="1" s="1"/>
  <c r="AL604" i="1" s="1"/>
  <c r="AH326" i="1"/>
  <c r="AK326" i="1" s="1"/>
  <c r="AL326" i="1" s="1"/>
  <c r="AH14" i="1"/>
  <c r="AK14" i="1" s="1"/>
  <c r="AL14" i="1" s="1"/>
  <c r="AH391" i="1"/>
  <c r="AK391" i="1" s="1"/>
  <c r="AL391" i="1" s="1"/>
  <c r="AH52" i="1"/>
  <c r="AK52" i="1" s="1"/>
  <c r="AL52" i="1" s="1"/>
  <c r="AH392" i="1"/>
  <c r="AK392" i="1" s="1"/>
  <c r="AL392" i="1" s="1"/>
  <c r="AH358" i="1"/>
  <c r="AK358" i="1" s="1"/>
  <c r="AL358" i="1" s="1"/>
  <c r="AH135" i="1"/>
  <c r="AK135" i="1" s="1"/>
  <c r="AL135" i="1" s="1"/>
  <c r="AH15" i="1"/>
  <c r="AK15" i="1" s="1"/>
  <c r="AL15" i="1" s="1"/>
  <c r="AH64" i="1"/>
  <c r="AK64" i="1" s="1"/>
  <c r="AL64" i="1" s="1"/>
  <c r="AH158" i="1"/>
  <c r="AK158" i="1" s="1"/>
  <c r="AL158" i="1" s="1"/>
  <c r="AH105" i="1"/>
  <c r="AK105" i="1" s="1"/>
  <c r="AL105" i="1" s="1"/>
  <c r="AH157" i="1"/>
  <c r="AK157" i="1" s="1"/>
  <c r="AL157" i="1" s="1"/>
  <c r="AH72" i="1"/>
  <c r="AK72" i="1" s="1"/>
  <c r="AL72" i="1" s="1"/>
  <c r="AH48" i="1"/>
  <c r="AK48" i="1" s="1"/>
  <c r="AL48" i="1" s="1"/>
  <c r="AH174" i="1"/>
  <c r="AK174" i="1" s="1"/>
  <c r="AL174" i="1" s="1"/>
  <c r="AH234" i="1"/>
  <c r="AK234" i="1" s="1"/>
  <c r="AL234" i="1" s="1"/>
  <c r="AH18" i="1"/>
  <c r="AK18" i="1" s="1"/>
  <c r="AL18" i="1" s="1"/>
  <c r="AH375" i="1"/>
  <c r="AK375" i="1" s="1"/>
  <c r="AL375" i="1" s="1"/>
  <c r="AH407" i="1"/>
  <c r="AK407" i="1" s="1"/>
  <c r="AL407" i="1" s="1"/>
  <c r="AH439" i="1"/>
  <c r="AK439" i="1" s="1"/>
  <c r="AL439" i="1" s="1"/>
  <c r="AH471" i="1"/>
  <c r="AK471" i="1" s="1"/>
  <c r="AL471" i="1" s="1"/>
  <c r="AH503" i="1"/>
  <c r="AK503" i="1" s="1"/>
  <c r="AL503" i="1" s="1"/>
  <c r="AH535" i="1"/>
  <c r="AK535" i="1" s="1"/>
  <c r="AL535" i="1" s="1"/>
  <c r="AH357" i="1"/>
  <c r="AK357" i="1" s="1"/>
  <c r="AL357" i="1" s="1"/>
  <c r="AH249" i="1"/>
  <c r="AK249" i="1" s="1"/>
  <c r="AL249" i="1" s="1"/>
  <c r="AH208" i="1"/>
  <c r="AK208" i="1" s="1"/>
  <c r="AL208" i="1" s="1"/>
  <c r="AH418" i="1"/>
  <c r="AK418" i="1" s="1"/>
  <c r="AL418" i="1" s="1"/>
  <c r="AH284" i="1"/>
  <c r="AK284" i="1" s="1"/>
  <c r="AL284" i="1" s="1"/>
  <c r="AH293" i="1"/>
  <c r="AK293" i="1" s="1"/>
  <c r="AL293" i="1" s="1"/>
  <c r="AH601" i="1"/>
  <c r="AK601" i="1" s="1"/>
  <c r="AL601" i="1" s="1"/>
  <c r="AH231" i="1"/>
  <c r="AK231" i="1" s="1"/>
  <c r="AL231" i="1" s="1"/>
  <c r="AH567" i="1"/>
  <c r="AK567" i="1" s="1"/>
  <c r="AL567" i="1" s="1"/>
  <c r="AH210" i="1"/>
  <c r="AK210" i="1" s="1"/>
  <c r="AL210" i="1" s="1"/>
  <c r="AH596" i="1"/>
  <c r="AK596" i="1" s="1"/>
  <c r="AL596" i="1" s="1"/>
  <c r="AH496" i="1"/>
  <c r="AK496" i="1" s="1"/>
  <c r="AL496" i="1" s="1"/>
  <c r="AH312" i="1"/>
  <c r="AK312" i="1" s="1"/>
  <c r="AL312" i="1" s="1"/>
  <c r="AH546" i="1"/>
  <c r="AK546" i="1" s="1"/>
  <c r="AL546" i="1" s="1"/>
  <c r="AH80" i="1"/>
  <c r="AK80" i="1" s="1"/>
  <c r="AL80" i="1" s="1"/>
  <c r="AH269" i="1"/>
  <c r="AK269" i="1" s="1"/>
  <c r="AL269" i="1" s="1"/>
  <c r="AH265" i="1"/>
  <c r="AK265" i="1" s="1"/>
  <c r="AL265" i="1" s="1"/>
  <c r="AH466" i="1"/>
  <c r="AK466" i="1" s="1"/>
  <c r="AL466" i="1" s="1"/>
  <c r="AH130" i="1"/>
  <c r="AK130" i="1" s="1"/>
  <c r="AL130" i="1" s="1"/>
  <c r="AH566" i="1"/>
  <c r="AK566" i="1" s="1"/>
  <c r="AL566" i="1" s="1"/>
  <c r="AH438" i="1"/>
  <c r="AK438" i="1" s="1"/>
  <c r="AL438" i="1" s="1"/>
  <c r="AH182" i="1"/>
  <c r="AK182" i="1" s="1"/>
  <c r="AL182" i="1" s="1"/>
  <c r="AH548" i="1"/>
  <c r="AK548" i="1" s="1"/>
  <c r="AL548" i="1" s="1"/>
  <c r="AH494" i="1"/>
  <c r="AK494" i="1" s="1"/>
  <c r="AL494" i="1" s="1"/>
  <c r="AH565" i="1"/>
  <c r="AK565" i="1" s="1"/>
  <c r="AL565" i="1" s="1"/>
  <c r="AH16" i="1"/>
  <c r="AK16" i="1" s="1"/>
  <c r="AL16" i="1" s="1"/>
  <c r="AH577" i="1"/>
  <c r="AK577" i="1" s="1"/>
  <c r="AL577" i="1" s="1"/>
  <c r="AH302" i="1"/>
  <c r="AK302" i="1" s="1"/>
  <c r="AL302" i="1" s="1"/>
  <c r="AH25" i="1"/>
  <c r="AK25" i="1" s="1"/>
  <c r="AL25" i="1" s="1"/>
  <c r="AH153" i="1"/>
  <c r="AK153" i="1" s="1"/>
  <c r="AL153" i="1" s="1"/>
  <c r="AH417" i="1"/>
  <c r="AK417" i="1" s="1"/>
  <c r="AL417" i="1" s="1"/>
  <c r="AH61" i="1"/>
  <c r="AK61" i="1" s="1"/>
  <c r="AL61" i="1" s="1"/>
  <c r="AH460" i="1"/>
  <c r="AK460" i="1" s="1"/>
  <c r="AL460" i="1" s="1"/>
  <c r="AH430" i="1"/>
  <c r="AK430" i="1" s="1"/>
  <c r="AL430" i="1" s="1"/>
  <c r="AH408" i="1"/>
  <c r="AK408" i="1" s="1"/>
  <c r="AL408" i="1" s="1"/>
  <c r="AH298" i="1"/>
  <c r="AK298" i="1" s="1"/>
  <c r="AL298" i="1" s="1"/>
  <c r="AH92" i="1"/>
  <c r="AK92" i="1" s="1"/>
  <c r="AL92" i="1" s="1"/>
  <c r="AH97" i="1"/>
  <c r="AK97" i="1" s="1"/>
  <c r="AL97" i="1" s="1"/>
  <c r="AH515" i="1"/>
  <c r="AK515" i="1" s="1"/>
  <c r="AL515" i="1" s="1"/>
  <c r="AH190" i="1"/>
  <c r="AK190" i="1" s="1"/>
  <c r="AL190" i="1" s="1"/>
  <c r="AH591" i="1"/>
  <c r="AK591" i="1" s="1"/>
  <c r="AL591" i="1" s="1"/>
  <c r="AH151" i="1"/>
  <c r="AK151" i="1" s="1"/>
  <c r="AL151" i="1" s="1"/>
  <c r="AH107" i="1"/>
  <c r="AK107" i="1" s="1"/>
  <c r="AL107" i="1" s="1"/>
  <c r="AH275" i="1"/>
  <c r="AK275" i="1" s="1"/>
  <c r="AL275" i="1" s="1"/>
  <c r="AH485" i="1"/>
  <c r="AK485" i="1" s="1"/>
  <c r="AL485" i="1" s="1"/>
  <c r="AH353" i="1"/>
  <c r="AK353" i="1" s="1"/>
  <c r="AL353" i="1" s="1"/>
  <c r="AH508" i="1"/>
  <c r="AK508" i="1" s="1"/>
  <c r="AL508" i="1" s="1"/>
  <c r="AH244" i="1"/>
  <c r="AK244" i="1" s="1"/>
  <c r="AL244" i="1" s="1"/>
  <c r="AH536" i="1"/>
  <c r="AK536" i="1" s="1"/>
  <c r="AL536" i="1" s="1"/>
  <c r="AH345" i="1"/>
  <c r="AK345" i="1" s="1"/>
  <c r="AL345" i="1" s="1"/>
  <c r="AH31" i="1"/>
  <c r="AK31" i="1" s="1"/>
  <c r="AL31" i="1" s="1"/>
  <c r="AH209" i="1"/>
  <c r="AK209" i="1" s="1"/>
  <c r="AL209" i="1" s="1"/>
  <c r="AH299" i="1"/>
  <c r="AK299" i="1" s="1"/>
  <c r="AL299" i="1" s="1"/>
  <c r="AH436" i="1"/>
  <c r="AK436" i="1" s="1"/>
  <c r="AL436" i="1" s="1"/>
  <c r="AH468" i="1"/>
  <c r="AK468" i="1" s="1"/>
  <c r="AL468" i="1" s="1"/>
  <c r="AH360" i="1"/>
  <c r="AK360" i="1" s="1"/>
  <c r="AL360" i="1" s="1"/>
  <c r="AH17" i="1"/>
  <c r="AK17" i="1" s="1"/>
  <c r="AL17" i="1" s="1"/>
  <c r="AH79" i="1"/>
  <c r="AK79" i="1" s="1"/>
  <c r="AL79" i="1" s="1"/>
  <c r="AH173" i="1"/>
  <c r="AK173" i="1" s="1"/>
  <c r="AL173" i="1" s="1"/>
  <c r="AH122" i="1"/>
  <c r="AK122" i="1" s="1"/>
  <c r="AL122" i="1" s="1"/>
  <c r="AH162" i="1"/>
  <c r="AK162" i="1" s="1"/>
  <c r="AL162" i="1" s="1"/>
  <c r="AH98" i="1"/>
  <c r="AK98" i="1" s="1"/>
  <c r="AL98" i="1" s="1"/>
  <c r="AH67" i="1"/>
  <c r="AK67" i="1" s="1"/>
  <c r="AL67" i="1" s="1"/>
  <c r="AH177" i="1"/>
  <c r="AK177" i="1" s="1"/>
  <c r="AL177" i="1" s="1"/>
  <c r="AH237" i="1"/>
  <c r="AK237" i="1" s="1"/>
  <c r="AL237" i="1" s="1"/>
  <c r="AH101" i="1"/>
  <c r="AK101" i="1" s="1"/>
  <c r="AL101" i="1" s="1"/>
  <c r="AH377" i="1"/>
  <c r="AK377" i="1" s="1"/>
  <c r="AL377" i="1" s="1"/>
  <c r="AH409" i="1"/>
  <c r="AK409" i="1" s="1"/>
  <c r="AL409" i="1" s="1"/>
  <c r="AH441" i="1"/>
  <c r="AK441" i="1" s="1"/>
  <c r="AL441" i="1" s="1"/>
  <c r="AH473" i="1"/>
  <c r="AK473" i="1" s="1"/>
  <c r="AL473" i="1" s="1"/>
  <c r="AH505" i="1"/>
  <c r="AK505" i="1" s="1"/>
  <c r="AL505" i="1" s="1"/>
  <c r="AH537" i="1"/>
  <c r="AK537" i="1" s="1"/>
  <c r="AL537" i="1" s="1"/>
  <c r="AH30" i="1"/>
  <c r="AK30" i="1" s="1"/>
  <c r="AL30" i="1" s="1"/>
  <c r="AH270" i="1"/>
  <c r="AK270" i="1" s="1"/>
  <c r="AL270" i="1" s="1"/>
  <c r="AH28" i="1"/>
  <c r="AK28" i="1" s="1"/>
  <c r="AL28" i="1" s="1"/>
  <c r="AH450" i="1"/>
  <c r="AK450" i="1" s="1"/>
  <c r="AL450" i="1" s="1"/>
  <c r="AH300" i="1"/>
  <c r="AK300" i="1" s="1"/>
  <c r="AL300" i="1" s="1"/>
  <c r="AH310" i="1"/>
  <c r="AK310" i="1" s="1"/>
  <c r="AL310" i="1" s="1"/>
  <c r="AH608" i="1"/>
  <c r="AK608" i="1" s="1"/>
  <c r="AL608" i="1" s="1"/>
  <c r="AH246" i="1"/>
  <c r="AK246" i="1" s="1"/>
  <c r="AL246" i="1" s="1"/>
  <c r="AH57" i="1"/>
  <c r="AK57" i="1" s="1"/>
  <c r="AL57" i="1" s="1"/>
  <c r="AH256" i="1"/>
  <c r="AK256" i="1" s="1"/>
  <c r="AL256" i="1" s="1"/>
  <c r="AH614" i="1"/>
  <c r="AK614" i="1" s="1"/>
  <c r="AL614" i="1" s="1"/>
  <c r="AH528" i="1"/>
  <c r="AK528" i="1" s="1"/>
  <c r="AL528" i="1" s="1"/>
  <c r="AH602" i="1"/>
  <c r="AK602" i="1" s="1"/>
  <c r="AL602" i="1" s="1"/>
  <c r="AH584" i="1"/>
  <c r="AK584" i="1" s="1"/>
  <c r="AL584" i="1" s="1"/>
  <c r="AH201" i="1"/>
  <c r="AK201" i="1" s="1"/>
  <c r="AL201" i="1" s="1"/>
  <c r="AH305" i="1"/>
  <c r="AK305" i="1" s="1"/>
  <c r="AL305" i="1" s="1"/>
  <c r="AH516" i="1"/>
  <c r="AK516" i="1" s="1"/>
  <c r="AL516" i="1" s="1"/>
  <c r="AH575" i="1"/>
  <c r="AK575" i="1" s="1"/>
  <c r="AL575" i="1" s="1"/>
  <c r="AH276" i="1"/>
  <c r="AK276" i="1" s="1"/>
  <c r="AL276" i="1" s="1"/>
  <c r="AH580" i="1"/>
  <c r="AK580" i="1" s="1"/>
  <c r="AL580" i="1" s="1"/>
  <c r="AH595" i="1"/>
  <c r="AK595" i="1" s="1"/>
  <c r="AL595" i="1" s="1"/>
  <c r="AH420" i="1"/>
  <c r="AK420" i="1" s="1"/>
  <c r="AL420" i="1" s="1"/>
  <c r="AH550" i="1"/>
  <c r="AK550" i="1" s="1"/>
  <c r="AL550" i="1" s="1"/>
  <c r="AH315" i="1"/>
  <c r="AK315" i="1" s="1"/>
  <c r="AL315" i="1" s="1"/>
  <c r="AH199" i="1"/>
  <c r="AK199" i="1" s="1"/>
  <c r="AL199" i="1" s="1"/>
  <c r="AH385" i="1"/>
  <c r="AK385" i="1" s="1"/>
  <c r="AL385" i="1" s="1"/>
  <c r="AH232" i="1"/>
  <c r="AK232" i="1" s="1"/>
  <c r="AL232" i="1" s="1"/>
  <c r="AH297" i="1"/>
  <c r="AK297" i="1" s="1"/>
  <c r="AL297" i="1" s="1"/>
  <c r="AH53" i="1"/>
  <c r="AK53" i="1" s="1"/>
  <c r="AL53" i="1" s="1"/>
  <c r="AH590" i="1"/>
  <c r="AK590" i="1" s="1"/>
  <c r="AL590" i="1" s="1"/>
  <c r="AH160" i="1"/>
  <c r="AK160" i="1" s="1"/>
  <c r="AL160" i="1" s="1"/>
  <c r="AH387" i="1"/>
  <c r="AK387" i="1" s="1"/>
  <c r="AL387" i="1" s="1"/>
  <c r="AH278" i="1"/>
  <c r="AK278" i="1" s="1"/>
  <c r="AL278" i="1" s="1"/>
  <c r="AH452" i="1"/>
  <c r="AK452" i="1" s="1"/>
  <c r="AL452" i="1" s="1"/>
  <c r="AH520" i="1"/>
  <c r="AK520" i="1" s="1"/>
  <c r="AL520" i="1" s="1"/>
  <c r="AH207" i="1"/>
  <c r="AK207" i="1" s="1"/>
  <c r="AL207" i="1" s="1"/>
  <c r="AH621" i="1"/>
  <c r="AK621" i="1" s="1"/>
  <c r="AL621" i="1" s="1"/>
  <c r="AH213" i="1"/>
  <c r="AK213" i="1" s="1"/>
  <c r="AL213" i="1" s="1"/>
  <c r="AH311" i="1"/>
  <c r="AK311" i="1" s="1"/>
  <c r="AL311" i="1" s="1"/>
  <c r="AH183" i="1"/>
  <c r="AK183" i="1" s="1"/>
  <c r="AL183" i="1" s="1"/>
  <c r="AH22" i="1"/>
  <c r="AK22" i="1" s="1"/>
  <c r="AL22" i="1" s="1"/>
  <c r="AH557" i="1"/>
  <c r="AK557" i="1" s="1"/>
  <c r="AL557" i="1" s="1"/>
  <c r="AH625" i="1"/>
  <c r="AK625" i="1" s="1"/>
  <c r="AL625" i="1" s="1"/>
  <c r="AH124" i="1"/>
  <c r="AK124" i="1" s="1"/>
  <c r="AL124" i="1" s="1"/>
  <c r="AH359" i="1"/>
  <c r="AK359" i="1" s="1"/>
  <c r="AL359" i="1" s="1"/>
  <c r="AH519" i="1"/>
  <c r="AK519" i="1" s="1"/>
  <c r="AL519" i="1" s="1"/>
  <c r="AH91" i="1"/>
  <c r="AK91" i="1" s="1"/>
  <c r="AL91" i="1" s="1"/>
  <c r="AH390" i="1"/>
  <c r="AK390" i="1" s="1"/>
  <c r="AL390" i="1" s="1"/>
  <c r="AH571" i="1"/>
  <c r="AK571" i="1" s="1"/>
  <c r="AL571" i="1" s="1"/>
  <c r="AH374" i="1"/>
  <c r="AK374" i="1" s="1"/>
  <c r="AL374" i="1" s="1"/>
  <c r="AH19" i="1"/>
  <c r="AK19" i="1" s="1"/>
  <c r="AL19" i="1" s="1"/>
  <c r="AH96" i="1"/>
  <c r="AK96" i="1" s="1"/>
  <c r="AL96" i="1" s="1"/>
  <c r="AH20" i="1"/>
  <c r="AK20" i="1" s="1"/>
  <c r="AL20" i="1" s="1"/>
  <c r="AH137" i="1"/>
  <c r="AK137" i="1" s="1"/>
  <c r="AL137" i="1" s="1"/>
  <c r="AH181" i="1"/>
  <c r="AK181" i="1" s="1"/>
  <c r="AL181" i="1" s="1"/>
  <c r="AH110" i="1"/>
  <c r="AK110" i="1" s="1"/>
  <c r="AL110" i="1" s="1"/>
  <c r="AH85" i="1"/>
  <c r="AK85" i="1" s="1"/>
  <c r="AL85" i="1" s="1"/>
  <c r="AH203" i="1"/>
  <c r="AK203" i="1" s="1"/>
  <c r="AL203" i="1" s="1"/>
  <c r="AH242" i="1"/>
  <c r="AK242" i="1" s="1"/>
  <c r="AL242" i="1" s="1"/>
  <c r="AH179" i="1"/>
  <c r="AK179" i="1" s="1"/>
  <c r="AL179" i="1" s="1"/>
  <c r="AH379" i="1"/>
  <c r="AK379" i="1" s="1"/>
  <c r="AL379" i="1" s="1"/>
  <c r="AH411" i="1"/>
  <c r="AK411" i="1" s="1"/>
  <c r="AL411" i="1" s="1"/>
  <c r="AH443" i="1"/>
  <c r="AK443" i="1" s="1"/>
  <c r="AL443" i="1" s="1"/>
  <c r="AH475" i="1"/>
  <c r="AK475" i="1" s="1"/>
  <c r="AL475" i="1" s="1"/>
  <c r="AH507" i="1"/>
  <c r="AK507" i="1" s="1"/>
  <c r="AL507" i="1" s="1"/>
  <c r="AH539" i="1"/>
  <c r="AK539" i="1" s="1"/>
  <c r="AL539" i="1" s="1"/>
  <c r="AH42" i="1"/>
  <c r="AK42" i="1" s="1"/>
  <c r="AL42" i="1" s="1"/>
  <c r="AH294" i="1"/>
  <c r="AK294" i="1" s="1"/>
  <c r="AL294" i="1" s="1"/>
  <c r="AH34" i="1"/>
  <c r="AK34" i="1" s="1"/>
  <c r="AL34" i="1" s="1"/>
  <c r="AH482" i="1"/>
  <c r="AK482" i="1" s="1"/>
  <c r="AL482" i="1" s="1"/>
  <c r="AH364" i="1"/>
  <c r="AK364" i="1" s="1"/>
  <c r="AL364" i="1" s="1"/>
  <c r="AH327" i="1"/>
  <c r="AK327" i="1" s="1"/>
  <c r="AL327" i="1" s="1"/>
  <c r="AH617" i="1"/>
  <c r="AK617" i="1" s="1"/>
  <c r="AL617" i="1" s="1"/>
  <c r="AH307" i="1"/>
  <c r="AK307" i="1" s="1"/>
  <c r="AL307" i="1" s="1"/>
  <c r="AH99" i="1"/>
  <c r="AK99" i="1" s="1"/>
  <c r="AL99" i="1" s="1"/>
  <c r="AH290" i="1"/>
  <c r="AK290" i="1" s="1"/>
  <c r="AL290" i="1" s="1"/>
  <c r="AH534" i="1"/>
  <c r="AK534" i="1" s="1"/>
  <c r="AL534" i="1" s="1"/>
  <c r="AH612" i="1"/>
  <c r="AK612" i="1" s="1"/>
  <c r="AL612" i="1" s="1"/>
  <c r="AH322" i="1"/>
  <c r="AK322" i="1" s="1"/>
  <c r="AL322" i="1" s="1"/>
  <c r="AH366" i="1"/>
  <c r="AK366" i="1" s="1"/>
  <c r="AL366" i="1" s="1"/>
  <c r="AH32" i="1"/>
  <c r="AK32" i="1" s="1"/>
  <c r="AL32" i="1" s="1"/>
  <c r="AH271" i="1"/>
  <c r="AK271" i="1" s="1"/>
  <c r="AL271" i="1" s="1"/>
  <c r="AH513" i="1"/>
  <c r="AK513" i="1" s="1"/>
  <c r="AL513" i="1" s="1"/>
  <c r="AH444" i="1"/>
  <c r="AK444" i="1" s="1"/>
  <c r="AL444" i="1" s="1"/>
  <c r="AH586" i="1"/>
  <c r="AK586" i="1" s="1"/>
  <c r="AL586" i="1" s="1"/>
  <c r="AH356" i="1"/>
  <c r="AK356" i="1" s="1"/>
  <c r="AL356" i="1" s="1"/>
  <c r="AH202" i="1"/>
  <c r="AK202" i="1" s="1"/>
  <c r="AL202" i="1" s="1"/>
  <c r="AH419" i="1"/>
  <c r="AK419" i="1" s="1"/>
  <c r="AL419" i="1" s="1"/>
  <c r="AH344" i="1"/>
  <c r="AK344" i="1" s="1"/>
  <c r="AL344" i="1" s="1"/>
  <c r="AH378" i="1"/>
  <c r="AK378" i="1" s="1"/>
  <c r="AL378" i="1" s="1"/>
  <c r="AH233" i="1"/>
  <c r="AK233" i="1" s="1"/>
  <c r="AL233" i="1" s="1"/>
  <c r="AH603" i="1"/>
  <c r="AK603" i="1" s="1"/>
  <c r="AL603" i="1" s="1"/>
  <c r="AH29" i="1"/>
  <c r="AH211" i="1"/>
  <c r="AK211" i="1" s="1"/>
  <c r="AL211" i="1" s="1"/>
  <c r="AH517" i="1"/>
  <c r="AK517" i="1" s="1"/>
  <c r="AL517" i="1" s="1"/>
  <c r="AH230" i="1"/>
  <c r="AK230" i="1" s="1"/>
  <c r="AL230" i="1" s="1"/>
  <c r="AH422" i="1"/>
  <c r="AK422" i="1" s="1"/>
  <c r="AL422" i="1" s="1"/>
  <c r="AH462" i="1"/>
  <c r="AK462" i="1" s="1"/>
  <c r="AL462" i="1" s="1"/>
  <c r="AH224" i="1"/>
  <c r="AK224" i="1" s="1"/>
  <c r="AL224" i="1" s="1"/>
  <c r="AH218" i="1"/>
  <c r="AK218" i="1" s="1"/>
  <c r="AL218" i="1" s="1"/>
  <c r="AH423" i="1"/>
  <c r="AK423" i="1" s="1"/>
  <c r="AL423" i="1" s="1"/>
  <c r="AH196" i="1"/>
  <c r="AK196" i="1" s="1"/>
  <c r="AL196" i="1" s="1"/>
  <c r="AH526" i="1"/>
  <c r="AK526" i="1" s="1"/>
  <c r="AL526" i="1" s="1"/>
  <c r="AH607" i="1"/>
  <c r="AK607" i="1" s="1"/>
  <c r="AL607" i="1" s="1"/>
  <c r="AH342" i="1"/>
  <c r="AK342" i="1" s="1"/>
  <c r="AL342" i="1" s="1"/>
  <c r="AH21" i="1"/>
  <c r="AK21" i="1" s="1"/>
  <c r="AL21" i="1" s="1"/>
  <c r="AH111" i="1"/>
  <c r="AK111" i="1" s="1"/>
  <c r="AL111" i="1" s="1"/>
  <c r="AH43" i="1"/>
  <c r="AK43" i="1" s="1"/>
  <c r="AL43" i="1" s="1"/>
  <c r="AH154" i="1"/>
  <c r="AK154" i="1" s="1"/>
  <c r="AL154" i="1" s="1"/>
  <c r="AH184" i="1"/>
  <c r="AK184" i="1" s="1"/>
  <c r="AL184" i="1" s="1"/>
  <c r="AH116" i="1"/>
  <c r="AK116" i="1" s="1"/>
  <c r="AL116" i="1" s="1"/>
  <c r="AH89" i="1"/>
  <c r="AK89" i="1" s="1"/>
  <c r="AL89" i="1" s="1"/>
  <c r="AH212" i="1"/>
  <c r="AK212" i="1" s="1"/>
  <c r="AL212" i="1" s="1"/>
  <c r="AH245" i="1"/>
  <c r="AK245" i="1" s="1"/>
  <c r="AL245" i="1" s="1"/>
  <c r="AH225" i="1"/>
  <c r="AK225" i="1" s="1"/>
  <c r="AL225" i="1" s="1"/>
  <c r="AH381" i="1"/>
  <c r="AK381" i="1" s="1"/>
  <c r="AL381" i="1" s="1"/>
  <c r="AH413" i="1"/>
  <c r="AK413" i="1" s="1"/>
  <c r="AL413" i="1" s="1"/>
  <c r="AH445" i="1"/>
  <c r="AK445" i="1" s="1"/>
  <c r="AL445" i="1" s="1"/>
  <c r="AH477" i="1"/>
  <c r="AK477" i="1" s="1"/>
  <c r="AL477" i="1" s="1"/>
  <c r="AH509" i="1"/>
  <c r="AK509" i="1" s="1"/>
  <c r="AL509" i="1" s="1"/>
  <c r="AH541" i="1"/>
  <c r="AK541" i="1" s="1"/>
  <c r="AL541" i="1" s="1"/>
  <c r="AH115" i="1"/>
  <c r="AK115" i="1" s="1"/>
  <c r="AL115" i="1" s="1"/>
  <c r="AH309" i="1"/>
  <c r="AK309" i="1" s="1"/>
  <c r="AL309" i="1" s="1"/>
  <c r="AH95" i="1"/>
  <c r="AK95" i="1" s="1"/>
  <c r="AL95" i="1" s="1"/>
  <c r="AH498" i="1"/>
  <c r="AK498" i="1" s="1"/>
  <c r="AL498" i="1" s="1"/>
  <c r="AH396" i="1"/>
  <c r="AK396" i="1" s="1"/>
  <c r="AL396" i="1" s="1"/>
  <c r="AH340" i="1"/>
  <c r="AK340" i="1" s="1"/>
  <c r="AL340" i="1" s="1"/>
  <c r="AH624" i="1"/>
  <c r="AK624" i="1" s="1"/>
  <c r="AL624" i="1" s="1"/>
  <c r="AH314" i="1"/>
  <c r="AK314" i="1" s="1"/>
  <c r="AL314" i="1" s="1"/>
  <c r="AH134" i="1"/>
  <c r="AK134" i="1" s="1"/>
  <c r="AL134" i="1" s="1"/>
  <c r="AH250" i="1"/>
  <c r="AK250" i="1" s="1"/>
  <c r="AL250" i="1" s="1"/>
  <c r="AH343" i="1"/>
  <c r="AK343" i="1" s="1"/>
  <c r="AL343" i="1" s="1"/>
  <c r="AH540" i="1"/>
  <c r="AK540" i="1" s="1"/>
  <c r="AL540" i="1" s="1"/>
  <c r="AH372" i="1"/>
  <c r="AK372" i="1" s="1"/>
  <c r="AL372" i="1" s="1"/>
  <c r="AH589" i="1"/>
  <c r="AK589" i="1" s="1"/>
  <c r="AL589" i="1" s="1"/>
  <c r="AH472" i="1"/>
  <c r="AK472" i="1" s="1"/>
  <c r="AL472" i="1" s="1"/>
  <c r="AH338" i="1"/>
  <c r="AK338" i="1" s="1"/>
  <c r="AL338" i="1" s="1"/>
  <c r="AH587" i="1"/>
  <c r="AK587" i="1" s="1"/>
  <c r="AL587" i="1" s="1"/>
  <c r="AH313" i="1"/>
  <c r="AK313" i="1" s="1"/>
  <c r="AL313" i="1" s="1"/>
  <c r="AH333" i="1"/>
  <c r="AK333" i="1" s="1"/>
  <c r="AL333" i="1" s="1"/>
  <c r="AH598" i="1"/>
  <c r="AK598" i="1" s="1"/>
  <c r="AL598" i="1" s="1"/>
  <c r="AH572" i="1"/>
  <c r="AK572" i="1" s="1"/>
  <c r="AL572" i="1" s="1"/>
  <c r="AH623" i="1"/>
  <c r="AK623" i="1" s="1"/>
  <c r="AL623" i="1" s="1"/>
  <c r="AH348" i="1"/>
  <c r="AK348" i="1" s="1"/>
  <c r="AL348" i="1" s="1"/>
  <c r="AH354" i="1"/>
  <c r="AK354" i="1" s="1"/>
  <c r="AL354" i="1" s="1"/>
  <c r="AH476" i="1"/>
  <c r="AK476" i="1" s="1"/>
  <c r="AL476" i="1" s="1"/>
  <c r="AH593" i="1"/>
  <c r="AK593" i="1" s="1"/>
  <c r="AL593" i="1" s="1"/>
  <c r="AH168" i="1"/>
  <c r="AK168" i="1" s="1"/>
  <c r="AL168" i="1" s="1"/>
  <c r="AH449" i="1"/>
  <c r="AK449" i="1" s="1"/>
  <c r="AL449" i="1" s="1"/>
  <c r="AH117" i="1"/>
  <c r="AK117" i="1" s="1"/>
  <c r="AL117" i="1" s="1"/>
  <c r="AH370" i="1"/>
  <c r="AK370" i="1" s="1"/>
  <c r="AL370" i="1" s="1"/>
  <c r="AH44" i="1"/>
  <c r="AK44" i="1" s="1"/>
  <c r="AL44" i="1" s="1"/>
  <c r="AH412" i="1"/>
  <c r="AK412" i="1" s="1"/>
  <c r="AL412" i="1" s="1"/>
  <c r="AH27" i="1"/>
  <c r="AK27" i="1" s="1"/>
  <c r="AL27" i="1" s="1"/>
  <c r="AH273" i="1"/>
  <c r="AK273" i="1" s="1"/>
  <c r="AL273" i="1" s="1"/>
  <c r="AH483" i="1"/>
  <c r="AK483" i="1" s="1"/>
  <c r="AL483" i="1" s="1"/>
  <c r="AH10" i="1"/>
  <c r="AK10" i="1" s="1"/>
  <c r="AL10" i="1" s="1"/>
  <c r="AH323" i="1"/>
  <c r="AK323" i="1" s="1"/>
  <c r="AL323" i="1" s="1"/>
  <c r="AH464" i="1"/>
  <c r="AK464" i="1" s="1"/>
  <c r="AL464" i="1" s="1"/>
  <c r="AH486" i="1"/>
  <c r="AK486" i="1" s="1"/>
  <c r="AL486" i="1" s="1"/>
  <c r="AH389" i="1"/>
  <c r="AK389" i="1" s="1"/>
  <c r="AL389" i="1" s="1"/>
  <c r="AH384" i="1"/>
  <c r="AK384" i="1" s="1"/>
  <c r="AL384" i="1" s="1"/>
  <c r="AH564" i="1"/>
  <c r="AK564" i="1" s="1"/>
  <c r="AL564" i="1" s="1"/>
  <c r="AH274" i="1"/>
  <c r="AK274" i="1" s="1"/>
  <c r="AL274" i="1" s="1"/>
  <c r="AH88" i="1"/>
  <c r="AK88" i="1" s="1"/>
  <c r="AL88" i="1" s="1"/>
  <c r="AH206" i="1"/>
  <c r="AK206" i="1" s="1"/>
  <c r="AL206" i="1" s="1"/>
  <c r="AH487" i="1"/>
  <c r="AK487" i="1" s="1"/>
  <c r="AL487" i="1" s="1"/>
  <c r="AH165" i="1"/>
  <c r="AK165" i="1" s="1"/>
  <c r="AL165" i="1" s="1"/>
  <c r="AH304" i="1"/>
  <c r="AK304" i="1" s="1"/>
  <c r="AL304" i="1" s="1"/>
  <c r="AH552" i="1"/>
  <c r="AK552" i="1" s="1"/>
  <c r="AL552" i="1" s="1"/>
  <c r="AH301" i="1"/>
  <c r="AK301" i="1" s="1"/>
  <c r="AL301" i="1" s="1"/>
  <c r="AH23" i="1"/>
  <c r="AK23" i="1" s="1"/>
  <c r="AL23" i="1" s="1"/>
  <c r="AH128" i="1"/>
  <c r="AK128" i="1" s="1"/>
  <c r="AL128" i="1" s="1"/>
  <c r="AH60" i="1"/>
  <c r="AK60" i="1" s="1"/>
  <c r="AL60" i="1" s="1"/>
  <c r="AH169" i="1"/>
  <c r="AK169" i="1" s="1"/>
  <c r="AL169" i="1" s="1"/>
  <c r="AH189" i="1"/>
  <c r="AK189" i="1" s="1"/>
  <c r="AL189" i="1" s="1"/>
  <c r="AH152" i="1"/>
  <c r="AK152" i="1" s="1"/>
  <c r="AL152" i="1" s="1"/>
  <c r="AH136" i="1"/>
  <c r="AK136" i="1" s="1"/>
  <c r="AL136" i="1" s="1"/>
  <c r="AH252" i="1"/>
  <c r="AK252" i="1" s="1"/>
  <c r="AL252" i="1" s="1"/>
  <c r="AH255" i="1"/>
  <c r="AK255" i="1" s="1"/>
  <c r="AL255" i="1" s="1"/>
  <c r="AH228" i="1"/>
  <c r="AK228" i="1" s="1"/>
  <c r="AL228" i="1" s="1"/>
  <c r="AH383" i="1"/>
  <c r="AK383" i="1" s="1"/>
  <c r="AL383" i="1" s="1"/>
  <c r="AH415" i="1"/>
  <c r="AK415" i="1" s="1"/>
  <c r="AL415" i="1" s="1"/>
  <c r="AH447" i="1"/>
  <c r="AK447" i="1" s="1"/>
  <c r="AL447" i="1" s="1"/>
  <c r="AH479" i="1"/>
  <c r="AK479" i="1" s="1"/>
  <c r="AL479" i="1" s="1"/>
  <c r="AH511" i="1"/>
  <c r="AK511" i="1" s="1"/>
  <c r="AL511" i="1" s="1"/>
  <c r="AH543" i="1"/>
  <c r="AK543" i="1" s="1"/>
  <c r="AL543" i="1" s="1"/>
  <c r="AH145" i="1"/>
  <c r="AK145" i="1" s="1"/>
  <c r="AL145" i="1" s="1"/>
  <c r="AH328" i="1"/>
  <c r="AK328" i="1" s="1"/>
  <c r="AL328" i="1" s="1"/>
  <c r="AH112" i="1"/>
  <c r="AK112" i="1" s="1"/>
  <c r="AL112" i="1" s="1"/>
  <c r="AH514" i="1"/>
  <c r="AK514" i="1" s="1"/>
  <c r="AL514" i="1" s="1"/>
  <c r="AH428" i="1"/>
  <c r="AK428" i="1" s="1"/>
  <c r="AL428" i="1" s="1"/>
  <c r="AH400" i="1"/>
  <c r="AK400" i="1" s="1"/>
  <c r="AL400" i="1" s="1"/>
  <c r="AH282" i="1"/>
  <c r="AK282" i="1" s="1"/>
  <c r="AL282" i="1" s="1"/>
  <c r="AH331" i="1"/>
  <c r="AK331" i="1" s="1"/>
  <c r="AL331" i="1" s="1"/>
  <c r="AH147" i="1"/>
  <c r="AK147" i="1" s="1"/>
  <c r="AL147" i="1" s="1"/>
  <c r="AH261" i="1"/>
  <c r="AK261" i="1" s="1"/>
  <c r="AL261" i="1" s="1"/>
  <c r="AH549" i="1"/>
  <c r="AK549" i="1" s="1"/>
  <c r="AL549" i="1" s="1"/>
  <c r="AH570" i="1"/>
  <c r="AK570" i="1" s="1"/>
  <c r="AL570" i="1" s="1"/>
  <c r="AH440" i="1"/>
  <c r="AK440" i="1" s="1"/>
  <c r="AL440" i="1" s="1"/>
  <c r="AH325" i="1"/>
  <c r="AK325" i="1" s="1"/>
  <c r="AL325" i="1" s="1"/>
  <c r="AH502" i="1"/>
  <c r="AK502" i="1" s="1"/>
  <c r="AL502" i="1" s="1"/>
  <c r="AH142" i="1"/>
  <c r="AK142" i="1" s="1"/>
  <c r="AL142" i="1" s="1"/>
  <c r="AH579" i="1"/>
  <c r="AK579" i="1" s="1"/>
  <c r="AL579" i="1" s="1"/>
  <c r="AH143" i="1"/>
  <c r="AK143" i="1" s="1"/>
  <c r="AL143" i="1" s="1"/>
  <c r="AH82" i="1"/>
  <c r="AK82" i="1" s="1"/>
  <c r="AL82" i="1" s="1"/>
  <c r="AH335" i="1"/>
  <c r="AK335" i="1" s="1"/>
  <c r="AL335" i="1" s="1"/>
  <c r="AH216" i="1"/>
  <c r="AK216" i="1" s="1"/>
  <c r="AL216" i="1" s="1"/>
  <c r="AH568" i="1"/>
  <c r="AK568" i="1" s="1"/>
  <c r="AL568" i="1" s="1"/>
  <c r="AH597" i="1"/>
  <c r="AK597" i="1" s="1"/>
  <c r="AL597" i="1" s="1"/>
  <c r="AH204" i="1"/>
  <c r="AK204" i="1" s="1"/>
  <c r="AL204" i="1" s="1"/>
  <c r="AH296" i="1"/>
  <c r="AK296" i="1" s="1"/>
  <c r="AL296" i="1" s="1"/>
  <c r="AH65" i="1"/>
  <c r="AK65" i="1" s="1"/>
  <c r="AL65" i="1" s="1"/>
  <c r="AH324" i="1"/>
  <c r="AK324" i="1" s="1"/>
  <c r="AL324" i="1" s="1"/>
  <c r="AH518" i="1"/>
  <c r="AK518" i="1" s="1"/>
  <c r="AL518" i="1" s="1"/>
  <c r="AH240" i="1"/>
  <c r="AK240" i="1" s="1"/>
  <c r="AL240" i="1" s="1"/>
  <c r="AH175" i="1"/>
  <c r="AK175" i="1" s="1"/>
  <c r="AL175" i="1" s="1"/>
  <c r="AH170" i="1"/>
  <c r="AK170" i="1" s="1"/>
  <c r="AL170" i="1" s="1"/>
  <c r="AH453" i="1"/>
  <c r="AK453" i="1" s="1"/>
  <c r="AL453" i="1" s="1"/>
  <c r="AH55" i="1"/>
  <c r="AK55" i="1" s="1"/>
  <c r="AL55" i="1" s="1"/>
  <c r="AH260" i="1"/>
  <c r="AK260" i="1" s="1"/>
  <c r="AL260" i="1" s="1"/>
  <c r="AH272" i="1"/>
  <c r="AK272" i="1" s="1"/>
  <c r="AL272" i="1" s="1"/>
  <c r="AH555" i="1"/>
  <c r="AK555" i="1" s="1"/>
  <c r="AL555" i="1" s="1"/>
  <c r="AH220" i="1"/>
  <c r="AK220" i="1" s="1"/>
  <c r="AL220" i="1" s="1"/>
  <c r="AH277" i="1"/>
  <c r="AK277" i="1" s="1"/>
  <c r="AL277" i="1" s="1"/>
  <c r="AH455" i="1"/>
  <c r="AK455" i="1" s="1"/>
  <c r="AL455" i="1" s="1"/>
  <c r="AH263" i="1"/>
  <c r="AK263" i="1" s="1"/>
  <c r="AL263" i="1" s="1"/>
  <c r="AH619" i="1"/>
  <c r="AK619" i="1" s="1"/>
  <c r="AL619" i="1" s="1"/>
  <c r="AH626" i="1"/>
  <c r="AK626" i="1" s="1"/>
  <c r="AL626" i="1" s="1"/>
  <c r="AH556" i="1"/>
  <c r="AK556" i="1" s="1"/>
  <c r="AL556" i="1" s="1"/>
  <c r="AH45" i="1"/>
  <c r="AK45" i="1" s="1"/>
  <c r="AL45" i="1" s="1"/>
  <c r="AH83" i="1"/>
  <c r="AK83" i="1" s="1"/>
  <c r="AL83" i="1" s="1"/>
  <c r="AH264" i="1"/>
  <c r="AK264" i="1" s="1"/>
  <c r="AL264" i="1" s="1"/>
  <c r="AH361" i="1"/>
  <c r="AK361" i="1" s="1"/>
  <c r="AL361" i="1" s="1"/>
  <c r="AH433" i="1"/>
  <c r="AK433" i="1" s="1"/>
  <c r="AL433" i="1" s="1"/>
  <c r="AH525" i="1"/>
  <c r="AK525" i="1" s="1"/>
  <c r="AL525" i="1" s="1"/>
  <c r="AH70" i="1"/>
  <c r="AK70" i="1" s="1"/>
  <c r="AL70" i="1" s="1"/>
  <c r="AH180" i="1"/>
  <c r="AK180" i="1" s="1"/>
  <c r="AL180" i="1" s="1"/>
  <c r="AH551" i="1"/>
  <c r="AK551" i="1" s="1"/>
  <c r="AL551" i="1" s="1"/>
  <c r="AH416" i="1"/>
  <c r="AK416" i="1" s="1"/>
  <c r="AL416" i="1" s="1"/>
  <c r="AH125" i="1"/>
  <c r="AK125" i="1" s="1"/>
  <c r="AL125" i="1" s="1"/>
  <c r="AH620" i="1"/>
  <c r="AK620" i="1" s="1"/>
  <c r="AL620" i="1" s="1"/>
  <c r="AH376" i="1"/>
  <c r="AK376" i="1" s="1"/>
  <c r="AL376" i="1" s="1"/>
  <c r="AH350" i="1"/>
  <c r="AK350" i="1" s="1"/>
  <c r="AL350" i="1" s="1"/>
  <c r="AH448" i="1"/>
  <c r="AK448" i="1" s="1"/>
  <c r="AL448" i="1" s="1"/>
  <c r="AH58" i="1"/>
  <c r="AK58" i="1" s="1"/>
  <c r="AL58" i="1" s="1"/>
  <c r="AH316" i="1"/>
  <c r="AK316" i="1" s="1"/>
  <c r="AL316" i="1" s="1"/>
  <c r="AH403" i="1"/>
  <c r="AK403" i="1" s="1"/>
  <c r="AL403" i="1" s="1"/>
  <c r="AH588" i="1"/>
  <c r="AK588" i="1" s="1"/>
  <c r="AL588" i="1" s="1"/>
  <c r="AH425" i="1"/>
  <c r="AK425" i="1" s="1"/>
  <c r="AL425" i="1" s="1"/>
  <c r="AH185" i="1"/>
  <c r="AK185" i="1" s="1"/>
  <c r="AL185" i="1" s="1"/>
  <c r="AH76" i="1"/>
  <c r="AK76" i="1" s="1"/>
  <c r="AL76" i="1" s="1"/>
  <c r="AH285" i="1"/>
  <c r="AK285" i="1" s="1"/>
  <c r="AL285" i="1" s="1"/>
  <c r="AH114" i="1"/>
  <c r="AK114" i="1" s="1"/>
  <c r="AL114" i="1" s="1"/>
  <c r="AH287" i="1"/>
  <c r="AK287" i="1" s="1"/>
  <c r="AL287" i="1" s="1"/>
  <c r="AH121" i="1"/>
  <c r="AK121" i="1" s="1"/>
  <c r="AL121" i="1" s="1"/>
  <c r="AH40" i="1"/>
  <c r="AK40" i="1" s="1"/>
  <c r="AL40" i="1" s="1"/>
  <c r="AH144" i="1"/>
  <c r="AK144" i="1" s="1"/>
  <c r="AL144" i="1" s="1"/>
  <c r="AH62" i="1"/>
  <c r="AK62" i="1" s="1"/>
  <c r="AL62" i="1" s="1"/>
  <c r="AH127" i="1"/>
  <c r="AK127" i="1" s="1"/>
  <c r="AL127" i="1" s="1"/>
  <c r="AH36" i="1"/>
  <c r="AK36" i="1" s="1"/>
  <c r="AL36" i="1" s="1"/>
  <c r="AH363" i="1"/>
  <c r="AK363" i="1" s="1"/>
  <c r="AL363" i="1" s="1"/>
  <c r="AH435" i="1"/>
  <c r="AK435" i="1" s="1"/>
  <c r="AL435" i="1" s="1"/>
  <c r="AH527" i="1"/>
  <c r="AK527" i="1" s="1"/>
  <c r="AL527" i="1" s="1"/>
  <c r="AH243" i="1"/>
  <c r="AK243" i="1" s="1"/>
  <c r="AL243" i="1" s="1"/>
  <c r="AH217" i="1"/>
  <c r="AK217" i="1" s="1"/>
  <c r="AL217" i="1" s="1"/>
  <c r="AH583" i="1"/>
  <c r="AK583" i="1" s="1"/>
  <c r="AL583" i="1" s="1"/>
  <c r="AH426" i="1"/>
  <c r="AK426" i="1" s="1"/>
  <c r="AL426" i="1" s="1"/>
  <c r="AH193" i="1"/>
  <c r="AK193" i="1" s="1"/>
  <c r="AL193" i="1" s="1"/>
  <c r="AH308" i="1"/>
  <c r="AK308" i="1" s="1"/>
  <c r="AL308" i="1" s="1"/>
  <c r="AH349" i="1"/>
  <c r="AK349" i="1" s="1"/>
  <c r="AL349" i="1" s="1"/>
  <c r="AH424" i="1"/>
  <c r="AK424" i="1" s="1"/>
  <c r="AL424" i="1" s="1"/>
  <c r="AH77" i="1"/>
  <c r="AK77" i="1" s="1"/>
  <c r="AL77" i="1" s="1"/>
  <c r="AH74" i="1"/>
  <c r="AK74" i="1" s="1"/>
  <c r="AL74" i="1" s="1"/>
  <c r="AH365" i="1"/>
  <c r="AK365" i="1" s="1"/>
  <c r="AL365" i="1" s="1"/>
  <c r="AH457" i="1"/>
  <c r="AK457" i="1" s="1"/>
  <c r="AL457" i="1" s="1"/>
  <c r="AH529" i="1"/>
  <c r="AK529" i="1" s="1"/>
  <c r="AL529" i="1" s="1"/>
  <c r="AH54" i="1"/>
  <c r="AK54" i="1" s="1"/>
  <c r="AL54" i="1" s="1"/>
  <c r="AH140" i="1"/>
  <c r="AK140" i="1" s="1"/>
  <c r="AL140" i="1" s="1"/>
  <c r="AH442" i="1"/>
  <c r="AK442" i="1" s="1"/>
  <c r="AL442" i="1" s="1"/>
  <c r="AH554" i="1"/>
  <c r="AK554" i="1" s="1"/>
  <c r="AL554" i="1" s="1"/>
  <c r="AH432" i="1"/>
  <c r="AK432" i="1" s="1"/>
  <c r="AL432" i="1" s="1"/>
  <c r="AH492" i="1"/>
  <c r="AK492" i="1" s="1"/>
  <c r="AL492" i="1" s="1"/>
  <c r="AH397" i="1"/>
  <c r="AK397" i="1" s="1"/>
  <c r="AL397" i="1" s="1"/>
  <c r="AH221" i="1"/>
  <c r="AK221" i="1" s="1"/>
  <c r="AL221" i="1" s="1"/>
  <c r="AH102" i="1"/>
  <c r="AK102" i="1" s="1"/>
  <c r="AL102" i="1" s="1"/>
  <c r="AH226" i="1"/>
  <c r="AK226" i="1" s="1"/>
  <c r="AL226" i="1" s="1"/>
  <c r="AH319" i="1"/>
  <c r="AK319" i="1" s="1"/>
  <c r="AL319" i="1" s="1"/>
  <c r="AH329" i="1"/>
  <c r="AK329" i="1" s="1"/>
  <c r="AL329" i="1" s="1"/>
  <c r="AH493" i="1"/>
  <c r="AK493" i="1" s="1"/>
  <c r="AL493" i="1" s="1"/>
  <c r="AH87" i="1"/>
  <c r="AK87" i="1" s="1"/>
  <c r="AL87" i="1" s="1"/>
  <c r="AH35" i="1"/>
  <c r="AK35" i="1" s="1"/>
  <c r="AL35" i="1" s="1"/>
  <c r="AH569" i="1"/>
  <c r="AK569" i="1" s="1"/>
  <c r="AL569" i="1" s="1"/>
  <c r="AH500" i="1"/>
  <c r="AK500" i="1" s="1"/>
  <c r="AL500" i="1" s="1"/>
  <c r="AH37" i="1"/>
  <c r="AK37" i="1" s="1"/>
  <c r="AL37" i="1" s="1"/>
  <c r="AH155" i="1"/>
  <c r="AK155" i="1" s="1"/>
  <c r="AL155" i="1" s="1"/>
  <c r="AH610" i="1"/>
  <c r="AK610" i="1" s="1"/>
  <c r="AL610" i="1" s="1"/>
  <c r="AH120" i="1"/>
  <c r="AK120" i="1" s="1"/>
  <c r="AL120" i="1" s="1"/>
  <c r="AH163" i="1"/>
  <c r="AK163" i="1" s="1"/>
  <c r="AL163" i="1" s="1"/>
  <c r="AH545" i="1"/>
  <c r="AK545" i="1" s="1"/>
  <c r="AL545" i="1" s="1"/>
  <c r="AH223" i="1"/>
  <c r="AK223" i="1" s="1"/>
  <c r="AL223" i="1" s="1"/>
  <c r="AH49" i="1"/>
  <c r="AK49" i="1" s="1"/>
  <c r="AL49" i="1" s="1"/>
  <c r="AH205" i="1"/>
  <c r="AK205" i="1" s="1"/>
  <c r="AL205" i="1" s="1"/>
  <c r="AH289" i="1"/>
  <c r="AK289" i="1" s="1"/>
  <c r="AL289" i="1" s="1"/>
  <c r="AH414" i="1"/>
  <c r="AK414" i="1" s="1"/>
  <c r="AL414" i="1" s="1"/>
  <c r="AH288" i="1"/>
  <c r="AK288" i="1" s="1"/>
  <c r="AL288" i="1" s="1"/>
  <c r="AH51" i="1"/>
  <c r="AK51" i="1" s="1"/>
  <c r="AL51" i="1" s="1"/>
  <c r="AH113" i="1"/>
  <c r="AK113" i="1" s="1"/>
  <c r="AL113" i="1" s="1"/>
  <c r="AH332" i="1"/>
  <c r="AK332" i="1" s="1"/>
  <c r="AL332" i="1" s="1"/>
  <c r="AH330" i="1"/>
  <c r="AK330" i="1" s="1"/>
  <c r="AL330" i="1" s="1"/>
  <c r="AH362" i="1"/>
  <c r="AK362" i="1" s="1"/>
  <c r="AL362" i="1" s="1"/>
  <c r="AH78" i="1"/>
  <c r="AK78" i="1" s="1"/>
  <c r="AL78" i="1" s="1"/>
  <c r="AH241" i="1"/>
  <c r="AK241" i="1" s="1"/>
  <c r="AL241" i="1" s="1"/>
  <c r="AH33" i="1"/>
  <c r="AK33" i="1" s="1"/>
  <c r="AL33" i="1" s="1"/>
  <c r="AH339" i="1"/>
  <c r="AK339" i="1" s="1"/>
  <c r="AL339" i="1" s="1"/>
  <c r="AH318" i="1"/>
  <c r="AK318" i="1" s="1"/>
  <c r="AL318" i="1" s="1"/>
  <c r="AH495" i="1"/>
  <c r="AK495" i="1" s="1"/>
  <c r="AL495" i="1" s="1"/>
  <c r="AH504" i="1"/>
  <c r="AK504" i="1" s="1"/>
  <c r="AL504" i="1" s="1"/>
  <c r="AH133" i="1"/>
  <c r="AK133" i="1" s="1"/>
  <c r="AL133" i="1" s="1"/>
  <c r="AH576" i="1"/>
  <c r="AK576" i="1" s="1"/>
  <c r="AL576" i="1" s="1"/>
  <c r="AH629" i="1"/>
  <c r="AK629" i="1" s="1"/>
  <c r="AL629" i="1" s="1"/>
  <c r="AH427" i="1"/>
  <c r="AK427" i="1" s="1"/>
  <c r="AL427" i="1" s="1"/>
  <c r="AH320" i="1"/>
  <c r="AK320" i="1" s="1"/>
  <c r="AL320" i="1" s="1"/>
  <c r="AH521" i="1"/>
  <c r="AK521" i="1" s="1"/>
  <c r="AL521" i="1" s="1"/>
  <c r="AH38" i="1"/>
  <c r="AK38" i="1" s="1"/>
  <c r="AL38" i="1" s="1"/>
  <c r="AH257" i="1"/>
  <c r="AK257" i="1" s="1"/>
  <c r="AL257" i="1" s="1"/>
  <c r="AH161" i="1"/>
  <c r="AK161" i="1" s="1"/>
  <c r="AL161" i="1" s="1"/>
  <c r="AH94" i="1"/>
  <c r="AK94" i="1" s="1"/>
  <c r="AL94" i="1" s="1"/>
  <c r="AH104" i="1"/>
  <c r="AK104" i="1" s="1"/>
  <c r="AL104" i="1" s="1"/>
  <c r="AH129" i="1"/>
  <c r="AK129" i="1" s="1"/>
  <c r="AL129" i="1" s="1"/>
  <c r="AH367" i="1"/>
  <c r="AK367" i="1" s="1"/>
  <c r="AL367" i="1" s="1"/>
  <c r="AH459" i="1"/>
  <c r="AK459" i="1" s="1"/>
  <c r="AL459" i="1" s="1"/>
  <c r="AH531" i="1"/>
  <c r="AK531" i="1" s="1"/>
  <c r="AL531" i="1" s="1"/>
  <c r="AH106" i="1"/>
  <c r="AK106" i="1" s="1"/>
  <c r="AL106" i="1" s="1"/>
  <c r="AH172" i="1"/>
  <c r="AK172" i="1" s="1"/>
  <c r="AL172" i="1" s="1"/>
  <c r="AH178" i="1"/>
  <c r="AK178" i="1" s="1"/>
  <c r="AL178" i="1" s="1"/>
  <c r="AH474" i="1"/>
  <c r="AK474" i="1" s="1"/>
  <c r="AL474" i="1" s="1"/>
  <c r="AH578" i="1"/>
  <c r="AK578" i="1" s="1"/>
  <c r="AL578" i="1" s="1"/>
  <c r="AH68" i="1"/>
  <c r="AK68" i="1" s="1"/>
  <c r="AL68" i="1" s="1"/>
  <c r="AH456" i="1"/>
  <c r="AK456" i="1" s="1"/>
  <c r="AL456" i="1" s="1"/>
  <c r="AH611" i="1"/>
  <c r="AK611" i="1" s="1"/>
  <c r="AL611" i="1" s="1"/>
  <c r="AH253" i="1"/>
  <c r="AK253" i="1" s="1"/>
  <c r="AL253" i="1" s="1"/>
  <c r="AH561" i="1"/>
  <c r="AK561" i="1" s="1"/>
  <c r="AL561" i="1" s="1"/>
  <c r="AH156" i="1"/>
  <c r="AK156" i="1" s="1"/>
  <c r="AL156" i="1" s="1"/>
  <c r="AH321" i="1"/>
  <c r="AK321" i="1" s="1"/>
  <c r="AL321" i="1" s="1"/>
  <c r="AH166" i="1"/>
  <c r="AK166" i="1" s="1"/>
  <c r="AL166" i="1" s="1"/>
  <c r="AH618" i="1"/>
  <c r="AK618" i="1" s="1"/>
  <c r="AL618" i="1" s="1"/>
  <c r="AH194" i="1"/>
  <c r="AK194" i="1" s="1"/>
  <c r="AL194" i="1" s="1"/>
  <c r="AH544" i="1"/>
  <c r="AK544" i="1" s="1"/>
  <c r="AL544" i="1" s="1"/>
  <c r="AH388" i="1"/>
  <c r="AK388" i="1" s="1"/>
  <c r="AL388" i="1" s="1"/>
  <c r="AH399" i="1"/>
  <c r="AK399" i="1" s="1"/>
  <c r="AL399" i="1" s="1"/>
  <c r="AH553" i="1"/>
  <c r="AK553" i="1" s="1"/>
  <c r="AL553" i="1" s="1"/>
  <c r="AH615" i="1"/>
  <c r="AK615" i="1" s="1"/>
  <c r="AL615" i="1" s="1"/>
  <c r="AH84" i="1"/>
  <c r="AK84" i="1" s="1"/>
  <c r="AL84" i="1" s="1"/>
  <c r="AH410" i="1"/>
  <c r="AK410" i="1" s="1"/>
  <c r="AL410" i="1" s="1"/>
  <c r="AH281" i="1"/>
  <c r="AK281" i="1" s="1"/>
  <c r="AL281" i="1" s="1"/>
  <c r="AH24" i="1"/>
  <c r="AK24" i="1" s="1"/>
  <c r="AL24" i="1" s="1"/>
  <c r="AH103" i="1"/>
  <c r="AK103" i="1" s="1"/>
  <c r="AL103" i="1" s="1"/>
  <c r="AH93" i="1"/>
  <c r="AK93" i="1" s="1"/>
  <c r="AL93" i="1" s="1"/>
  <c r="AH499" i="1"/>
  <c r="AK499" i="1" s="1"/>
  <c r="AL499" i="1" s="1"/>
  <c r="AH490" i="1"/>
  <c r="AK490" i="1" s="1"/>
  <c r="AL490" i="1" s="1"/>
  <c r="AH41" i="1"/>
  <c r="AK41" i="1" s="1"/>
  <c r="AL41" i="1" s="1"/>
  <c r="AH215" i="1"/>
  <c r="AK215" i="1" s="1"/>
  <c r="AL215" i="1" s="1"/>
  <c r="AH606" i="1"/>
  <c r="AK606" i="1" s="1"/>
  <c r="AL606" i="1" s="1"/>
  <c r="AH69" i="1"/>
  <c r="AK69" i="1" s="1"/>
  <c r="AL69" i="1" s="1"/>
  <c r="AH222" i="1"/>
  <c r="AK222" i="1" s="1"/>
  <c r="AL222" i="1" s="1"/>
  <c r="AH542" i="1"/>
  <c r="AK542" i="1" s="1"/>
  <c r="AL542" i="1" s="1"/>
  <c r="AH109" i="1"/>
  <c r="AK109" i="1" s="1"/>
  <c r="AL109" i="1" s="1"/>
  <c r="AH138" i="1"/>
  <c r="AK138" i="1" s="1"/>
  <c r="AL138" i="1" s="1"/>
  <c r="AH262" i="1"/>
  <c r="AK262" i="1" s="1"/>
  <c r="AL262" i="1" s="1"/>
  <c r="AH369" i="1"/>
  <c r="AK369" i="1" s="1"/>
  <c r="AL369" i="1" s="1"/>
  <c r="AH461" i="1"/>
  <c r="AK461" i="1" s="1"/>
  <c r="AL461" i="1" s="1"/>
  <c r="AH200" i="1"/>
  <c r="AK200" i="1" s="1"/>
  <c r="AL200" i="1" s="1"/>
  <c r="AH123" i="1"/>
  <c r="AK123" i="1" s="1"/>
  <c r="AL123" i="1" s="1"/>
  <c r="AH191" i="1"/>
  <c r="AK191" i="1" s="1"/>
  <c r="AL191" i="1" s="1"/>
  <c r="AH458" i="1"/>
  <c r="AK458" i="1" s="1"/>
  <c r="AL458" i="1" s="1"/>
  <c r="AH510" i="1"/>
  <c r="AK510" i="1" s="1"/>
  <c r="AL510" i="1" s="1"/>
  <c r="AH599" i="1"/>
  <c r="AK599" i="1" s="1"/>
  <c r="AL599" i="1" s="1"/>
  <c r="AH582" i="1"/>
  <c r="AK582" i="1" s="1"/>
  <c r="AL582" i="1" s="1"/>
  <c r="AH470" i="1"/>
  <c r="AK470" i="1" s="1"/>
  <c r="AL470" i="1" s="1"/>
  <c r="AH512" i="1"/>
  <c r="AK512" i="1" s="1"/>
  <c r="AL512" i="1" s="1"/>
  <c r="AH522" i="1"/>
  <c r="AK522" i="1" s="1"/>
  <c r="AL522" i="1" s="1"/>
  <c r="AH600" i="1"/>
  <c r="AK600" i="1" s="1"/>
  <c r="AL600" i="1" s="1"/>
  <c r="AH341" i="1"/>
  <c r="AK341" i="1" s="1"/>
  <c r="AL341" i="1" s="1"/>
  <c r="AH139" i="1"/>
  <c r="AK139" i="1" s="1"/>
  <c r="AL139" i="1" s="1"/>
  <c r="AH108" i="1"/>
  <c r="AK108" i="1" s="1"/>
  <c r="AL108" i="1" s="1"/>
  <c r="AH465" i="1"/>
  <c r="AK465" i="1" s="1"/>
  <c r="AL465" i="1" s="1"/>
  <c r="AH306" i="1"/>
  <c r="AK306" i="1" s="1"/>
  <c r="AL306" i="1" s="1"/>
  <c r="AH236" i="1"/>
  <c r="AK236" i="1" s="1"/>
  <c r="AL236" i="1" s="1"/>
  <c r="AH627" i="1"/>
  <c r="AK627" i="1" s="1"/>
  <c r="AL627" i="1" s="1"/>
  <c r="AH235" i="1"/>
  <c r="AK235" i="1" s="1"/>
  <c r="AL235" i="1" s="1"/>
  <c r="AH192" i="1"/>
  <c r="AK192" i="1" s="1"/>
  <c r="AL192" i="1" s="1"/>
  <c r="AH395" i="1"/>
  <c r="AK395" i="1" s="1"/>
  <c r="AL395" i="1" s="1"/>
  <c r="AH280" i="1"/>
  <c r="AK280" i="1" s="1"/>
  <c r="AL280" i="1" s="1"/>
  <c r="AH581" i="1"/>
  <c r="AK581" i="1" s="1"/>
  <c r="AL581" i="1" s="1"/>
  <c r="AH352" i="1"/>
  <c r="AK352" i="1" s="1"/>
  <c r="AL352" i="1" s="1"/>
  <c r="AH66" i="1"/>
  <c r="AK66" i="1" s="1"/>
  <c r="AL66" i="1" s="1"/>
  <c r="AH303" i="1"/>
  <c r="AK303" i="1" s="1"/>
  <c r="AL303" i="1" s="1"/>
  <c r="AH398" i="1"/>
  <c r="AK398" i="1" s="1"/>
  <c r="AL398" i="1" s="1"/>
  <c r="AH11" i="1"/>
  <c r="AK11" i="1" s="1"/>
  <c r="AL11" i="1" s="1"/>
  <c r="AH491" i="1"/>
  <c r="AK491" i="1" s="1"/>
  <c r="AL491" i="1" s="1"/>
  <c r="AH394" i="1"/>
  <c r="AK394" i="1" s="1"/>
  <c r="AL394" i="1" s="1"/>
  <c r="AH401" i="1"/>
  <c r="AK401" i="1" s="1"/>
  <c r="AL401" i="1" s="1"/>
  <c r="AH560" i="1"/>
  <c r="AK560" i="1" s="1"/>
  <c r="AL560" i="1" s="1"/>
  <c r="AH547" i="1"/>
  <c r="AK547" i="1" s="1"/>
  <c r="AL547" i="1" s="1"/>
  <c r="AH119" i="1"/>
  <c r="AK119" i="1" s="1"/>
  <c r="AL119" i="1" s="1"/>
  <c r="AH351" i="1"/>
  <c r="AK351" i="1" s="1"/>
  <c r="AL351" i="1" s="1"/>
  <c r="AH478" i="1"/>
  <c r="AK478" i="1" s="1"/>
  <c r="AL478" i="1" s="1"/>
  <c r="AH497" i="1"/>
  <c r="AK497" i="1" s="1"/>
  <c r="AL497" i="1" s="1"/>
  <c r="AH622" i="1"/>
  <c r="AK622" i="1" s="1"/>
  <c r="AL622" i="1" s="1"/>
  <c r="AH39" i="1"/>
  <c r="AK39" i="1" s="1"/>
  <c r="AL39" i="1" s="1"/>
  <c r="AH195" i="1"/>
  <c r="AK195" i="1" s="1"/>
  <c r="AL195" i="1" s="1"/>
  <c r="AH563" i="1"/>
  <c r="AK563" i="1" s="1"/>
  <c r="AL563" i="1" s="1"/>
  <c r="AH429" i="1"/>
  <c r="AK429" i="1" s="1"/>
  <c r="AL429" i="1" s="1"/>
  <c r="AH594" i="1"/>
  <c r="AK594" i="1" s="1"/>
  <c r="AL594" i="1" s="1"/>
  <c r="AH538" i="1"/>
  <c r="AK538" i="1" s="1"/>
  <c r="AL538" i="1" s="1"/>
  <c r="AH431" i="1"/>
  <c r="AK431" i="1" s="1"/>
  <c r="AL431" i="1" s="1"/>
  <c r="AH46" i="1"/>
  <c r="AK46" i="1" s="1"/>
  <c r="AL46" i="1" s="1"/>
  <c r="AH126" i="1"/>
  <c r="AK126" i="1" s="1"/>
  <c r="AL126" i="1" s="1"/>
  <c r="AH146" i="1"/>
  <c r="AK146" i="1" s="1"/>
  <c r="AL146" i="1" s="1"/>
  <c r="AH86" i="1"/>
  <c r="AK86" i="1" s="1"/>
  <c r="AL86" i="1" s="1"/>
  <c r="AH371" i="1"/>
  <c r="AK371" i="1" s="1"/>
  <c r="AL371" i="1" s="1"/>
  <c r="AH463" i="1"/>
  <c r="AK463" i="1" s="1"/>
  <c r="AL463" i="1" s="1"/>
  <c r="AH258" i="1"/>
  <c r="AK258" i="1" s="1"/>
  <c r="AL258" i="1" s="1"/>
  <c r="AH148" i="1"/>
  <c r="AK148" i="1" s="1"/>
  <c r="AL148" i="1" s="1"/>
  <c r="AH214" i="1"/>
  <c r="AK214" i="1" s="1"/>
  <c r="AL214" i="1" s="1"/>
  <c r="AH480" i="1"/>
  <c r="AK480" i="1" s="1"/>
  <c r="AL480" i="1" s="1"/>
  <c r="AH609" i="1"/>
  <c r="AK609" i="1" s="1"/>
  <c r="AL609" i="1" s="1"/>
  <c r="AH50" i="1"/>
  <c r="AK50" i="1" s="1"/>
  <c r="AL50" i="1" s="1"/>
  <c r="AH176" i="1"/>
  <c r="AK176" i="1" s="1"/>
  <c r="AL176" i="1" s="1"/>
  <c r="AH393" i="1"/>
  <c r="AK393" i="1" s="1"/>
  <c r="AL393" i="1" s="1"/>
  <c r="AH266" i="1"/>
  <c r="AK266" i="1" s="1"/>
  <c r="AL266" i="1" s="1"/>
  <c r="AH574" i="1"/>
  <c r="AK574" i="1" s="1"/>
  <c r="AL574" i="1" s="1"/>
  <c r="AH628" i="1"/>
  <c r="AK628" i="1" s="1"/>
  <c r="AL628" i="1" s="1"/>
  <c r="AH188" i="1"/>
  <c r="AK188" i="1" s="1"/>
  <c r="AL188" i="1" s="1"/>
  <c r="AH467" i="1"/>
  <c r="AK467" i="1" s="1"/>
  <c r="AL467" i="1" s="1"/>
  <c r="AH254" i="1"/>
  <c r="AK254" i="1" s="1"/>
  <c r="AL254" i="1" s="1"/>
  <c r="AH336" i="1"/>
  <c r="AK336" i="1" s="1"/>
  <c r="AL336" i="1" s="1"/>
  <c r="AH187" i="1"/>
  <c r="AK187" i="1" s="1"/>
  <c r="AL187" i="1" s="1"/>
  <c r="AH171" i="1"/>
  <c r="AK171" i="1" s="1"/>
  <c r="AL171" i="1" s="1"/>
  <c r="AH489" i="1"/>
  <c r="AK489" i="1" s="1"/>
  <c r="AL489" i="1" s="1"/>
  <c r="AH248" i="1"/>
  <c r="AK248" i="1" s="1"/>
  <c r="AL248" i="1" s="1"/>
  <c r="AH26" i="1"/>
  <c r="AK26" i="1" s="1"/>
  <c r="AL26" i="1" s="1"/>
  <c r="AH337" i="1"/>
  <c r="AK337" i="1" s="1"/>
  <c r="AL337" i="1" s="1"/>
  <c r="AH446" i="1"/>
  <c r="AK446" i="1" s="1"/>
  <c r="AL446" i="1" s="1"/>
  <c r="AH279" i="1"/>
  <c r="AK279" i="1" s="1"/>
  <c r="AL279" i="1" s="1"/>
  <c r="AH347" i="1"/>
  <c r="AK347" i="1" s="1"/>
  <c r="AL347" i="1" s="1"/>
  <c r="AH506" i="1"/>
  <c r="AK506" i="1" s="1"/>
  <c r="AL506" i="1" s="1"/>
  <c r="AH73" i="1"/>
  <c r="AK73" i="1" s="1"/>
  <c r="AL73" i="1" s="1"/>
  <c r="AH355" i="1"/>
  <c r="AK355" i="1" s="1"/>
  <c r="AL355" i="1" s="1"/>
  <c r="AH238" i="1"/>
  <c r="AK238" i="1" s="1"/>
  <c r="AL238" i="1" s="1"/>
  <c r="AH283" i="1"/>
  <c r="AK283" i="1" s="1"/>
  <c r="AL283" i="1" s="1"/>
  <c r="AH484" i="1"/>
  <c r="AK484" i="1" s="1"/>
  <c r="AL484" i="1" s="1"/>
  <c r="AH149" i="1"/>
  <c r="AK149" i="1" s="1"/>
  <c r="AL149" i="1" s="1"/>
  <c r="AH585" i="1"/>
  <c r="AK585" i="1" s="1"/>
  <c r="AL585" i="1" s="1"/>
  <c r="AH81" i="1"/>
  <c r="AK81" i="1" s="1"/>
  <c r="AL81" i="1" s="1"/>
  <c r="AH63" i="1"/>
  <c r="AK63" i="1" s="1"/>
  <c r="AL63" i="1" s="1"/>
  <c r="AH406" i="1"/>
  <c r="AK406" i="1" s="1"/>
  <c r="AL406" i="1" s="1"/>
  <c r="AH523" i="1"/>
  <c r="AK523" i="1" s="1"/>
  <c r="AL523" i="1" s="1"/>
  <c r="AH573" i="1"/>
  <c r="AK573" i="1" s="1"/>
  <c r="AL573" i="1" s="1"/>
  <c r="AK29" i="1"/>
  <c r="AL29" i="1" s="1"/>
</calcChain>
</file>

<file path=xl/sharedStrings.xml><?xml version="1.0" encoding="utf-8"?>
<sst xmlns="http://schemas.openxmlformats.org/spreadsheetml/2006/main" count="5011" uniqueCount="1912">
  <si>
    <t>Brand Partner Order Projections</t>
  </si>
  <si>
    <t>Item Total by Month</t>
  </si>
  <si>
    <t>JUVIA'S PLACE (52853)</t>
  </si>
  <si>
    <t>Report Generated: 1/28/2026 8:15:30 PM</t>
  </si>
  <si>
    <t>General Information</t>
  </si>
  <si>
    <t>2026 P01</t>
  </si>
  <si>
    <t>2026 P02</t>
  </si>
  <si>
    <t>2026 P03</t>
  </si>
  <si>
    <t>2026 P04</t>
  </si>
  <si>
    <t>2026 P05</t>
  </si>
  <si>
    <t>2026 P06</t>
  </si>
  <si>
    <t>2026 P07</t>
  </si>
  <si>
    <t>2026 P08</t>
  </si>
  <si>
    <t>2026 P09</t>
  </si>
  <si>
    <t>2026 P10</t>
  </si>
  <si>
    <t>2026 P11</t>
  </si>
  <si>
    <t>2026 P12</t>
  </si>
  <si>
    <t>UPC#</t>
  </si>
  <si>
    <t>ULTA Item#</t>
  </si>
  <si>
    <t>ULTA Item Description</t>
  </si>
  <si>
    <t>Brand Partner SKU#</t>
  </si>
  <si>
    <t>Department</t>
  </si>
  <si>
    <t>Brand #</t>
  </si>
  <si>
    <t>Retail Item Rank</t>
  </si>
  <si>
    <t>Feature Code</t>
  </si>
  <si>
    <t>Season Code</t>
  </si>
  <si>
    <t>Purchase Cost (Average)</t>
  </si>
  <si>
    <t>Retail Price (Current)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</si>
  <si>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</si>
  <si>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</si>
  <si>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</si>
  <si>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</si>
  <si>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</si>
  <si>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</si>
  <si>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</si>
  <si>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</si>
  <si>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</si>
  <si>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</si>
  <si>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</si>
  <si>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</si>
  <si>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Overall Result</t>
  </si>
  <si>
    <t>869001000347</t>
  </si>
  <si>
    <t>2536080</t>
  </si>
  <si>
    <t>THE SAHARAN BLUSH PALETTE</t>
  </si>
  <si>
    <t>021</t>
  </si>
  <si>
    <t>3453 - JUVIA'S PLACE</t>
  </si>
  <si>
    <t>X</t>
  </si>
  <si>
    <t>BASC</t>
  </si>
  <si>
    <t>869001000248</t>
  </si>
  <si>
    <t>2536081</t>
  </si>
  <si>
    <t>THE MASQUERADE MINI EYESHADOW PALETTE</t>
  </si>
  <si>
    <t>C</t>
  </si>
  <si>
    <t>DI</t>
  </si>
  <si>
    <t>869001000316</t>
  </si>
  <si>
    <t>2536082</t>
  </si>
  <si>
    <t>THE ZULU EYESHADOW PALETTE 1.14OZ</t>
  </si>
  <si>
    <t>E</t>
  </si>
  <si>
    <t>A</t>
  </si>
  <si>
    <t>869001000231</t>
  </si>
  <si>
    <t>2536083</t>
  </si>
  <si>
    <t>THE SAHARAN EYESHADOW PALETTE SAHARAN</t>
  </si>
  <si>
    <t>F</t>
  </si>
  <si>
    <t>857494007271</t>
  </si>
  <si>
    <t>2536084</t>
  </si>
  <si>
    <t>THE MAGIC MINI EYESHADOW PALETTE</t>
  </si>
  <si>
    <t>869001000279</t>
  </si>
  <si>
    <t>2536085</t>
  </si>
  <si>
    <t>857494007097</t>
  </si>
  <si>
    <t>2536086</t>
  </si>
  <si>
    <t>THE EYESHADOW PALETTE</t>
  </si>
  <si>
    <t>857494007288</t>
  </si>
  <si>
    <t>2536087</t>
  </si>
  <si>
    <t>THE WARRIOR EYESHADOW PALETTE WARRIOR</t>
  </si>
  <si>
    <t>857494007295</t>
  </si>
  <si>
    <t>2536088</t>
  </si>
  <si>
    <t>THE WARRIOR EYESHADOW PALETTE WARRIOR II</t>
  </si>
  <si>
    <t>857494007523</t>
  </si>
  <si>
    <t>2536090</t>
  </si>
  <si>
    <t>AFRIQUE EYESHADOW PALETTE</t>
  </si>
  <si>
    <t>857494007516</t>
  </si>
  <si>
    <t>2536093</t>
  </si>
  <si>
    <t>BELLA BLUSH</t>
  </si>
  <si>
    <t>857494007417</t>
  </si>
  <si>
    <t>2536094</t>
  </si>
  <si>
    <t>THE TRIBE HIGHLIGHTER</t>
  </si>
  <si>
    <t>857494007400</t>
  </si>
  <si>
    <t>2536095</t>
  </si>
  <si>
    <t>857494007493</t>
  </si>
  <si>
    <t>2536096</t>
  </si>
  <si>
    <t>THE HEROINE GLOW HIGHLIGHTER GLOW 2</t>
  </si>
  <si>
    <t>857494007462</t>
  </si>
  <si>
    <t>2536097</t>
  </si>
  <si>
    <t>THE WARRIOR EYESHADOW PALETTE WARRIOR III</t>
  </si>
  <si>
    <t>857494007486</t>
  </si>
  <si>
    <t>2536098</t>
  </si>
  <si>
    <t>THE HEROINE GLOW HIGHLIGHTER GLOW 1</t>
  </si>
  <si>
    <t>857494007233</t>
  </si>
  <si>
    <t>2536100</t>
  </si>
  <si>
    <t>THE ROYALTY GLOW LOOSE HIGHLIGHTER</t>
  </si>
  <si>
    <t>857494007264</t>
  </si>
  <si>
    <t>2536101</t>
  </si>
  <si>
    <t>THE SAHARAN EYESHADOW PALETTE</t>
  </si>
  <si>
    <t>869001000217</t>
  </si>
  <si>
    <t>2536102</t>
  </si>
  <si>
    <t>THE NUBIAN EYESHADOW PALETTE NUBIAN 2</t>
  </si>
  <si>
    <t>857494007240</t>
  </si>
  <si>
    <t>2536105</t>
  </si>
  <si>
    <t>869001000200</t>
  </si>
  <si>
    <t>2536106</t>
  </si>
  <si>
    <t>857494007431</t>
  </si>
  <si>
    <t>2537042</t>
  </si>
  <si>
    <t>THE NUBIAN LOOSE HIGHLIGHTER NERFERTITI</t>
  </si>
  <si>
    <t>857494007424</t>
  </si>
  <si>
    <t>2537043</t>
  </si>
  <si>
    <t>THE NUBIAN LOOSE HIGHLIGHTER NUBIA</t>
  </si>
  <si>
    <t>857494007479</t>
  </si>
  <si>
    <t>2537070</t>
  </si>
  <si>
    <t>THE NUBIAN EYESHADOW PALETTE NUBIAN 3</t>
  </si>
  <si>
    <t>857494007110</t>
  </si>
  <si>
    <t>2546937</t>
  </si>
  <si>
    <t>THE NUBIAN LOOSE HIGHLIGHTER</t>
  </si>
  <si>
    <t>857494007219</t>
  </si>
  <si>
    <t>2547089</t>
  </si>
  <si>
    <t>THE NUBIAN EYESHADOW PALETTE NUBIAN MINI</t>
  </si>
  <si>
    <t>857494007127</t>
  </si>
  <si>
    <t>2547607</t>
  </si>
  <si>
    <t>THE HEROINE LOOSE HIGHLIGHTER</t>
  </si>
  <si>
    <t>857494007103</t>
  </si>
  <si>
    <t>2547799</t>
  </si>
  <si>
    <t>810018870010</t>
  </si>
  <si>
    <t>2550477</t>
  </si>
  <si>
    <t>I AM MAGIC FOUNDATION 110 SENEGAL</t>
  </si>
  <si>
    <t>810018870034</t>
  </si>
  <si>
    <t>2550478</t>
  </si>
  <si>
    <t>I AM MAGIC FOUNDATION 130 MALI</t>
  </si>
  <si>
    <t>810018870003</t>
  </si>
  <si>
    <t>2550479</t>
  </si>
  <si>
    <t>I AM MAGIC FOUNDATION 100 SUDAN</t>
  </si>
  <si>
    <t>810018870027</t>
  </si>
  <si>
    <t>2550480</t>
  </si>
  <si>
    <t>I AM MAGIC FOUNDATION 120 CHAD</t>
  </si>
  <si>
    <t>810018870072</t>
  </si>
  <si>
    <t>2550481</t>
  </si>
  <si>
    <t>I AM MAGIC FOUNDATION 205 TANZANIA</t>
  </si>
  <si>
    <t>810018870065</t>
  </si>
  <si>
    <t>2550482</t>
  </si>
  <si>
    <t>I AM MAGIC FOUNDATION 200 KENYA</t>
  </si>
  <si>
    <t>810018870089</t>
  </si>
  <si>
    <t>2550483</t>
  </si>
  <si>
    <t>I AM MAGIC FOUNDATION 210 TOGO</t>
  </si>
  <si>
    <t>810018870058</t>
  </si>
  <si>
    <t>2550484</t>
  </si>
  <si>
    <t>I AM MAGIC FOUNDATION 150 KANO</t>
  </si>
  <si>
    <t>810018870041</t>
  </si>
  <si>
    <t>2550485</t>
  </si>
  <si>
    <t>I AM MAGIC FOUNDATION 140 ANGOLA</t>
  </si>
  <si>
    <t>810018870164</t>
  </si>
  <si>
    <t>2550486</t>
  </si>
  <si>
    <t>I AM MAGIC FOUNDATION 340 KAMPALA</t>
  </si>
  <si>
    <t>810018870171</t>
  </si>
  <si>
    <t>2550487</t>
  </si>
  <si>
    <t>I AM MAGIC FOUNDATION 350 SOMALIA</t>
  </si>
  <si>
    <t>810018870287</t>
  </si>
  <si>
    <t>2550488</t>
  </si>
  <si>
    <t>I AM MAGIC FOUNDATION 530 IBIZA</t>
  </si>
  <si>
    <t>810018870096</t>
  </si>
  <si>
    <t>2550489</t>
  </si>
  <si>
    <t>810018870102</t>
  </si>
  <si>
    <t>2550490</t>
  </si>
  <si>
    <t>I AM MAGIC FOUNDATION 230 MALAWI</t>
  </si>
  <si>
    <t>810018870218</t>
  </si>
  <si>
    <t>2550491</t>
  </si>
  <si>
    <t>I AM MAGIC FOUNDATION 430 RIO</t>
  </si>
  <si>
    <t>810018870300</t>
  </si>
  <si>
    <t>2550492</t>
  </si>
  <si>
    <t>I AM MAGIC FOUNDATION 550 MARTINIQUE</t>
  </si>
  <si>
    <t>810018870348</t>
  </si>
  <si>
    <t>2550493</t>
  </si>
  <si>
    <t>I AM MAGIC FOUNDATION 630 CAPRI</t>
  </si>
  <si>
    <t>810018870362</t>
  </si>
  <si>
    <t>2550494</t>
  </si>
  <si>
    <t>I AM MAGIC FOUNDATION 650 ALEXANDRIA</t>
  </si>
  <si>
    <t>810018870201</t>
  </si>
  <si>
    <t>2550495</t>
  </si>
  <si>
    <t>I AM MAGIC FOUNDATION 420 HAVANNA</t>
  </si>
  <si>
    <t>810018870317</t>
  </si>
  <si>
    <t>2550496</t>
  </si>
  <si>
    <t>I AM MAGIC FOUNDATION 600 CAIRO</t>
  </si>
  <si>
    <t>810018870294</t>
  </si>
  <si>
    <t>2550497</t>
  </si>
  <si>
    <t>I AM MAGIC FOUNDATION 540 GIZA</t>
  </si>
  <si>
    <t>810018870188</t>
  </si>
  <si>
    <t>2550498</t>
  </si>
  <si>
    <t>I AM MAGIC FOUNDATION 400 ETHIOPIA</t>
  </si>
  <si>
    <t>810018870157</t>
  </si>
  <si>
    <t>2550499</t>
  </si>
  <si>
    <t>I AM MAGIC FOUNDATION 330 ACCRA</t>
  </si>
  <si>
    <t>810018870232</t>
  </si>
  <si>
    <t>2550500</t>
  </si>
  <si>
    <t>I AM MAGIC FOUNDATION 440 SAVANNA</t>
  </si>
  <si>
    <t>810018870263</t>
  </si>
  <si>
    <t>2550501</t>
  </si>
  <si>
    <t>I AM MAGIC FOUNDATION 510 ARUBA</t>
  </si>
  <si>
    <t>810018870119</t>
  </si>
  <si>
    <t>2550502</t>
  </si>
  <si>
    <t>I AM MAGIC FOUNDATION 240 LAGOS</t>
  </si>
  <si>
    <t>810018870140</t>
  </si>
  <si>
    <t>2550503</t>
  </si>
  <si>
    <t>I AM MAGIC FOUNDATION 320 ZARIA</t>
  </si>
  <si>
    <t>810018870133</t>
  </si>
  <si>
    <t>2550504</t>
  </si>
  <si>
    <t>I AM MAGIC FOUNDATION 310 BURKINA</t>
  </si>
  <si>
    <t>810018870355</t>
  </si>
  <si>
    <t>2550505</t>
  </si>
  <si>
    <t>I AM MAGIC FOUNDATION 640 MALTA</t>
  </si>
  <si>
    <t>810018870195</t>
  </si>
  <si>
    <t>2550506</t>
  </si>
  <si>
    <t>I AM MAGIC FOUNDATION 410 NAIROBI</t>
  </si>
  <si>
    <t>810018870409</t>
  </si>
  <si>
    <t>2550507</t>
  </si>
  <si>
    <t>I AM MAGIC FOUNDATION 730 ISLA</t>
  </si>
  <si>
    <t>810018870324</t>
  </si>
  <si>
    <t>2550508</t>
  </si>
  <si>
    <t>I AM MAGIC FOUNDATION 610 CEBU</t>
  </si>
  <si>
    <t>810018870386</t>
  </si>
  <si>
    <t>2550509</t>
  </si>
  <si>
    <t>I AM MAGIC FOUNDATION 710 MARICAO</t>
  </si>
  <si>
    <t>810018870416</t>
  </si>
  <si>
    <t>2550510</t>
  </si>
  <si>
    <t>I AM MAGIC FOUNDATION 740 MARISOL</t>
  </si>
  <si>
    <t>810018870126</t>
  </si>
  <si>
    <t>2550511</t>
  </si>
  <si>
    <t>I AM MAGIC FOUNDATION 300 GABON</t>
  </si>
  <si>
    <t>810018870393</t>
  </si>
  <si>
    <t>2550512</t>
  </si>
  <si>
    <t>I AM MAGIC FOUNDATION 720 BALI</t>
  </si>
  <si>
    <t>810018870270</t>
  </si>
  <si>
    <t>2550513</t>
  </si>
  <si>
    <t>I AM MAGIC FOUNDATION 520 TANGIER</t>
  </si>
  <si>
    <t>810018870225</t>
  </si>
  <si>
    <t>2550514</t>
  </si>
  <si>
    <t>I AM MAGIC FOUNDATION 435 PUNTA CANA</t>
  </si>
  <si>
    <t>810018870331</t>
  </si>
  <si>
    <t>2550515</t>
  </si>
  <si>
    <t>I AM MAGIC FOUNDATION 620 FES</t>
  </si>
  <si>
    <t>810018870379</t>
  </si>
  <si>
    <t>2550516</t>
  </si>
  <si>
    <t>I AM MAGIC FOUNDATION 700 VIENNA</t>
  </si>
  <si>
    <t>810018870249</t>
  </si>
  <si>
    <t>2550517</t>
  </si>
  <si>
    <t>I AM MAGIC FOUNDATION 450 CASABLANCA</t>
  </si>
  <si>
    <t>810018870256</t>
  </si>
  <si>
    <t>2550518</t>
  </si>
  <si>
    <t>I AM MAGIC FOUNDATION 500 BOGOTA</t>
  </si>
  <si>
    <t>810018879914</t>
  </si>
  <si>
    <t>2551092</t>
  </si>
  <si>
    <t>I AM MAGIC CONCEALER 7</t>
  </si>
  <si>
    <t>810018879891</t>
  </si>
  <si>
    <t>2551093</t>
  </si>
  <si>
    <t>I AM MAGIC CONCEALER 9</t>
  </si>
  <si>
    <t>810018879761</t>
  </si>
  <si>
    <t>2551094</t>
  </si>
  <si>
    <t>I AM MAGIC CONCEALER 22</t>
  </si>
  <si>
    <t>810018879907</t>
  </si>
  <si>
    <t>2551095</t>
  </si>
  <si>
    <t>I AM MAGIC CONCEALER 8</t>
  </si>
  <si>
    <t>810018879808</t>
  </si>
  <si>
    <t>2551096</t>
  </si>
  <si>
    <t>I AM MAGIC CONCEALER 18</t>
  </si>
  <si>
    <t>D</t>
  </si>
  <si>
    <t>810018879822</t>
  </si>
  <si>
    <t>2551097</t>
  </si>
  <si>
    <t>I AM MAGIC CONCEALER 16</t>
  </si>
  <si>
    <t>810018879921</t>
  </si>
  <si>
    <t>2551098</t>
  </si>
  <si>
    <t>I AM MAGIC CONCEALER 6</t>
  </si>
  <si>
    <t>810018879976</t>
  </si>
  <si>
    <t>2551099</t>
  </si>
  <si>
    <t>I AM MAGIC CONCEALER 1</t>
  </si>
  <si>
    <t>810018879815</t>
  </si>
  <si>
    <t>2551100</t>
  </si>
  <si>
    <t>I AM MAGIC CONCEALER 17</t>
  </si>
  <si>
    <t>810018879792</t>
  </si>
  <si>
    <t>2551101</t>
  </si>
  <si>
    <t>I AM MAGIC CONCEALER 19</t>
  </si>
  <si>
    <t>810018879952</t>
  </si>
  <si>
    <t>2551102</t>
  </si>
  <si>
    <t>I AM MAGIC CONCEALER 3</t>
  </si>
  <si>
    <t>810018879778</t>
  </si>
  <si>
    <t>2551103</t>
  </si>
  <si>
    <t>I AM MAGIC CONCEALER 21</t>
  </si>
  <si>
    <t>810018879938</t>
  </si>
  <si>
    <t>2551104</t>
  </si>
  <si>
    <t>I AM MAGIC CONCEALER 5</t>
  </si>
  <si>
    <t>810018879754</t>
  </si>
  <si>
    <t>2551105</t>
  </si>
  <si>
    <t>I AM MAGIC CONCEALER 23</t>
  </si>
  <si>
    <t>810018879969</t>
  </si>
  <si>
    <t>2551106</t>
  </si>
  <si>
    <t>I AM MAGIC CONCEALER 2</t>
  </si>
  <si>
    <t>810018879884</t>
  </si>
  <si>
    <t>2551107</t>
  </si>
  <si>
    <t>I AM MAGIC CONCEALER 10</t>
  </si>
  <si>
    <t>810018879853</t>
  </si>
  <si>
    <t>2551108</t>
  </si>
  <si>
    <t>I AM MAGIC CONCEALER 13</t>
  </si>
  <si>
    <t>810018879877</t>
  </si>
  <si>
    <t>2551109</t>
  </si>
  <si>
    <t>I AM MAGIC CONCEALER 11</t>
  </si>
  <si>
    <t>810018879945</t>
  </si>
  <si>
    <t>2551110</t>
  </si>
  <si>
    <t>I AM MAGIC CONCEALER 4</t>
  </si>
  <si>
    <t>810018879839</t>
  </si>
  <si>
    <t>2551111</t>
  </si>
  <si>
    <t>I AM MAGIC CONCEALER 15</t>
  </si>
  <si>
    <t>810018879860</t>
  </si>
  <si>
    <t>2551112</t>
  </si>
  <si>
    <t>I AM MAGIC CONCEALER 12</t>
  </si>
  <si>
    <t>810018879785</t>
  </si>
  <si>
    <t>2551113</t>
  </si>
  <si>
    <t>I AM MAGIC CONCEALER 20</t>
  </si>
  <si>
    <t>810018879846</t>
  </si>
  <si>
    <t>2551114</t>
  </si>
  <si>
    <t>I AM MAGIC CONCEALER 14</t>
  </si>
  <si>
    <t>810018879747</t>
  </si>
  <si>
    <t>2551115</t>
  </si>
  <si>
    <t>I AM MAGIC CONCEALER 24</t>
  </si>
  <si>
    <t>810018879723</t>
  </si>
  <si>
    <t>2552139</t>
  </si>
  <si>
    <t>I AM MAGIC LOOSE SETTING POWDER GOBI</t>
  </si>
  <si>
    <t>810018879730</t>
  </si>
  <si>
    <t>2552140</t>
  </si>
  <si>
    <t>I AM MAGIC LOOSE SETTING POWDER SANDS</t>
  </si>
  <si>
    <t>810018879709</t>
  </si>
  <si>
    <t>2552142</t>
  </si>
  <si>
    <t>I AM MAGIC LOOSE SETTING POWDER KALAHARI</t>
  </si>
  <si>
    <t>810018879631</t>
  </si>
  <si>
    <t>2556432</t>
  </si>
  <si>
    <t>SHADE STICK FOUNDATION</t>
  </si>
  <si>
    <t>810018879600</t>
  </si>
  <si>
    <t>2556433</t>
  </si>
  <si>
    <t>810018879686</t>
  </si>
  <si>
    <t>2556434</t>
  </si>
  <si>
    <t>810018879617</t>
  </si>
  <si>
    <t>2556435</t>
  </si>
  <si>
    <t>810018879624</t>
  </si>
  <si>
    <t>2556436</t>
  </si>
  <si>
    <t>810018879679</t>
  </si>
  <si>
    <t>2556437</t>
  </si>
  <si>
    <t>810018879570</t>
  </si>
  <si>
    <t>2556438</t>
  </si>
  <si>
    <t>810018879587</t>
  </si>
  <si>
    <t>2556439</t>
  </si>
  <si>
    <t>810018879457</t>
  </si>
  <si>
    <t>2556440</t>
  </si>
  <si>
    <t>810018879655</t>
  </si>
  <si>
    <t>2556441</t>
  </si>
  <si>
    <t>810018879358</t>
  </si>
  <si>
    <t>2556442</t>
  </si>
  <si>
    <t>810018879648</t>
  </si>
  <si>
    <t>2556443</t>
  </si>
  <si>
    <t>810018879488</t>
  </si>
  <si>
    <t>2556444</t>
  </si>
  <si>
    <t>810018879501</t>
  </si>
  <si>
    <t>2556445</t>
  </si>
  <si>
    <t>810018879549</t>
  </si>
  <si>
    <t>2556446</t>
  </si>
  <si>
    <t>810018879594</t>
  </si>
  <si>
    <t>2556447</t>
  </si>
  <si>
    <t>810018879556</t>
  </si>
  <si>
    <t>2556448</t>
  </si>
  <si>
    <t>810018879389</t>
  </si>
  <si>
    <t>2556449</t>
  </si>
  <si>
    <t>810018879518</t>
  </si>
  <si>
    <t>2556450</t>
  </si>
  <si>
    <t>810018879495</t>
  </si>
  <si>
    <t>2556451</t>
  </si>
  <si>
    <t>810018879471</t>
  </si>
  <si>
    <t>2556452</t>
  </si>
  <si>
    <t>810018879662</t>
  </si>
  <si>
    <t>2556453</t>
  </si>
  <si>
    <t>810018879563</t>
  </si>
  <si>
    <t>2556454</t>
  </si>
  <si>
    <t>810018879396</t>
  </si>
  <si>
    <t>2556455</t>
  </si>
  <si>
    <t>810018879532</t>
  </si>
  <si>
    <t>2556456</t>
  </si>
  <si>
    <t>810018879464</t>
  </si>
  <si>
    <t>2556457</t>
  </si>
  <si>
    <t>810018879372</t>
  </si>
  <si>
    <t>2556458</t>
  </si>
  <si>
    <t>810018879525</t>
  </si>
  <si>
    <t>2556459</t>
  </si>
  <si>
    <t>810018879341</t>
  </si>
  <si>
    <t>2556460</t>
  </si>
  <si>
    <t>810018879365</t>
  </si>
  <si>
    <t>2556461</t>
  </si>
  <si>
    <t>810018879983</t>
  </si>
  <si>
    <t>2557327</t>
  </si>
  <si>
    <t>THE EYESHADOW PALETTE NOMAD</t>
  </si>
  <si>
    <t>810018879327</t>
  </si>
  <si>
    <t>2564699</t>
  </si>
  <si>
    <t>EYESHADOW PALETTE NUDES</t>
  </si>
  <si>
    <t>810018879310</t>
  </si>
  <si>
    <t>2564700</t>
  </si>
  <si>
    <t>EYESHADOW PALETTE VIOLETS</t>
  </si>
  <si>
    <t>810018879334</t>
  </si>
  <si>
    <t>2564701</t>
  </si>
  <si>
    <t>EYESHADOW PALETTE BERRIES</t>
  </si>
  <si>
    <t>810018879303</t>
  </si>
  <si>
    <t>2564702</t>
  </si>
  <si>
    <t>EYESHADOW PALETTE CHOCOLATES</t>
  </si>
  <si>
    <t>810018879037</t>
  </si>
  <si>
    <t>2567885</t>
  </si>
  <si>
    <t>LUX LIP LINER KOLA</t>
  </si>
  <si>
    <t>810018879044</t>
  </si>
  <si>
    <t>2567886</t>
  </si>
  <si>
    <t>LUX LIP LINER SCORPIO</t>
  </si>
  <si>
    <t>810018879051</t>
  </si>
  <si>
    <t>2567887</t>
  </si>
  <si>
    <t>LUX LIP LINER SO RARE</t>
  </si>
  <si>
    <t>810018879068</t>
  </si>
  <si>
    <t>2567888</t>
  </si>
  <si>
    <t>LUX LIP LINER LUSH</t>
  </si>
  <si>
    <t>810018879075</t>
  </si>
  <si>
    <t>2567889</t>
  </si>
  <si>
    <t>LUX LIP LINER LOVE ME</t>
  </si>
  <si>
    <t>810018879082</t>
  </si>
  <si>
    <t>2567890</t>
  </si>
  <si>
    <t>LUX LIP LINER SWEET NOTHING</t>
  </si>
  <si>
    <t>810018879181</t>
  </si>
  <si>
    <t>2567891</t>
  </si>
  <si>
    <t>NUDE MAUVES LIP #2020</t>
  </si>
  <si>
    <t>810018879174</t>
  </si>
  <si>
    <t>2567892</t>
  </si>
  <si>
    <t>NUDE MAUVES LIP A MAUVE MOMENT</t>
  </si>
  <si>
    <t>810018879167</t>
  </si>
  <si>
    <t>2567893</t>
  </si>
  <si>
    <t>NUDE MAUVES LIP KEBI</t>
  </si>
  <si>
    <t>810018879280</t>
  </si>
  <si>
    <t>2567894</t>
  </si>
  <si>
    <t>NUDE CHOCO LIP COCOA</t>
  </si>
  <si>
    <t>810018879266</t>
  </si>
  <si>
    <t>2567899</t>
  </si>
  <si>
    <t>NUDE CHOCO LIP TOFFEE</t>
  </si>
  <si>
    <t>810018879235</t>
  </si>
  <si>
    <t>2567900</t>
  </si>
  <si>
    <t>NUDE PEACH LIP MADAMOISELLE</t>
  </si>
  <si>
    <t>810018879228</t>
  </si>
  <si>
    <t>2567901</t>
  </si>
  <si>
    <t>NUDE PEACH LIP IN VOGUE</t>
  </si>
  <si>
    <t>810018879211</t>
  </si>
  <si>
    <t>2567902</t>
  </si>
  <si>
    <t>NUDE PEACH LIP LIBRA</t>
  </si>
  <si>
    <t>810018879204</t>
  </si>
  <si>
    <t>2567903</t>
  </si>
  <si>
    <t>NUDE PEACH LIP ME</t>
  </si>
  <si>
    <t>810018879198</t>
  </si>
  <si>
    <t>2567904</t>
  </si>
  <si>
    <t>NUDE MAUVES LIP CHIC</t>
  </si>
  <si>
    <t>810018879259</t>
  </si>
  <si>
    <t>2567905</t>
  </si>
  <si>
    <t>NUDE CHOCO LIP MUTED</t>
  </si>
  <si>
    <t>810018879242</t>
  </si>
  <si>
    <t>2567906</t>
  </si>
  <si>
    <t>NUDE CHOCO LIP LADY</t>
  </si>
  <si>
    <t>810018879150</t>
  </si>
  <si>
    <t>2567907</t>
  </si>
  <si>
    <t>GLASS LIPGLOSS IT'S GLASS</t>
  </si>
  <si>
    <t>810018879143</t>
  </si>
  <si>
    <t>2567908</t>
  </si>
  <si>
    <t>GLASS LIPGLOSS IT'S ELECTRIC</t>
  </si>
  <si>
    <t>810018879136</t>
  </si>
  <si>
    <t>2567909</t>
  </si>
  <si>
    <t>GLASS LIPGLOSS SO GLAZED</t>
  </si>
  <si>
    <t>810018879112</t>
  </si>
  <si>
    <t>2567910</t>
  </si>
  <si>
    <t>LIP REFLECTION GLOSS CARAMEL ROSE</t>
  </si>
  <si>
    <t>810018879099</t>
  </si>
  <si>
    <t>2567911</t>
  </si>
  <si>
    <t>LIP REFLECTION GLOSS BARELY THERE</t>
  </si>
  <si>
    <t>810018879129</t>
  </si>
  <si>
    <t>2567912</t>
  </si>
  <si>
    <t>LIP REFLECTION GLOSS KISS ME</t>
  </si>
  <si>
    <t>810018879105</t>
  </si>
  <si>
    <t>2567913</t>
  </si>
  <si>
    <t>LIP REFLECTION GLOSS SIS!</t>
  </si>
  <si>
    <t>810018878955</t>
  </si>
  <si>
    <t>2571652</t>
  </si>
  <si>
    <t>EYESHADOW PALETTE MAUVES</t>
  </si>
  <si>
    <t>810018878962</t>
  </si>
  <si>
    <t>2571653</t>
  </si>
  <si>
    <t>EYESHADOW PALETTE THE SWEET PINKS</t>
  </si>
  <si>
    <t>810018878894</t>
  </si>
  <si>
    <t>2571654</t>
  </si>
  <si>
    <t>EYESHADOW PALETTE THE TAUPES</t>
  </si>
  <si>
    <t>810018878689</t>
  </si>
  <si>
    <t>2574866</t>
  </si>
  <si>
    <t>WAHALA II ESP</t>
  </si>
  <si>
    <t>810018878986</t>
  </si>
  <si>
    <t>2579961</t>
  </si>
  <si>
    <t>THE NUBIAN LIP GLOW BALM GUAVA</t>
  </si>
  <si>
    <t>810018878993</t>
  </si>
  <si>
    <t>2579962</t>
  </si>
  <si>
    <t>THE NUBIAN LIP GLOW BALM MANGO</t>
  </si>
  <si>
    <t>810018879020</t>
  </si>
  <si>
    <t>2580011</t>
  </si>
  <si>
    <t>NUBIAN EYELINER PENCIL BLACK</t>
  </si>
  <si>
    <t>810018879006</t>
  </si>
  <si>
    <t>2580012</t>
  </si>
  <si>
    <t>NUBIAN EYELINER PENCIL COCOA</t>
  </si>
  <si>
    <t>810018879013</t>
  </si>
  <si>
    <t>2580013</t>
  </si>
  <si>
    <t>NUBIAN EYELINER PENCIL MIDNIGHT BLUE</t>
  </si>
  <si>
    <t>810018878047</t>
  </si>
  <si>
    <t>2580014</t>
  </si>
  <si>
    <t>NUBIAN EYELINER PENCIL ROYAL BLUE</t>
  </si>
  <si>
    <t>810018878023</t>
  </si>
  <si>
    <t>2580015</t>
  </si>
  <si>
    <t>NUBIAN EYGYPTIAN MATTE EYELINER BLACK</t>
  </si>
  <si>
    <t>810018878849</t>
  </si>
  <si>
    <t>2580037</t>
  </si>
  <si>
    <t>THE NUBIAN NOURISHING LIP BALM</t>
  </si>
  <si>
    <t>810018878818</t>
  </si>
  <si>
    <t>2580038</t>
  </si>
  <si>
    <t>810018878825</t>
  </si>
  <si>
    <t>2580039</t>
  </si>
  <si>
    <t>THE NUBIAN NOURISHING LIP BALM MANGO</t>
  </si>
  <si>
    <t>810018878832</t>
  </si>
  <si>
    <t>2580040</t>
  </si>
  <si>
    <t>THE NUBIAN NRSHNG LIP BALM PEPPERMINT</t>
  </si>
  <si>
    <t>810018878016</t>
  </si>
  <si>
    <t>2580479</t>
  </si>
  <si>
    <t>I PREP I PRIME SHADE 1</t>
  </si>
  <si>
    <t>810018878009</t>
  </si>
  <si>
    <t>2580480</t>
  </si>
  <si>
    <t>I PREP I PRIME SHADE 2</t>
  </si>
  <si>
    <t>810018877996</t>
  </si>
  <si>
    <t>2580481</t>
  </si>
  <si>
    <t>I PREP I PRIME SHADE 3</t>
  </si>
  <si>
    <t>810018878573</t>
  </si>
  <si>
    <t>2580542</t>
  </si>
  <si>
    <t>THE BERRIES LIPSTICK DRAMA</t>
  </si>
  <si>
    <t>810018878603</t>
  </si>
  <si>
    <t>2580543</t>
  </si>
  <si>
    <t>THE BERRIES LIPSTICK BERRIES</t>
  </si>
  <si>
    <t>810018878351</t>
  </si>
  <si>
    <t>2580544</t>
  </si>
  <si>
    <t>THE BERRIES LIQUID LIPSTICK SCARLET</t>
  </si>
  <si>
    <t>810018878399</t>
  </si>
  <si>
    <t>2580545</t>
  </si>
  <si>
    <t>THE BERRIES LIP LINER BERRY</t>
  </si>
  <si>
    <t>810018878511</t>
  </si>
  <si>
    <t>2580546</t>
  </si>
  <si>
    <t>THE BERRIES LIPGLOSS SHE'S ROYAL</t>
  </si>
  <si>
    <t>810018878528</t>
  </si>
  <si>
    <t>2580547</t>
  </si>
  <si>
    <t>THE BERRIES LIPGLOSS MAROON</t>
  </si>
  <si>
    <t>810018878498</t>
  </si>
  <si>
    <t>2580548</t>
  </si>
  <si>
    <t>THE BERRIES LIPGLOSS SWEET BERRIES</t>
  </si>
  <si>
    <t>810018878634</t>
  </si>
  <si>
    <t>2580549</t>
  </si>
  <si>
    <t>RED CHERRY VELVETY MATTE LIPSTICK THE PERFECT RED</t>
  </si>
  <si>
    <t>810018878658</t>
  </si>
  <si>
    <t>2580550</t>
  </si>
  <si>
    <t>RED CHERRY VELVETY MATTE LIPSTICK AFRIK</t>
  </si>
  <si>
    <t>810018878382</t>
  </si>
  <si>
    <t>2580551</t>
  </si>
  <si>
    <t>LUXE LINER RED</t>
  </si>
  <si>
    <t>810018878368</t>
  </si>
  <si>
    <t>2580552</t>
  </si>
  <si>
    <t>THE REDS LIQUID LIPSTICK RED VELVET</t>
  </si>
  <si>
    <t>810018878535</t>
  </si>
  <si>
    <t>2580553</t>
  </si>
  <si>
    <t>THE REDS LIPGLOSS CHERRY LOVE</t>
  </si>
  <si>
    <t>810018878542</t>
  </si>
  <si>
    <t>2580554</t>
  </si>
  <si>
    <t>THE REDS LIPGLOSS CULTURE</t>
  </si>
  <si>
    <t>810018878504</t>
  </si>
  <si>
    <t>2580557</t>
  </si>
  <si>
    <t>THE REDS LIPGLOSS RUBY ROSE</t>
  </si>
  <si>
    <t>810018878078</t>
  </si>
  <si>
    <t>2580620</t>
  </si>
  <si>
    <t>THE NUBIAN LIP GLOW BALM GRAPE</t>
  </si>
  <si>
    <t>810018878092</t>
  </si>
  <si>
    <t>2580641</t>
  </si>
  <si>
    <t>THE NUBIAN LIP GLOW BALM PAPAYA</t>
  </si>
  <si>
    <t>810018878085</t>
  </si>
  <si>
    <t>2580642</t>
  </si>
  <si>
    <t>THE NUBIAN LIP GLOW BALM COCONUT</t>
  </si>
  <si>
    <t>810018878610</t>
  </si>
  <si>
    <t>2580953</t>
  </si>
  <si>
    <t>RED CHERRY VELVETY MATTE LIPSTICK SO RED</t>
  </si>
  <si>
    <t>810018878597</t>
  </si>
  <si>
    <t>2580954</t>
  </si>
  <si>
    <t>THE BERRIES LIPSTICK FRENEMY</t>
  </si>
  <si>
    <t>810018878580</t>
  </si>
  <si>
    <t>2581017</t>
  </si>
  <si>
    <t>THE WINES LIPSTICK DFIERCE</t>
  </si>
  <si>
    <t>810018878627</t>
  </si>
  <si>
    <t>2581018</t>
  </si>
  <si>
    <t>THE WINES LIPSTICK ROUGE</t>
  </si>
  <si>
    <t>810018878641</t>
  </si>
  <si>
    <t>2581019</t>
  </si>
  <si>
    <t>THE WINES LIPSTICK RUDE GIRL</t>
  </si>
  <si>
    <t>810018878405</t>
  </si>
  <si>
    <t>2583490</t>
  </si>
  <si>
    <t>BRONZED BRONZER LIGHT</t>
  </si>
  <si>
    <t>810018878429</t>
  </si>
  <si>
    <t>2583491</t>
  </si>
  <si>
    <t>BRONZED BRONZER MEDIUM</t>
  </si>
  <si>
    <t>810018878436</t>
  </si>
  <si>
    <t>2583492</t>
  </si>
  <si>
    <t>BRONZED BRONZER TAN</t>
  </si>
  <si>
    <t>B</t>
  </si>
  <si>
    <t>810018878443</t>
  </si>
  <si>
    <t>2583493</t>
  </si>
  <si>
    <t>BRONZED BRONZER DARK</t>
  </si>
  <si>
    <t>810018878450</t>
  </si>
  <si>
    <t>2583494</t>
  </si>
  <si>
    <t>BRONZED BRONZER DEEP DARK</t>
  </si>
  <si>
    <t>810018878412</t>
  </si>
  <si>
    <t>2583496</t>
  </si>
  <si>
    <t>BRONZED RUSTIC EYESHADOW PALETTE 0.4OZ</t>
  </si>
  <si>
    <t>810018877736</t>
  </si>
  <si>
    <t>2583497</t>
  </si>
  <si>
    <t>BRONZED MINI LIQUID LPSTK BRONZED MAPLE</t>
  </si>
  <si>
    <t>810018877729</t>
  </si>
  <si>
    <t>2583498</t>
  </si>
  <si>
    <t>BRONZED MINI LIQUID LIPSTICK BRONZED TOAST</t>
  </si>
  <si>
    <t>810018877743</t>
  </si>
  <si>
    <t>2583499</t>
  </si>
  <si>
    <t>BRONZED MINI LIQUID LIPSTICK BRONZED CHESNUT</t>
  </si>
  <si>
    <t>810018877798</t>
  </si>
  <si>
    <t>2583500</t>
  </si>
  <si>
    <t>BRONZED LIP GLOSS BRONZED ROSE</t>
  </si>
  <si>
    <t>810018877781</t>
  </si>
  <si>
    <t>2583501</t>
  </si>
  <si>
    <t>BRONZED LIP GLOSS BRONZED SUGAR</t>
  </si>
  <si>
    <t>810018878375</t>
  </si>
  <si>
    <t>2583502</t>
  </si>
  <si>
    <t>BRONZED LIP LINER BROWNIE</t>
  </si>
  <si>
    <t>810018877750</t>
  </si>
  <si>
    <t>2583503</t>
  </si>
  <si>
    <t>BLUSHED ROSE EYESHADOW PALETTE 0.4OZ</t>
  </si>
  <si>
    <t>810018877774</t>
  </si>
  <si>
    <t>2583745</t>
  </si>
  <si>
    <t>BLUSHED DUO BLUSHES VOLUME 1</t>
  </si>
  <si>
    <t>810018877767</t>
  </si>
  <si>
    <t>2583746</t>
  </si>
  <si>
    <t>BLUSHED DUO BLUSHES VOLUME 2</t>
  </si>
  <si>
    <t>810018878252</t>
  </si>
  <si>
    <t>2587645</t>
  </si>
  <si>
    <t>I AM MAGIC MINI CONCEALER 5</t>
  </si>
  <si>
    <t>810018878245</t>
  </si>
  <si>
    <t>2587646</t>
  </si>
  <si>
    <t>I AM MAGIC MINI CONCEALER 7</t>
  </si>
  <si>
    <t>810018878238</t>
  </si>
  <si>
    <t>2587647</t>
  </si>
  <si>
    <t>I AM MAGIC MINI CONCEALER 10</t>
  </si>
  <si>
    <t>810018878221</t>
  </si>
  <si>
    <t>2587648</t>
  </si>
  <si>
    <t>I AM MAGIC MINI CONCEALER 11</t>
  </si>
  <si>
    <t>810018878214</t>
  </si>
  <si>
    <t>2587649</t>
  </si>
  <si>
    <t>I AM MAGIC MINI CONCEALER 12</t>
  </si>
  <si>
    <t>810018878207</t>
  </si>
  <si>
    <t>2587650</t>
  </si>
  <si>
    <t>I AM MAGIC MINI CONCEALER 13</t>
  </si>
  <si>
    <t>810018878191</t>
  </si>
  <si>
    <t>2587651</t>
  </si>
  <si>
    <t>I AM MAGIC MINI CONCEALER 14</t>
  </si>
  <si>
    <t>810018878184</t>
  </si>
  <si>
    <t>2587652</t>
  </si>
  <si>
    <t>I AM MAGIC MINI CONCEALER</t>
  </si>
  <si>
    <t>810018878177</t>
  </si>
  <si>
    <t>2587653</t>
  </si>
  <si>
    <t>810018878160</t>
  </si>
  <si>
    <t>2587654</t>
  </si>
  <si>
    <t>810018877682</t>
  </si>
  <si>
    <t>2587769</t>
  </si>
  <si>
    <t>REBEL QUAD MINT</t>
  </si>
  <si>
    <t>810018877675</t>
  </si>
  <si>
    <t>2587770</t>
  </si>
  <si>
    <t>REBEL QUAD ARMY</t>
  </si>
  <si>
    <t>810018877668</t>
  </si>
  <si>
    <t>2587771</t>
  </si>
  <si>
    <t>REBEL QUAD HONEY</t>
  </si>
  <si>
    <t>810018877651</t>
  </si>
  <si>
    <t>2587772</t>
  </si>
  <si>
    <t>REBEL QUAD GRAY</t>
  </si>
  <si>
    <t>810018877644</t>
  </si>
  <si>
    <t>2587773</t>
  </si>
  <si>
    <t>I SCULPT I SHADE BROW PENCIL</t>
  </si>
  <si>
    <t>810018877545</t>
  </si>
  <si>
    <t>2587774</t>
  </si>
  <si>
    <t>I SCULPT I SHADE BROW PEN</t>
  </si>
  <si>
    <t>810018877538</t>
  </si>
  <si>
    <t>2587775</t>
  </si>
  <si>
    <t>810018877521</t>
  </si>
  <si>
    <t>2587776</t>
  </si>
  <si>
    <t>810018877514</t>
  </si>
  <si>
    <t>2587777</t>
  </si>
  <si>
    <t>810018877637</t>
  </si>
  <si>
    <t>2587814</t>
  </si>
  <si>
    <t>810018877620</t>
  </si>
  <si>
    <t>2587815</t>
  </si>
  <si>
    <t>810018877613</t>
  </si>
  <si>
    <t>2587816</t>
  </si>
  <si>
    <t>810018877583</t>
  </si>
  <si>
    <t>2587817</t>
  </si>
  <si>
    <t>I SCULPT I SHADE BROW GEL</t>
  </si>
  <si>
    <t>810018877590</t>
  </si>
  <si>
    <t>2587818</t>
  </si>
  <si>
    <t>810018877576</t>
  </si>
  <si>
    <t>2587819</t>
  </si>
  <si>
    <t>810018877569</t>
  </si>
  <si>
    <t>2587820</t>
  </si>
  <si>
    <t>810018877606</t>
  </si>
  <si>
    <t>2587821</t>
  </si>
  <si>
    <t>810018877460</t>
  </si>
  <si>
    <t>2588196</t>
  </si>
  <si>
    <t>VELVETY MATTE LIPSTICK KEBI GWP</t>
  </si>
  <si>
    <t>WINT</t>
  </si>
  <si>
    <t>810018877477</t>
  </si>
  <si>
    <t>2588197</t>
  </si>
  <si>
    <t>VELVETY MATTE LIPSTICK TOFFEE GWP</t>
  </si>
  <si>
    <t>810018877279</t>
  </si>
  <si>
    <t>2589432</t>
  </si>
  <si>
    <t>I LIVE I LOVE BRUSH KIT</t>
  </si>
  <si>
    <t>810018877293</t>
  </si>
  <si>
    <t>2589433</t>
  </si>
  <si>
    <t>I LIVE I LOVE LIP KIT</t>
  </si>
  <si>
    <t>810018877286</t>
  </si>
  <si>
    <t>2589434</t>
  </si>
  <si>
    <t>810018877491</t>
  </si>
  <si>
    <t>2589435</t>
  </si>
  <si>
    <t>I LIVE I LOVE EYE KIT PALETTE AND PRIMER</t>
  </si>
  <si>
    <t>810018877385</t>
  </si>
  <si>
    <t>2589436</t>
  </si>
  <si>
    <t>I LIVE I LOVE EYE KIT PALETTE AND HIGHLIGHTER</t>
  </si>
  <si>
    <t>810018877415</t>
  </si>
  <si>
    <t>2589437</t>
  </si>
  <si>
    <t>I LIVE I LOVE EYELINER DUO</t>
  </si>
  <si>
    <t>810018877255</t>
  </si>
  <si>
    <t>2595604</t>
  </si>
  <si>
    <t>CULTURE DUOCHROME ES ANKARA</t>
  </si>
  <si>
    <t>810018877248</t>
  </si>
  <si>
    <t>2595605</t>
  </si>
  <si>
    <t>CULTURE DUOCHROME ES FULA</t>
  </si>
  <si>
    <t>810018877323</t>
  </si>
  <si>
    <t>2595606</t>
  </si>
  <si>
    <t>OLORI ESP 6 PAN VOLUME 2</t>
  </si>
  <si>
    <t>810018877330</t>
  </si>
  <si>
    <t>2595607</t>
  </si>
  <si>
    <t>OLORI ESP 6 PAN VOLUME 1</t>
  </si>
  <si>
    <t>810018877316</t>
  </si>
  <si>
    <t>2595608</t>
  </si>
  <si>
    <t>OLORI ESP 6 PAN VOLUME 3</t>
  </si>
  <si>
    <t>810018877231</t>
  </si>
  <si>
    <t>2595676</t>
  </si>
  <si>
    <t>CULTURE DUOCHROME ES KENTE'</t>
  </si>
  <si>
    <t>810018877262</t>
  </si>
  <si>
    <t>2596031</t>
  </si>
  <si>
    <t>CULTURE ESP 30 PAN</t>
  </si>
  <si>
    <t>810018877101</t>
  </si>
  <si>
    <t>2598691</t>
  </si>
  <si>
    <t>NUBIAN EARTH ES PALETTE 0.6OZ</t>
  </si>
  <si>
    <t>810018877149</t>
  </si>
  <si>
    <t>2598692</t>
  </si>
  <si>
    <t>NUBIAN EARTH REFLECTIVE GLOSS FULA</t>
  </si>
  <si>
    <t>810018877132</t>
  </si>
  <si>
    <t>2598693</t>
  </si>
  <si>
    <t>NUBIAN EARTH REFLECTIVE GLOSS MIRAGE</t>
  </si>
  <si>
    <t>810018877057</t>
  </si>
  <si>
    <t>2598694</t>
  </si>
  <si>
    <t>NUBIAN EARTH GLOSS NUBIAN NUDE</t>
  </si>
  <si>
    <t>810018877040</t>
  </si>
  <si>
    <t>2598695</t>
  </si>
  <si>
    <t>NUBIAN EARTH GLOSS MEROE</t>
  </si>
  <si>
    <t>810018877200</t>
  </si>
  <si>
    <t>2598696</t>
  </si>
  <si>
    <t>NUBIAN EARTH LIPSTICK SHEEBA</t>
  </si>
  <si>
    <t>810018877194</t>
  </si>
  <si>
    <t>2598697</t>
  </si>
  <si>
    <t>NUBIAN EARTH LIPSTICK NILE</t>
  </si>
  <si>
    <t>810018877187</t>
  </si>
  <si>
    <t>2598698</t>
  </si>
  <si>
    <t>NUBIAN EARTH LIPSTICK NUBIAN SAND</t>
  </si>
  <si>
    <t>810018877170</t>
  </si>
  <si>
    <t>2598699</t>
  </si>
  <si>
    <t>NUBIAN EARTH LIPSTICK SOIL</t>
  </si>
  <si>
    <t>810018877163</t>
  </si>
  <si>
    <t>2598700</t>
  </si>
  <si>
    <t>NUBIAN EARTH LIPSTICK CLAY</t>
  </si>
  <si>
    <t>810018877156</t>
  </si>
  <si>
    <t>2598701</t>
  </si>
  <si>
    <t>NUBIAN EARTH LIPSTICK MOROCCO</t>
  </si>
  <si>
    <t>810018877095</t>
  </si>
  <si>
    <t>2598702</t>
  </si>
  <si>
    <t>NUBIAN LASHES SIWA</t>
  </si>
  <si>
    <t>810018876821</t>
  </si>
  <si>
    <t>2598703</t>
  </si>
  <si>
    <t>NUBIAN LASHES ROYALTY</t>
  </si>
  <si>
    <t>810018876814</t>
  </si>
  <si>
    <t>2598704</t>
  </si>
  <si>
    <t>NUBIAN LASHES LUXOR</t>
  </si>
  <si>
    <t>810018877064</t>
  </si>
  <si>
    <t>2598705</t>
  </si>
  <si>
    <t>NUBIAN LASHES EGYPT LITE</t>
  </si>
  <si>
    <t>810018877071</t>
  </si>
  <si>
    <t>2598706</t>
  </si>
  <si>
    <t>NUBIAN LASHES EGYPT</t>
  </si>
  <si>
    <t>810018876791</t>
  </si>
  <si>
    <t>2598707</t>
  </si>
  <si>
    <t>NUBIAN LASHES EGYPT XL</t>
  </si>
  <si>
    <t>810018876784</t>
  </si>
  <si>
    <t>2598708</t>
  </si>
  <si>
    <t>NUBIAN LASHES BIBA</t>
  </si>
  <si>
    <t>810018876777</t>
  </si>
  <si>
    <t>2598709</t>
  </si>
  <si>
    <t>NUBIAN LASHES ZARIA</t>
  </si>
  <si>
    <t>810018877088</t>
  </si>
  <si>
    <t>2598710</t>
  </si>
  <si>
    <t>NUBIAN LASHES KUSH</t>
  </si>
  <si>
    <t>810018876746</t>
  </si>
  <si>
    <t>2598711</t>
  </si>
  <si>
    <t>NUBIAN LASHES AZIZA</t>
  </si>
  <si>
    <t>810018876838</t>
  </si>
  <si>
    <t>2598712</t>
  </si>
  <si>
    <t>NUBIAN EYELASH GLUE 0.16OZ</t>
  </si>
  <si>
    <t>810018876760</t>
  </si>
  <si>
    <t>2598713</t>
  </si>
  <si>
    <t>NUBIAN LASHES NEFERTITI</t>
  </si>
  <si>
    <t>810018876753</t>
  </si>
  <si>
    <t>2598714</t>
  </si>
  <si>
    <t>NUBIAN LASHES CLEOPATRA</t>
  </si>
  <si>
    <t>810018877026</t>
  </si>
  <si>
    <t>2600066</t>
  </si>
  <si>
    <t>GARDEN OF JUVIA LIPGLOSS PINK BAE</t>
  </si>
  <si>
    <t>810018877019</t>
  </si>
  <si>
    <t>2600067</t>
  </si>
  <si>
    <t>GARDEN OF JUVIA LIPGLOSS</t>
  </si>
  <si>
    <t>810018876722</t>
  </si>
  <si>
    <t>2600068</t>
  </si>
  <si>
    <t>GARDEN OF JUVIA LIPGLOSS LAVENDA</t>
  </si>
  <si>
    <t>810018877002</t>
  </si>
  <si>
    <t>2600069</t>
  </si>
  <si>
    <t>GARDEN OF JUVIA LIQUID EYELINER</t>
  </si>
  <si>
    <t>810018876982</t>
  </si>
  <si>
    <t>2600070</t>
  </si>
  <si>
    <t>810018876975</t>
  </si>
  <si>
    <t>2600071</t>
  </si>
  <si>
    <t>810018876968</t>
  </si>
  <si>
    <t>2600072</t>
  </si>
  <si>
    <t>810018876951</t>
  </si>
  <si>
    <t>2600073</t>
  </si>
  <si>
    <t>810018876944</t>
  </si>
  <si>
    <t>2600074</t>
  </si>
  <si>
    <t>810018876920</t>
  </si>
  <si>
    <t>2600075</t>
  </si>
  <si>
    <t>810018876913</t>
  </si>
  <si>
    <t>2600076</t>
  </si>
  <si>
    <t>810018876906</t>
  </si>
  <si>
    <t>2600077</t>
  </si>
  <si>
    <t>810018876890</t>
  </si>
  <si>
    <t>2600078</t>
  </si>
  <si>
    <t>810018876739</t>
  </si>
  <si>
    <t>2600079</t>
  </si>
  <si>
    <t>GARDEN OF JUVIA EYESHADOW PALETTE 12PAN 0.84OZ</t>
  </si>
  <si>
    <t>810018878757</t>
  </si>
  <si>
    <t>2600080</t>
  </si>
  <si>
    <t>NUBIAN ROYAL EYESHADOW PALETTE 0.47OZ</t>
  </si>
  <si>
    <t>810018878733</t>
  </si>
  <si>
    <t>2600081</t>
  </si>
  <si>
    <t>NUBIAN GLOW EYESHADOW PALETTE 0.47OZ</t>
  </si>
  <si>
    <t>810018876654</t>
  </si>
  <si>
    <t>2600082</t>
  </si>
  <si>
    <t>BLUSHED DUO VOLUME 6</t>
  </si>
  <si>
    <t>810018876708</t>
  </si>
  <si>
    <t>2600083</t>
  </si>
  <si>
    <t>BLUSHED DUO VOL 4</t>
  </si>
  <si>
    <t>810018876692</t>
  </si>
  <si>
    <t>2600084</t>
  </si>
  <si>
    <t>BLUSHED DUO VOL 5</t>
  </si>
  <si>
    <t>810018876807</t>
  </si>
  <si>
    <t>2602772</t>
  </si>
  <si>
    <t>NUBIAN LASHES EGYPT FLARE</t>
  </si>
  <si>
    <t>810018875893</t>
  </si>
  <si>
    <t>2606818</t>
  </si>
  <si>
    <t>LUX LIP LINER COFFEE BEAN</t>
  </si>
  <si>
    <t>810018875909</t>
  </si>
  <si>
    <t>2606819</t>
  </si>
  <si>
    <t>LUX LIP LINER COCOA LATTE</t>
  </si>
  <si>
    <t>810018875916</t>
  </si>
  <si>
    <t>2606820</t>
  </si>
  <si>
    <t>LUX LIP LINER ESPRESSO</t>
  </si>
  <si>
    <t>810018875824</t>
  </si>
  <si>
    <t>2606821</t>
  </si>
  <si>
    <t>THE CANDY SHOP LPGLS STRAWBERRY &amp; CREAM</t>
  </si>
  <si>
    <t>810018875831</t>
  </si>
  <si>
    <t>2606822</t>
  </si>
  <si>
    <t>THE CANDY SHOP LIPGLOSS PINEAPPLE PEARL</t>
  </si>
  <si>
    <t>810018875848</t>
  </si>
  <si>
    <t>2606823</t>
  </si>
  <si>
    <t>810018875862</t>
  </si>
  <si>
    <t>2606824</t>
  </si>
  <si>
    <t>THE CANDY SHOP LIPGLOSS CHOCO MILO</t>
  </si>
  <si>
    <t>810018875855</t>
  </si>
  <si>
    <t>2606825</t>
  </si>
  <si>
    <t>THE CANDY SHOP LIPGLOSS BUBBLEGUM</t>
  </si>
  <si>
    <t>810018876029</t>
  </si>
  <si>
    <t>2606826</t>
  </si>
  <si>
    <t>THE COFFEE SHOP LIPGLOSS MOCHACCINO</t>
  </si>
  <si>
    <t>810018876012</t>
  </si>
  <si>
    <t>2606827</t>
  </si>
  <si>
    <t>THE COFFEE SHOP LIPGLOSS SALTED CARAMEL</t>
  </si>
  <si>
    <t>810018875992</t>
  </si>
  <si>
    <t>2606828</t>
  </si>
  <si>
    <t>THE COFFEE SHOP LIPGLOSS BROWN SUGAR</t>
  </si>
  <si>
    <t>810018876005</t>
  </si>
  <si>
    <t>2606829</t>
  </si>
  <si>
    <t>THE COFFEE SHOP LIPGLOSS CREAM DE CACAO</t>
  </si>
  <si>
    <t>810018875985</t>
  </si>
  <si>
    <t>2606830</t>
  </si>
  <si>
    <t>THE COFFEE SHOP LIPGLOSS BUTTERSCOTCH</t>
  </si>
  <si>
    <t>810018875978</t>
  </si>
  <si>
    <t>2606831</t>
  </si>
  <si>
    <t>THE COFFEE SHOP LIPGLOSS KENYAN KOFFEE</t>
  </si>
  <si>
    <t>810018875961</t>
  </si>
  <si>
    <t>2606832</t>
  </si>
  <si>
    <t>THE COFFEE SHOP LIPGLOSS CHOCOLATE DRIP</t>
  </si>
  <si>
    <t>810018876036</t>
  </si>
  <si>
    <t>2606833</t>
  </si>
  <si>
    <t>THE COFFEE SHOP LIPGLOSS MACCHIATO</t>
  </si>
  <si>
    <t>810018875954</t>
  </si>
  <si>
    <t>2606834</t>
  </si>
  <si>
    <t>THE COFFEE SHOP LIPGLOSS DULCE LATTE</t>
  </si>
  <si>
    <t>810018875947</t>
  </si>
  <si>
    <t>2606835</t>
  </si>
  <si>
    <t>THE COFFEE SHOP LIPGLOSS HONEY HONEY</t>
  </si>
  <si>
    <t>810018875930</t>
  </si>
  <si>
    <t>2606836</t>
  </si>
  <si>
    <t>THE COFFEE SHOP LIPGLOSS COOKIE BUTTER</t>
  </si>
  <si>
    <t>810018875923</t>
  </si>
  <si>
    <t>2606837</t>
  </si>
  <si>
    <t>THE COFFEE SHOP LIPGLOSS COFFEE BREAK</t>
  </si>
  <si>
    <t>810018876449</t>
  </si>
  <si>
    <t>2607279</t>
  </si>
  <si>
    <t>I AM MAGIC POWDER FDT ZAMBIA</t>
  </si>
  <si>
    <t>810018876456</t>
  </si>
  <si>
    <t>2607280</t>
  </si>
  <si>
    <t>I AM MAGIC POWDER FDT NIGER</t>
  </si>
  <si>
    <t>810018876463</t>
  </si>
  <si>
    <t>2607281</t>
  </si>
  <si>
    <t>I AM MAGIC POWDER FDT ANGOLA</t>
  </si>
  <si>
    <t>810018876470</t>
  </si>
  <si>
    <t>2607282</t>
  </si>
  <si>
    <t>I AM MAGIC POWDER FDT KATSINA</t>
  </si>
  <si>
    <t>810018876487</t>
  </si>
  <si>
    <t>2607283</t>
  </si>
  <si>
    <t>I AM MAGIC POWDER FDT TANZANIA</t>
  </si>
  <si>
    <t>810018876494</t>
  </si>
  <si>
    <t>2607284</t>
  </si>
  <si>
    <t>I AM MAGIC POWDER FDT KADUNA</t>
  </si>
  <si>
    <t>810018876500</t>
  </si>
  <si>
    <t>2607285</t>
  </si>
  <si>
    <t>I AM MAGIC POWDER FDT ZARIA</t>
  </si>
  <si>
    <t>810018876517</t>
  </si>
  <si>
    <t>2607286</t>
  </si>
  <si>
    <t>I AM MAGIC POWDER FDT BURKINA</t>
  </si>
  <si>
    <t>810018876524</t>
  </si>
  <si>
    <t>2607287</t>
  </si>
  <si>
    <t>I AM MAGIC POWDER FDT CAMEROON</t>
  </si>
  <si>
    <t>810018876531</t>
  </si>
  <si>
    <t>2607288</t>
  </si>
  <si>
    <t>I AM MAGIC POWDER FDT CABO</t>
  </si>
  <si>
    <t>810018876548</t>
  </si>
  <si>
    <t>2607289</t>
  </si>
  <si>
    <t>I AM MAGIC POWDER FDT HAVANA</t>
  </si>
  <si>
    <t>810018876555</t>
  </si>
  <si>
    <t>2607290</t>
  </si>
  <si>
    <t>I AM MAGIC POWDER FDT NICARAGUA</t>
  </si>
  <si>
    <t>810018876562</t>
  </si>
  <si>
    <t>2607291</t>
  </si>
  <si>
    <t>I AM MAGIC POWDER FDT BOGOTA</t>
  </si>
  <si>
    <t>810018876579</t>
  </si>
  <si>
    <t>2607292</t>
  </si>
  <si>
    <t>I AM MAGIC POWDER FDT PERU</t>
  </si>
  <si>
    <t>810018876586</t>
  </si>
  <si>
    <t>2607293</t>
  </si>
  <si>
    <t>I AM MAGIC POWDER FDT CATANIA</t>
  </si>
  <si>
    <t>810018876593</t>
  </si>
  <si>
    <t>2607294</t>
  </si>
  <si>
    <t>I AM MAGIC POWDER FDT CAIRO</t>
  </si>
  <si>
    <t>810018876609</t>
  </si>
  <si>
    <t>2607295</t>
  </si>
  <si>
    <t>I AM MAGIC POWDER FDT MADRID</t>
  </si>
  <si>
    <t>810018876616</t>
  </si>
  <si>
    <t>2607296</t>
  </si>
  <si>
    <t>I AM MAGIC POWDER FDT VALENCIA</t>
  </si>
  <si>
    <t>810018876623</t>
  </si>
  <si>
    <t>2607297</t>
  </si>
  <si>
    <t>I AM MAGIC POWDER FDT SANTIAGO</t>
  </si>
  <si>
    <t>810018876630</t>
  </si>
  <si>
    <t>2607298</t>
  </si>
  <si>
    <t>I AM MAGIC POWDER FDT OSLO</t>
  </si>
  <si>
    <t>810018876432</t>
  </si>
  <si>
    <t>2607299</t>
  </si>
  <si>
    <t>I AM MAGIC NAT RDNCE FOUNDATION 130 MALI</t>
  </si>
  <si>
    <t>810018876425</t>
  </si>
  <si>
    <t>2607300</t>
  </si>
  <si>
    <t>I AM MAGIC NAT RDNCE FOUNDATION 150 KANO</t>
  </si>
  <si>
    <t>810018876418</t>
  </si>
  <si>
    <t>2607301</t>
  </si>
  <si>
    <t>I AM MAGIC NAT RDNCE FDN 205 TANZANIA</t>
  </si>
  <si>
    <t>810018876401</t>
  </si>
  <si>
    <t>2607302</t>
  </si>
  <si>
    <t>I AM MAGIC NAT RDNCE FDN 230 MALAWI</t>
  </si>
  <si>
    <t>810018876395</t>
  </si>
  <si>
    <t>2607303</t>
  </si>
  <si>
    <t>I AM MAGIC NAT RDNCE FDN 240 LAGOS</t>
  </si>
  <si>
    <t>810018876333</t>
  </si>
  <si>
    <t>2607304</t>
  </si>
  <si>
    <t>I AM MAGIC NAT RDNCE FDN 300 GABON</t>
  </si>
  <si>
    <t>810018876340</t>
  </si>
  <si>
    <t>2607305</t>
  </si>
  <si>
    <t>I AM MAGIC NAT RADIANCE FOUNDATION 305</t>
  </si>
  <si>
    <t>810018876142</t>
  </si>
  <si>
    <t>2607306</t>
  </si>
  <si>
    <t>I AM MAGIC NAT RDNCE FDN 310 BURKINA</t>
  </si>
  <si>
    <t>810018876357</t>
  </si>
  <si>
    <t>2607307</t>
  </si>
  <si>
    <t>I AM MAGIC NAT RDNCE FDN 330 ACCRA</t>
  </si>
  <si>
    <t>810018876388</t>
  </si>
  <si>
    <t>2607308</t>
  </si>
  <si>
    <t>I AM MAGIC NAT RDNCE FDN 340 KAMPALA</t>
  </si>
  <si>
    <t>810018876364</t>
  </si>
  <si>
    <t>2607309</t>
  </si>
  <si>
    <t>I AM MAGIC NAT RDNCE FDN 345 GUINEA</t>
  </si>
  <si>
    <t>810018876371</t>
  </si>
  <si>
    <t>2607310</t>
  </si>
  <si>
    <t>I AM MAGIC NAT RDNCE FDN 350 SOMALIA</t>
  </si>
  <si>
    <t>810018876326</t>
  </si>
  <si>
    <t>2607311</t>
  </si>
  <si>
    <t>I AM MAGIC NAT RADIANCE FOUNDATION 415</t>
  </si>
  <si>
    <t>810018876319</t>
  </si>
  <si>
    <t>2607312</t>
  </si>
  <si>
    <t>I AM MAGIC NAT RDNCE FDN 435 PNT CN</t>
  </si>
  <si>
    <t>810018876302</t>
  </si>
  <si>
    <t>2607313</t>
  </si>
  <si>
    <t>I AM MAGIC NAT RDNCE FOUNDATION 430 RIO</t>
  </si>
  <si>
    <t>810018876296</t>
  </si>
  <si>
    <t>2607314</t>
  </si>
  <si>
    <t>I AM MAGIC NAT RDNCE FDN 505 CARACAS</t>
  </si>
  <si>
    <t>810018876258</t>
  </si>
  <si>
    <t>2607315</t>
  </si>
  <si>
    <t>I AM MAGIC NAT RDNCE FDN 515 BOMBAY</t>
  </si>
  <si>
    <t>810018876265</t>
  </si>
  <si>
    <t>2607316</t>
  </si>
  <si>
    <t>I AM MAGIC NAT RDNCE FDN 520 TANGIER</t>
  </si>
  <si>
    <t>810018876289</t>
  </si>
  <si>
    <t>2607317</t>
  </si>
  <si>
    <t>I AM MAGIC NAT RDNCE FDN 530 IBIZA</t>
  </si>
  <si>
    <t>810018876272</t>
  </si>
  <si>
    <t>2607318</t>
  </si>
  <si>
    <t>I AM MAGIC NATURAL RADIANCE FOUNDATION 540 GIZA</t>
  </si>
  <si>
    <t>810018876241</t>
  </si>
  <si>
    <t>2607319</t>
  </si>
  <si>
    <t>I AM MAGIC NATURAL RADIANCE FOUNDATION 550 MARTINIQUE</t>
  </si>
  <si>
    <t>810018876234</t>
  </si>
  <si>
    <t>2607320</t>
  </si>
  <si>
    <t>I AM MAGIC NAT RDNCE FDN 600 CAIRO</t>
  </si>
  <si>
    <t>810018876227</t>
  </si>
  <si>
    <t>2607321</t>
  </si>
  <si>
    <t>I AM MAGIC NAT RDNCE FOUNDATION 610 CEBU</t>
  </si>
  <si>
    <t>810018876203</t>
  </si>
  <si>
    <t>2607322</t>
  </si>
  <si>
    <t>I AM MAGIC NAT RDNCE FDN 630 CAPRI</t>
  </si>
  <si>
    <t>810018876210</t>
  </si>
  <si>
    <t>2607323</t>
  </si>
  <si>
    <t>I AM MAGIC NATURAL RADIANCE FOUNDATION 640 MALTA</t>
  </si>
  <si>
    <t>810018876197</t>
  </si>
  <si>
    <t>2607324</t>
  </si>
  <si>
    <t>I AM MAGIC NAT RDNCE FDN 650 ALEXANDRIA</t>
  </si>
  <si>
    <t>810018876180</t>
  </si>
  <si>
    <t>2607325</t>
  </si>
  <si>
    <t>I AM MAGIC NAT RDNCE FDN 700 VIENNA</t>
  </si>
  <si>
    <t>810018876173</t>
  </si>
  <si>
    <t>2607326</t>
  </si>
  <si>
    <t>I AM MAGIC NAT RDNCE FDN 710 MARICAO</t>
  </si>
  <si>
    <t>810018876166</t>
  </si>
  <si>
    <t>2607327</t>
  </si>
  <si>
    <t>I AM MAGIC NAT RDNCE FDN 720 BALI</t>
  </si>
  <si>
    <t>810018876159</t>
  </si>
  <si>
    <t>2607328</t>
  </si>
  <si>
    <t>I AM MAGIC NAT RDNCE FOUNDATION 730 ISLA</t>
  </si>
  <si>
    <t>810018876074</t>
  </si>
  <si>
    <t>2607329</t>
  </si>
  <si>
    <t>THE CANDY SHOP EYESHADOW PALETTE</t>
  </si>
  <si>
    <t>810018876081</t>
  </si>
  <si>
    <t>2607330</t>
  </si>
  <si>
    <t>THE COFFEE SHOP EYESHADOW PALETTE</t>
  </si>
  <si>
    <t>810018875886</t>
  </si>
  <si>
    <t>2607331</t>
  </si>
  <si>
    <t>I AM MAGIC MAKEUP SPONGE 1</t>
  </si>
  <si>
    <t>810018875800</t>
  </si>
  <si>
    <t>2607332</t>
  </si>
  <si>
    <t>101 TAPPERED POWDER BRUSH</t>
  </si>
  <si>
    <t>810018875817</t>
  </si>
  <si>
    <t>2607333</t>
  </si>
  <si>
    <t>102 FLAT TOP FOUNDATION BRUSH</t>
  </si>
  <si>
    <t>810018875770</t>
  </si>
  <si>
    <t>2609534</t>
  </si>
  <si>
    <t>GARDEN OF JUVIA LPGLS FLOWER GIRL 0.16OZ</t>
  </si>
  <si>
    <t>810018875732</t>
  </si>
  <si>
    <t>2609901</t>
  </si>
  <si>
    <t>BLUSHED LIQUID BLUSH MARIGOLD</t>
  </si>
  <si>
    <t>810018875695</t>
  </si>
  <si>
    <t>2609902</t>
  </si>
  <si>
    <t>BLUSHED LIQUID BLUSH BLUSH LILY</t>
  </si>
  <si>
    <t>810018875756</t>
  </si>
  <si>
    <t>2609903</t>
  </si>
  <si>
    <t>BLUSHED LIQUID BLUSH LILY LOVE</t>
  </si>
  <si>
    <t>810018876852</t>
  </si>
  <si>
    <t>2609904</t>
  </si>
  <si>
    <t>BLUSHED LIQUID BLUSH PERKY POPPY</t>
  </si>
  <si>
    <t>810018876661</t>
  </si>
  <si>
    <t>2609905</t>
  </si>
  <si>
    <t>BLUSHED LIQUID BLUSH SOFT TULIP</t>
  </si>
  <si>
    <t>810018876876</t>
  </si>
  <si>
    <t>2609906</t>
  </si>
  <si>
    <t>BLUSHED LIQUID BLUSH ROSEY POSEY</t>
  </si>
  <si>
    <t>810018876869</t>
  </si>
  <si>
    <t>2609907</t>
  </si>
  <si>
    <t>BLUSHED LIQUID BLUSH DAHLIA</t>
  </si>
  <si>
    <t>810018875701</t>
  </si>
  <si>
    <t>2609908</t>
  </si>
  <si>
    <t>BLUSHED LIQUID BLUSH SWEET BERRIES</t>
  </si>
  <si>
    <t>810018875718</t>
  </si>
  <si>
    <t>2609909</t>
  </si>
  <si>
    <t>BLUSHED LIQUID BLUSH BARBIE ROSE</t>
  </si>
  <si>
    <t>810018875725</t>
  </si>
  <si>
    <t>2609910</t>
  </si>
  <si>
    <t>BLUSHED LIQUID BLUSH PINK LADY</t>
  </si>
  <si>
    <t>810018875749</t>
  </si>
  <si>
    <t>2609911</t>
  </si>
  <si>
    <t>BLUSHED LIQUID BLUSH PEACH ROSE</t>
  </si>
  <si>
    <t>810018876685</t>
  </si>
  <si>
    <t>2609913</t>
  </si>
  <si>
    <t>BLUSHED LIQUID BLUSH CORAL ROSE</t>
  </si>
  <si>
    <t>810018875589</t>
  </si>
  <si>
    <t>2612855</t>
  </si>
  <si>
    <t>NUBIAN GLOW LIQUID LUMINIZER NUBIAN GLEAM</t>
  </si>
  <si>
    <t>810018875572</t>
  </si>
  <si>
    <t>2612856</t>
  </si>
  <si>
    <t>NUBIAN GLOW LIQUID LUMINIZER GOLDEN HOUR</t>
  </si>
  <si>
    <t>810018875602</t>
  </si>
  <si>
    <t>2612857</t>
  </si>
  <si>
    <t>NUBIAN GLOW LIQUID LUMINIZER EGYPTIAN GLOW</t>
  </si>
  <si>
    <t>810018875633</t>
  </si>
  <si>
    <t>2612858</t>
  </si>
  <si>
    <t>CULTURE 2 EYESHADOW PALETTE</t>
  </si>
  <si>
    <t>810018875619</t>
  </si>
  <si>
    <t>2612859</t>
  </si>
  <si>
    <t>NUBIAN GLOW LIQUID LUMINIZER STAR STRUCK</t>
  </si>
  <si>
    <t>810018875596</t>
  </si>
  <si>
    <t>2612860</t>
  </si>
  <si>
    <t>NUBIAN GLOW LIQUID LUMINIZER IVORY LIGHT</t>
  </si>
  <si>
    <t>810018877224</t>
  </si>
  <si>
    <t>2614094</t>
  </si>
  <si>
    <t>CULTURE DUOCHROME ES AFROCHELLA</t>
  </si>
  <si>
    <t>810018875565</t>
  </si>
  <si>
    <t>2614995</t>
  </si>
  <si>
    <t>BRONZED CREAM BRONZER ESPRESSO</t>
  </si>
  <si>
    <t>810018875558</t>
  </si>
  <si>
    <t>2614996</t>
  </si>
  <si>
    <t>BRONZED CREAM BRONZER COCOA</t>
  </si>
  <si>
    <t>SUMM</t>
  </si>
  <si>
    <t>810018875541</t>
  </si>
  <si>
    <t>2614997</t>
  </si>
  <si>
    <t>BRONZED CREAM BRONZER AMBER</t>
  </si>
  <si>
    <t>810018875534</t>
  </si>
  <si>
    <t>2615030</t>
  </si>
  <si>
    <t>BRONZED CREAM BRONZER SUNKISSED</t>
  </si>
  <si>
    <t>810018875473</t>
  </si>
  <si>
    <t>2615031</t>
  </si>
  <si>
    <t>MAGIC LIP OIL HONEYDEW</t>
  </si>
  <si>
    <t>810018875527</t>
  </si>
  <si>
    <t>2615032</t>
  </si>
  <si>
    <t>BRONZED CREAM BRONZER CARAMEL</t>
  </si>
  <si>
    <t>810018875466</t>
  </si>
  <si>
    <t>2615033</t>
  </si>
  <si>
    <t>MAGIC LIP OIL WATERMELON</t>
  </si>
  <si>
    <t>810018875435</t>
  </si>
  <si>
    <t>2615034</t>
  </si>
  <si>
    <t>MAGIC LIP OIL MANGO</t>
  </si>
  <si>
    <t>810018875503</t>
  </si>
  <si>
    <t>2615035</t>
  </si>
  <si>
    <t>BRONZED CREAM BRONZER HONEY</t>
  </si>
  <si>
    <t>810018875497</t>
  </si>
  <si>
    <t>2615036</t>
  </si>
  <si>
    <t>BRONZED CREAM BRONZER BUTTERCREAM</t>
  </si>
  <si>
    <t>810018875459</t>
  </si>
  <si>
    <t>2615037</t>
  </si>
  <si>
    <t>MAGIC LIP OIL BLUEBERRIES</t>
  </si>
  <si>
    <t>810018875510</t>
  </si>
  <si>
    <t>2615038</t>
  </si>
  <si>
    <t>BRONZED CREAM BRONZER NUTMEG</t>
  </si>
  <si>
    <t>810018875442</t>
  </si>
  <si>
    <t>2615056</t>
  </si>
  <si>
    <t>MAGIC LIP OIL SWEET ORANGE</t>
  </si>
  <si>
    <t>810018875374</t>
  </si>
  <si>
    <t>2616276</t>
  </si>
  <si>
    <t>VOLUMIZING GLOSS STICK CHOCOLATE</t>
  </si>
  <si>
    <t>810018875367</t>
  </si>
  <si>
    <t>2616277</t>
  </si>
  <si>
    <t>VOLUMIZING GLOSS STICK COCOA</t>
  </si>
  <si>
    <t>810018875350</t>
  </si>
  <si>
    <t>2616278</t>
  </si>
  <si>
    <t>VOLUMIZING GLOSS STICK SOFT LIFE</t>
  </si>
  <si>
    <t>810018875343</t>
  </si>
  <si>
    <t>2616279</t>
  </si>
  <si>
    <t>VOLUMIZING GLOSS STICK TRUE NUDE</t>
  </si>
  <si>
    <t>810018875336</t>
  </si>
  <si>
    <t>2616280</t>
  </si>
  <si>
    <t>VOLUMIZING GLOSS STICK ROSE</t>
  </si>
  <si>
    <t>810018875329</t>
  </si>
  <si>
    <t>2616281</t>
  </si>
  <si>
    <t>VOLUMIZING GLOSS STICK SOFT MAUVE</t>
  </si>
  <si>
    <t>810018875312</t>
  </si>
  <si>
    <t>2616282</t>
  </si>
  <si>
    <t>VOLUMIZING GLOSS STICK SO PEACH</t>
  </si>
  <si>
    <t>810018875305</t>
  </si>
  <si>
    <t>2616283</t>
  </si>
  <si>
    <t>VOLUMIZING GLOSS STICK PINK VELVET</t>
  </si>
  <si>
    <t>810018875299</t>
  </si>
  <si>
    <t>2616284</t>
  </si>
  <si>
    <t>VOLUMIZING GLOSS STICK STAY CLEAR</t>
  </si>
  <si>
    <t>810018875282</t>
  </si>
  <si>
    <t>2616285</t>
  </si>
  <si>
    <t>VOLUMIZING GLOSS STICK RICH HONEY</t>
  </si>
  <si>
    <t>810018875275</t>
  </si>
  <si>
    <t>2616286</t>
  </si>
  <si>
    <t>VOLUMIZING GLOSS STICK SUGAR COOKIE</t>
  </si>
  <si>
    <t>810018875268</t>
  </si>
  <si>
    <t>2616287</t>
  </si>
  <si>
    <t>VOLUMIZING GLOSS STICK BLACK BERRY</t>
  </si>
  <si>
    <t>810018875398</t>
  </si>
  <si>
    <t>2616288</t>
  </si>
  <si>
    <t>AFROGALACTIC GLITTER EYELINER VENUS</t>
  </si>
  <si>
    <t>810018875404</t>
  </si>
  <si>
    <t>2616289</t>
  </si>
  <si>
    <t>AFROGALACTIC GLITTER EYELINER STARGIRL</t>
  </si>
  <si>
    <t>810018875411</t>
  </si>
  <si>
    <t>2616290</t>
  </si>
  <si>
    <t>AFROGALACTIC GLITTER EYELINER METAVERSE</t>
  </si>
  <si>
    <t>810018875428</t>
  </si>
  <si>
    <t>2616291</t>
  </si>
  <si>
    <t>AFROGALACTIC GLITTER EYELINER UNIQUE</t>
  </si>
  <si>
    <t>810018876111</t>
  </si>
  <si>
    <t>2616344</t>
  </si>
  <si>
    <t>AFROGALACTIC PALETTE</t>
  </si>
  <si>
    <t>810018875121</t>
  </si>
  <si>
    <t>2618525</t>
  </si>
  <si>
    <t>CULTURE DUOCHROME ES YANGA</t>
  </si>
  <si>
    <t>810018875107</t>
  </si>
  <si>
    <t>2618526</t>
  </si>
  <si>
    <t>CULTURE DUOCHROME ES AJEBO</t>
  </si>
  <si>
    <t>810018875138</t>
  </si>
  <si>
    <t>2618527</t>
  </si>
  <si>
    <t>CULTURE DUOCHROME ES FESTIVE</t>
  </si>
  <si>
    <t>810018875145</t>
  </si>
  <si>
    <t>2618528</t>
  </si>
  <si>
    <t>CULTURE DUOCHROME ES WAZOBIA</t>
  </si>
  <si>
    <t>810018875091</t>
  </si>
  <si>
    <t>2618529</t>
  </si>
  <si>
    <t>CULTURE DUOCHROME ES HIGH LIFE</t>
  </si>
  <si>
    <t>810018875237</t>
  </si>
  <si>
    <t>2618627</t>
  </si>
  <si>
    <t>BLUSHED LIQUID BLUSHLIGHTER PERKY POPPY GLOW</t>
  </si>
  <si>
    <t>810018875244</t>
  </si>
  <si>
    <t>2618628</t>
  </si>
  <si>
    <t>BLUSHED LIQUID BLUSHLIGHTER SOFT TULIP GLOW</t>
  </si>
  <si>
    <t>810018875220</t>
  </si>
  <si>
    <t>2618629</t>
  </si>
  <si>
    <t>BLUSHED LIQUID BLUSHLIGHTER BARBIE ROSE GLOW</t>
  </si>
  <si>
    <t>810018875183</t>
  </si>
  <si>
    <t>2618633</t>
  </si>
  <si>
    <t>BLUSHED LIQUID BLUSHLIGHTER PINK LADY GLOW</t>
  </si>
  <si>
    <t>810018875213</t>
  </si>
  <si>
    <t>2618634</t>
  </si>
  <si>
    <t>BLUSHED LIQUID BLUSHLIGHTER BLUSH LILY GLOW</t>
  </si>
  <si>
    <t>810018875190</t>
  </si>
  <si>
    <t>2618635</t>
  </si>
  <si>
    <t>BLUSHED LIQUID BLUSHLIGHTER ROSEY POSEY GLOW</t>
  </si>
  <si>
    <t>810018875206</t>
  </si>
  <si>
    <t>2618636</t>
  </si>
  <si>
    <t>BLUSHED LIQUID BLUSHLIGHTER MARIGOLD GLOW</t>
  </si>
  <si>
    <t>810018875114</t>
  </si>
  <si>
    <t>2618637</t>
  </si>
  <si>
    <t>CULTURE DUOCHROME ES CHERI COCO</t>
  </si>
  <si>
    <t>810018875152</t>
  </si>
  <si>
    <t>2619250</t>
  </si>
  <si>
    <t>THE REDS SATIN CREAMY LIPSTICK RED-Y OR NOT</t>
  </si>
  <si>
    <t>810018875169</t>
  </si>
  <si>
    <t>2619251</t>
  </si>
  <si>
    <t>THE REDS SATIN CREAMY LIPSTICK NEW FLAME</t>
  </si>
  <si>
    <t>810018875480</t>
  </si>
  <si>
    <t>2620794</t>
  </si>
  <si>
    <t>READY, SET, SEALED! SETTING SPRAY</t>
  </si>
  <si>
    <t>810018874971</t>
  </si>
  <si>
    <t>2620796</t>
  </si>
  <si>
    <t>I AM MAGIC RADIANCE BOOSTER PUNTA CANA</t>
  </si>
  <si>
    <t>810018874957</t>
  </si>
  <si>
    <t>2620797</t>
  </si>
  <si>
    <t>I AM MAGIC RADIANCE BOOSTER CAIRO</t>
  </si>
  <si>
    <t>810018875008</t>
  </si>
  <si>
    <t>2620798</t>
  </si>
  <si>
    <t>I AM MAGIC RADIANCE BOOSTER CAMEROON</t>
  </si>
  <si>
    <t>810018875015</t>
  </si>
  <si>
    <t>2620799</t>
  </si>
  <si>
    <t>I AM MAGIC RADIANCE BOOSTER MALAWI</t>
  </si>
  <si>
    <t>810018874995</t>
  </si>
  <si>
    <t>2620800</t>
  </si>
  <si>
    <t>I AM MAGIC RADIANCE BOOSTER BURKINA</t>
  </si>
  <si>
    <t>810018874988</t>
  </si>
  <si>
    <t>2620801</t>
  </si>
  <si>
    <t>I AM MAGIC RADIANCE BOOSTER SOMALIA</t>
  </si>
  <si>
    <t>810018874902</t>
  </si>
  <si>
    <t>2620802</t>
  </si>
  <si>
    <t>I AM MAGIC RADIANCE BOOSTER BALI</t>
  </si>
  <si>
    <t>810018874964</t>
  </si>
  <si>
    <t>2620803</t>
  </si>
  <si>
    <t>I AM MAGIC RADIANCE BOOSTER GIZA</t>
  </si>
  <si>
    <t>810018875022</t>
  </si>
  <si>
    <t>2620804</t>
  </si>
  <si>
    <t>I AM MAGIC RADIANCE BOOSTER 0.5</t>
  </si>
  <si>
    <t>810018874919</t>
  </si>
  <si>
    <t>2620805</t>
  </si>
  <si>
    <t>I AM MAGIC RADIANCE BOOSTER ISLA</t>
  </si>
  <si>
    <t>810018874933</t>
  </si>
  <si>
    <t>2620806</t>
  </si>
  <si>
    <t>I AM MAGIC RADIANCE BOOSTER VIENNA</t>
  </si>
  <si>
    <t>810018874926</t>
  </si>
  <si>
    <t>2620807</t>
  </si>
  <si>
    <t>I AM MAGIC RADIANCE BOOSTER ALEXANDRA</t>
  </si>
  <si>
    <t>810018874940</t>
  </si>
  <si>
    <t>2620808</t>
  </si>
  <si>
    <t>I AM MAGIC RADIANCE BOOSTER CAPRI</t>
  </si>
  <si>
    <t>810018874643</t>
  </si>
  <si>
    <t>2620809</t>
  </si>
  <si>
    <t>MAGIC LIP OIL WHITE PEACH</t>
  </si>
  <si>
    <t>810018874698</t>
  </si>
  <si>
    <t>2620810</t>
  </si>
  <si>
    <t>THE COFFEE SHOP LIPGLOSS STRAWBERRY BLISS</t>
  </si>
  <si>
    <t>810018874650</t>
  </si>
  <si>
    <t>2620811</t>
  </si>
  <si>
    <t>THE COFFEE SHOP LIPGLOSS PINK VELVET</t>
  </si>
  <si>
    <t>810018874667</t>
  </si>
  <si>
    <t>2620812</t>
  </si>
  <si>
    <t>THE COFFEE SHOP LIPGLOSS PINKY MELON</t>
  </si>
  <si>
    <t>810018874674</t>
  </si>
  <si>
    <t>2620813</t>
  </si>
  <si>
    <t>THE COFFEE SHOP LIPGLOSS TUTTI FRUTTI</t>
  </si>
  <si>
    <t>810018874681</t>
  </si>
  <si>
    <t>2620814</t>
  </si>
  <si>
    <t>THE COFFEE SHOP LIPGLOSS PINK DRINK</t>
  </si>
  <si>
    <t>810018874636</t>
  </si>
  <si>
    <t>2620815</t>
  </si>
  <si>
    <t>MAGIC LIP OIL BLACK CHERRY</t>
  </si>
  <si>
    <t>810018874704</t>
  </si>
  <si>
    <t>2620816</t>
  </si>
  <si>
    <t>THE COFFEE SHOP LIPGLOSS GUAVA BERRY</t>
  </si>
  <si>
    <t>810018874759</t>
  </si>
  <si>
    <t>2620817</t>
  </si>
  <si>
    <t>LIQUID LIP EBONY</t>
  </si>
  <si>
    <t>810018874780</t>
  </si>
  <si>
    <t>2620818</t>
  </si>
  <si>
    <t>LIQUID LIP CARAMEL</t>
  </si>
  <si>
    <t>810018874803</t>
  </si>
  <si>
    <t>2620819</t>
  </si>
  <si>
    <t>LIQUID LIP SPICE</t>
  </si>
  <si>
    <t>810018874773</t>
  </si>
  <si>
    <t>2620820</t>
  </si>
  <si>
    <t>LIQUID LIP GINGERBREAD</t>
  </si>
  <si>
    <t>810018874711</t>
  </si>
  <si>
    <t>2620821</t>
  </si>
  <si>
    <t>LIQUID LIP RED VELVET</t>
  </si>
  <si>
    <t>810018874728</t>
  </si>
  <si>
    <t>2620822</t>
  </si>
  <si>
    <t>LIQUID LIP SCARLET</t>
  </si>
  <si>
    <t>810018874735</t>
  </si>
  <si>
    <t>2620823</t>
  </si>
  <si>
    <t>LIQUID LIP LULU</t>
  </si>
  <si>
    <t>810018874827</t>
  </si>
  <si>
    <t>2620824</t>
  </si>
  <si>
    <t>LIQUID LIP SHORTBREAD</t>
  </si>
  <si>
    <t>810018874766</t>
  </si>
  <si>
    <t>2620825</t>
  </si>
  <si>
    <t>LIQUID LIP 90'S</t>
  </si>
  <si>
    <t>810018874797</t>
  </si>
  <si>
    <t>2620826</t>
  </si>
  <si>
    <t>LIQUID LIP SOIL</t>
  </si>
  <si>
    <t>810018874810</t>
  </si>
  <si>
    <t>2620827</t>
  </si>
  <si>
    <t>LIQUID LIP BUTTER MELTS</t>
  </si>
  <si>
    <t>810018874742</t>
  </si>
  <si>
    <t>2620828</t>
  </si>
  <si>
    <t>LIQUID LIP TAKE A SEAT</t>
  </si>
  <si>
    <t>810018874360</t>
  </si>
  <si>
    <t>2635191</t>
  </si>
  <si>
    <t>MAGIC PH COLOR CHANGE LIP GLOSS MOOD</t>
  </si>
  <si>
    <t>810018874537</t>
  </si>
  <si>
    <t>2635196</t>
  </si>
  <si>
    <t>I AM MAGIC PYRAMID PUFF LARGE</t>
  </si>
  <si>
    <t>810018874520</t>
  </si>
  <si>
    <t>2635197</t>
  </si>
  <si>
    <t>I AM MAGIC PYRAMID PUFF SMALL</t>
  </si>
  <si>
    <t>810018874544</t>
  </si>
  <si>
    <t>2635305</t>
  </si>
  <si>
    <t>I AM MAGIC SILKY FINISHING POWDER COOKIE DOUGH</t>
  </si>
  <si>
    <t>810018874599</t>
  </si>
  <si>
    <t>2635306</t>
  </si>
  <si>
    <t>I AM MAGIC SILKY FINISHING POWDER COCONUT FLAKES</t>
  </si>
  <si>
    <t>810018874605</t>
  </si>
  <si>
    <t>2635307</t>
  </si>
  <si>
    <t>I AM MAGIC SILKY FINISHING POWDER WHIPPED CREAM</t>
  </si>
  <si>
    <t>810018874582</t>
  </si>
  <si>
    <t>2635308</t>
  </si>
  <si>
    <t>I AM MAGIC SILKY FINISHING POWDER BROWN SUGAR</t>
  </si>
  <si>
    <t>810018874575</t>
  </si>
  <si>
    <t>2635309</t>
  </si>
  <si>
    <t>I AM MAGIC SILKY FINISHING POWDER WARM HONEY</t>
  </si>
  <si>
    <t>810018874551</t>
  </si>
  <si>
    <t>2635310</t>
  </si>
  <si>
    <t>I AM MAGIC SILKY FINISHING POWDER SHORT BREAD</t>
  </si>
  <si>
    <t>810018874612</t>
  </si>
  <si>
    <t>2635311</t>
  </si>
  <si>
    <t>I AM MAGIC SILKY FINISHING POWDER COTTON CANDY</t>
  </si>
  <si>
    <t>810018874568</t>
  </si>
  <si>
    <t>2635312</t>
  </si>
  <si>
    <t>I AM MAGIC SILKY FINISHING POWDER VANILLA BEAN</t>
  </si>
  <si>
    <t>810018874889</t>
  </si>
  <si>
    <t>2636121</t>
  </si>
  <si>
    <t>GLASSY POUT LIP GLOSS CRYSTAL CLEAR</t>
  </si>
  <si>
    <t>810018874834</t>
  </si>
  <si>
    <t>2636122</t>
  </si>
  <si>
    <t>GLASSY POUT LIP GLOSS GHOSTED</t>
  </si>
  <si>
    <t>810018874841</t>
  </si>
  <si>
    <t>2636123</t>
  </si>
  <si>
    <t>GLASSY POUT LIP GLOSS BLOCKED</t>
  </si>
  <si>
    <t>810018874872</t>
  </si>
  <si>
    <t>2636124</t>
  </si>
  <si>
    <t>GLASSY POUT LIP GLOSS MISSED CALL</t>
  </si>
  <si>
    <t>810018874865</t>
  </si>
  <si>
    <t>2636145</t>
  </si>
  <si>
    <t>GLASSY POUT LIP GLOSS LEFT ON READ</t>
  </si>
  <si>
    <t>810018874858</t>
  </si>
  <si>
    <t>2636146</t>
  </si>
  <si>
    <t>GLASSY POUT LIP GLOSS OFF LIMITS</t>
  </si>
  <si>
    <t>810018874377</t>
  </si>
  <si>
    <t>2636147</t>
  </si>
  <si>
    <t>BEAUTIFUL BIG LIP PLUMPER SPRINKLE</t>
  </si>
  <si>
    <t>810018874384</t>
  </si>
  <si>
    <t>2636148</t>
  </si>
  <si>
    <t>BEAUTIFUL BIG LIP PLUMPER CLEAR SENSATION</t>
  </si>
  <si>
    <t>810018874391</t>
  </si>
  <si>
    <t>2636149</t>
  </si>
  <si>
    <t>BEAUTIFUL BIG LIP PLUMPER SEND NUDES</t>
  </si>
  <si>
    <t>810018874407</t>
  </si>
  <si>
    <t>2636150</t>
  </si>
  <si>
    <t>BEAUTIFUL BIG LIP PLUMPER RING THE ALARM</t>
  </si>
  <si>
    <t>810018874414</t>
  </si>
  <si>
    <t>2636151</t>
  </si>
  <si>
    <t>BEAUTIFUL BIG LIP PLUMPER CORAL CRUSH</t>
  </si>
  <si>
    <t>810018874421</t>
  </si>
  <si>
    <t>2636152</t>
  </si>
  <si>
    <t>BEAUTIFUL BIG LIP PLUMPER COCOA SPICE</t>
  </si>
  <si>
    <t>810018874292</t>
  </si>
  <si>
    <t>2636153</t>
  </si>
  <si>
    <t>COFFEE SHOP LES MATTE CAFÉ NOIR</t>
  </si>
  <si>
    <t>810018874278</t>
  </si>
  <si>
    <t>2636154</t>
  </si>
  <si>
    <t>COFFEE SHOP LES MATTE MOCHA</t>
  </si>
  <si>
    <t>810018874285</t>
  </si>
  <si>
    <t>2636155</t>
  </si>
  <si>
    <t>COFFEE SHOP LES MATTE TOASTED COCOA</t>
  </si>
  <si>
    <t>810018874261</t>
  </si>
  <si>
    <t>2636156</t>
  </si>
  <si>
    <t>COFFEE SHOP LES MATTE SPICED CHAI</t>
  </si>
  <si>
    <t>810018874254</t>
  </si>
  <si>
    <t>2636157</t>
  </si>
  <si>
    <t>COFFEE SHOP LES MATTE MAPLE LATTE</t>
  </si>
  <si>
    <t>810018874445</t>
  </si>
  <si>
    <t>2636184</t>
  </si>
  <si>
    <t>NUBIAN GLOW LIQ LMNZR NUBIAN GLEAM</t>
  </si>
  <si>
    <t>810018874438</t>
  </si>
  <si>
    <t>2636185</t>
  </si>
  <si>
    <t>NUBIAN GLOW LIQ LMNZR BRONZE GLOW</t>
  </si>
  <si>
    <t>810018874483</t>
  </si>
  <si>
    <t>2636186</t>
  </si>
  <si>
    <t>NUBIAN GLOW LIQ LMNZR GOLDEN HOUR</t>
  </si>
  <si>
    <t>810018874469</t>
  </si>
  <si>
    <t>2636366</t>
  </si>
  <si>
    <t>NUBIAN GLOW LIQ LMNZR EGYPTIAN GLOW</t>
  </si>
  <si>
    <t>810018874452</t>
  </si>
  <si>
    <t>2636367</t>
  </si>
  <si>
    <t>NUBIAN GLOW LIQ LMNZR IVORY LIGHT</t>
  </si>
  <si>
    <t>810018874476</t>
  </si>
  <si>
    <t>2636368</t>
  </si>
  <si>
    <t>NUBIAN GLOW LIQ LMNZR STAR STRUCK</t>
  </si>
  <si>
    <t>810018874148</t>
  </si>
  <si>
    <t>2636369</t>
  </si>
  <si>
    <t>BRONZED LIQUID BRONZER MAHOGANY</t>
  </si>
  <si>
    <t>810018874155</t>
  </si>
  <si>
    <t>2636370</t>
  </si>
  <si>
    <t>BRONZED LIQUID BRONZER RICH COCOA</t>
  </si>
  <si>
    <t>810018874179</t>
  </si>
  <si>
    <t>2636371</t>
  </si>
  <si>
    <t>BRONZED LIQUID BRONZER WARM PECAN</t>
  </si>
  <si>
    <t>810018874162</t>
  </si>
  <si>
    <t>2636372</t>
  </si>
  <si>
    <t>BRONZED LIQUID BRONZER TOASTED TOFFEE</t>
  </si>
  <si>
    <t>810018874186</t>
  </si>
  <si>
    <t>2636373</t>
  </si>
  <si>
    <t>BRONZED LIQUID BRONZER BISCOTTI</t>
  </si>
  <si>
    <t>810018874193</t>
  </si>
  <si>
    <t>2636374</t>
  </si>
  <si>
    <t>BRONZED LIQUID BRONZER CINNAMON</t>
  </si>
  <si>
    <t>810018874216</t>
  </si>
  <si>
    <t>2636375</t>
  </si>
  <si>
    <t>BRONZED LIQUID BRONZER BUTTERSCOTCH</t>
  </si>
  <si>
    <t>810018873875</t>
  </si>
  <si>
    <t>2636376</t>
  </si>
  <si>
    <t>BLUSHED CREAM BLUSH TERRACOTTA</t>
  </si>
  <si>
    <t>810018873882</t>
  </si>
  <si>
    <t>2636377</t>
  </si>
  <si>
    <t>BLUSHED CREAM BLUSH VERY BERRY</t>
  </si>
  <si>
    <t>810018873646</t>
  </si>
  <si>
    <t>2636378</t>
  </si>
  <si>
    <t>BLUSHED CREAM BLUSH PINK PASSION</t>
  </si>
  <si>
    <t>810018873677</t>
  </si>
  <si>
    <t>2636379</t>
  </si>
  <si>
    <t>COFFEE SHOP LES METALLIC VANILLA VELVET</t>
  </si>
  <si>
    <t>810018874209</t>
  </si>
  <si>
    <t>2636449</t>
  </si>
  <si>
    <t>BRONZED LIQUID BRONZER ALMOND</t>
  </si>
  <si>
    <t>810018874124</t>
  </si>
  <si>
    <t>2636450</t>
  </si>
  <si>
    <t>LONGWEAR LIP PENCIL SNAPPED</t>
  </si>
  <si>
    <t>810018874131</t>
  </si>
  <si>
    <t>2636451</t>
  </si>
  <si>
    <t>LONGWEAR LIP PENCIL KOLA</t>
  </si>
  <si>
    <t>810018874117</t>
  </si>
  <si>
    <t>2636452</t>
  </si>
  <si>
    <t>LONGWEAR LIP PENCIL COFFEE BEAN</t>
  </si>
  <si>
    <t>810018874094</t>
  </si>
  <si>
    <t>2636453</t>
  </si>
  <si>
    <t>LONGWEAR LIP PENCIL ESPRESSO</t>
  </si>
  <si>
    <t>810018874087</t>
  </si>
  <si>
    <t>2636454</t>
  </si>
  <si>
    <t>LONGWEAR LIP PENCIL SCORPIO</t>
  </si>
  <si>
    <t>810018874070</t>
  </si>
  <si>
    <t>2636455</t>
  </si>
  <si>
    <t>LONGWEAR LIP PENCIL LOVE ME BACK</t>
  </si>
  <si>
    <t>810018874063</t>
  </si>
  <si>
    <t>2636456</t>
  </si>
  <si>
    <t>LONGWEAR LIP PENCIL RUBY</t>
  </si>
  <si>
    <t>810018874056</t>
  </si>
  <si>
    <t>2636457</t>
  </si>
  <si>
    <t>LONGWEAR LIP PENCIL SO RARE</t>
  </si>
  <si>
    <t>810018873714</t>
  </si>
  <si>
    <t>2636458</t>
  </si>
  <si>
    <t>LONGWEAR LIP PENCIL RIZZ</t>
  </si>
  <si>
    <t>810018874001</t>
  </si>
  <si>
    <t>2636459</t>
  </si>
  <si>
    <t>NUBIAN EYESHADOW STICK MATTE JEZEBEL</t>
  </si>
  <si>
    <t>810018873998</t>
  </si>
  <si>
    <t>2636460</t>
  </si>
  <si>
    <t>NUBIAN EYESHADOW STICK MATTE MOROCCO</t>
  </si>
  <si>
    <t>810018873981</t>
  </si>
  <si>
    <t>2636461</t>
  </si>
  <si>
    <t>NUBIAN EYESHADOW STICK MATTE NILE</t>
  </si>
  <si>
    <t>810018873974</t>
  </si>
  <si>
    <t>2636462</t>
  </si>
  <si>
    <t>NUBIAN EYESHADOW STICK MATTE EGYPT</t>
  </si>
  <si>
    <t>810018873943</t>
  </si>
  <si>
    <t>2636463</t>
  </si>
  <si>
    <t>NUBIAN EYESHADOW STICK SHIMMER SHEBA</t>
  </si>
  <si>
    <t>810018873936</t>
  </si>
  <si>
    <t>2636464</t>
  </si>
  <si>
    <t>NUBIAN EYESHADOW STICK SHIMMER CARLOTA</t>
  </si>
  <si>
    <t>810018873950</t>
  </si>
  <si>
    <t>2636465</t>
  </si>
  <si>
    <t>NUBIAN EYESHADOW STICK SHIMMER KEMET</t>
  </si>
  <si>
    <t>810018873967</t>
  </si>
  <si>
    <t>2636466</t>
  </si>
  <si>
    <t>NUBIAN EYESHADOW STICK SHIMMER CASABLANCA</t>
  </si>
  <si>
    <t>810018874049</t>
  </si>
  <si>
    <t>2636467</t>
  </si>
  <si>
    <t>LONGWEAR CONTINUOUS MIST SETTING SPRAY</t>
  </si>
  <si>
    <t>810018874322</t>
  </si>
  <si>
    <t>2636468</t>
  </si>
  <si>
    <t>NUBIAN PEN EYELINER NOIR</t>
  </si>
  <si>
    <t>810018873912</t>
  </si>
  <si>
    <t>2636469</t>
  </si>
  <si>
    <t>BLUSHED CREAM BLUSH PINCH ME</t>
  </si>
  <si>
    <t>810018873929</t>
  </si>
  <si>
    <t>2636470</t>
  </si>
  <si>
    <t>BLUSHED CREAM BLUSH WILD ROSE</t>
  </si>
  <si>
    <t>810018873899</t>
  </si>
  <si>
    <t>2636471</t>
  </si>
  <si>
    <t>BLUSHED CREAM BLUSH CHEEKY CHERRY</t>
  </si>
  <si>
    <t>810018873905</t>
  </si>
  <si>
    <t>2636472</t>
  </si>
  <si>
    <t>BLUSHED CREAM BLUSH CHARMING CORAL</t>
  </si>
  <si>
    <t>810018873653</t>
  </si>
  <si>
    <t>2636473</t>
  </si>
  <si>
    <t>BLUSHED CREAM BLUSH PEACH PLEASE</t>
  </si>
  <si>
    <t>810018874247</t>
  </si>
  <si>
    <t>2636474</t>
  </si>
  <si>
    <t>COFFEE SHOP LES MATTE CINNAMON SWIRL</t>
  </si>
  <si>
    <t>810018874223</t>
  </si>
  <si>
    <t>2636475</t>
  </si>
  <si>
    <t>COFFEE SHOP LES MATTE COFFEE CAKE</t>
  </si>
  <si>
    <t>810018874308</t>
  </si>
  <si>
    <t>2636476</t>
  </si>
  <si>
    <t>COFFEE SHOP LES MATTE CREAM PUFFS</t>
  </si>
  <si>
    <t>810018873691</t>
  </si>
  <si>
    <t>2636477</t>
  </si>
  <si>
    <t>COFFEE SHOP LES METALLIC BRONZED BREW</t>
  </si>
  <si>
    <t>810018874230</t>
  </si>
  <si>
    <t>2636478</t>
  </si>
  <si>
    <t>COFFEE SHOP LES MATTE CARAMEL MALT</t>
  </si>
  <si>
    <t>810018873684</t>
  </si>
  <si>
    <t>2636479</t>
  </si>
  <si>
    <t>COFFEE SHOP LES METALLIC CARAMEL DRIZZLE</t>
  </si>
  <si>
    <t>810018873660</t>
  </si>
  <si>
    <t>2636480</t>
  </si>
  <si>
    <t>COFFEE SHOP LES METALLIC CAFÉ ROYALE</t>
  </si>
  <si>
    <t>810018874100</t>
  </si>
  <si>
    <t>2636840</t>
  </si>
  <si>
    <t>LONGWEAR LIP PENCIL COCOA LATTE</t>
  </si>
  <si>
    <t>810018873639</t>
  </si>
  <si>
    <t>2636841</t>
  </si>
  <si>
    <t>ROYAL BRUSH SET - 7 PIECE</t>
  </si>
  <si>
    <t>810018873851</t>
  </si>
  <si>
    <t>2636842</t>
  </si>
  <si>
    <t>LONGWEAR LIP PENCIL MOCKTAIL</t>
  </si>
  <si>
    <t>810018873837</t>
  </si>
  <si>
    <t>2636843</t>
  </si>
  <si>
    <t>LONGWEAR LIP PENCIL CENTER OF ATTENTION</t>
  </si>
  <si>
    <t>810018873844</t>
  </si>
  <si>
    <t>2636844</t>
  </si>
  <si>
    <t>LONGWEAR LIP PENCIL SIGNATURE</t>
  </si>
  <si>
    <t>810018873868</t>
  </si>
  <si>
    <t>2636845</t>
  </si>
  <si>
    <t>LONGWEAR LIP PENCIL DEMURE</t>
  </si>
  <si>
    <t>810018874896</t>
  </si>
  <si>
    <t>2636846</t>
  </si>
  <si>
    <t>GLASSY POUT LIP GLOSS DND</t>
  </si>
  <si>
    <t>810018874339</t>
  </si>
  <si>
    <t>2636944</t>
  </si>
  <si>
    <t>NUBIAN PEN EYELINER KAJAL</t>
  </si>
  <si>
    <t>810018875077</t>
  </si>
  <si>
    <t>2636945</t>
  </si>
  <si>
    <t>CREAM FOUNDATION BRUSH</t>
  </si>
  <si>
    <t>810018875084</t>
  </si>
  <si>
    <t>2636946</t>
  </si>
  <si>
    <t>POWDER BRONZING BRUSH</t>
  </si>
  <si>
    <t>810018876715</t>
  </si>
  <si>
    <t>2637222</t>
  </si>
  <si>
    <t>BLUSHED DUO BLUSHES VOL 3</t>
  </si>
  <si>
    <t>810018873189</t>
  </si>
  <si>
    <t>2640824</t>
  </si>
  <si>
    <t>I LINE I DEFINE LIP LINER SNEAKY LINK</t>
  </si>
  <si>
    <t>810018873172</t>
  </si>
  <si>
    <t>2640825</t>
  </si>
  <si>
    <t>I LINE I DEFINE LIP LINER LIP SERVICE</t>
  </si>
  <si>
    <t>810018873165</t>
  </si>
  <si>
    <t>2640826</t>
  </si>
  <si>
    <t>I LINE I DEFINE LIP LINER SHADE QUEEN</t>
  </si>
  <si>
    <t>810018873158</t>
  </si>
  <si>
    <t>2640827</t>
  </si>
  <si>
    <t>I LINE I DEFINE LIP LINER MOCHA MISCHIEF</t>
  </si>
  <si>
    <t>810018873141</t>
  </si>
  <si>
    <t>2640828</t>
  </si>
  <si>
    <t>I LINE I DEFINE LIP LINER POUT-TROVERSY</t>
  </si>
  <si>
    <t>810018873134</t>
  </si>
  <si>
    <t>2640829</t>
  </si>
  <si>
    <t>I LINE I DEFINE LIP LINER LOW KEY SPICY</t>
  </si>
  <si>
    <t>810018873417</t>
  </si>
  <si>
    <t>2640830</t>
  </si>
  <si>
    <t>NUBIAN VOLUMIZING &amp; LENGTHENING MASCARA</t>
  </si>
  <si>
    <t>810018873400</t>
  </si>
  <si>
    <t>2640831</t>
  </si>
  <si>
    <t>NUBIAN EXTREME LENGTHENING MASCARA</t>
  </si>
  <si>
    <t>810018873387</t>
  </si>
  <si>
    <t>2640832</t>
  </si>
  <si>
    <t>CULTURE MULTI USE JELLY STICK GOLDEN</t>
  </si>
  <si>
    <t>810018873394</t>
  </si>
  <si>
    <t>2640833</t>
  </si>
  <si>
    <t>CULTURE MULTI USE JELLY STICK QUEEN</t>
  </si>
  <si>
    <t>810018873370</t>
  </si>
  <si>
    <t>2640834</t>
  </si>
  <si>
    <t>CULTURE MULTI USE JELLY STICK HIGH LIFE</t>
  </si>
  <si>
    <t>810018873363</t>
  </si>
  <si>
    <t>2640835</t>
  </si>
  <si>
    <t>CULTURE MULTI USE JELLY STICK GODDESS</t>
  </si>
  <si>
    <t>810018873356</t>
  </si>
  <si>
    <t>2640836</t>
  </si>
  <si>
    <t>CULTURE MULTI USE JELLY STICK EXTRA AF</t>
  </si>
  <si>
    <t>810018873349</t>
  </si>
  <si>
    <t>2640837</t>
  </si>
  <si>
    <t>CULTURE MULTI USE JELLY STICK GLOW UP</t>
  </si>
  <si>
    <t>810018873127</t>
  </si>
  <si>
    <t>2640838</t>
  </si>
  <si>
    <t>PEPTIDE POWER GLASS BALM CLEAR</t>
  </si>
  <si>
    <t>810018873479</t>
  </si>
  <si>
    <t>2640839</t>
  </si>
  <si>
    <t>SF POWDER MINI COTTON CANDY</t>
  </si>
  <si>
    <t>810018873455</t>
  </si>
  <si>
    <t>2640840</t>
  </si>
  <si>
    <t>SF POWDER MINI WHIPPED CREAM</t>
  </si>
  <si>
    <t>810018873448</t>
  </si>
  <si>
    <t>2640841</t>
  </si>
  <si>
    <t>SF POWDER MINI COCONUT FLAKES</t>
  </si>
  <si>
    <t>810018873431</t>
  </si>
  <si>
    <t>2640842</t>
  </si>
  <si>
    <t>SF POWDER MINI COOKIE DOUGH</t>
  </si>
  <si>
    <t>810018873424</t>
  </si>
  <si>
    <t>2640843</t>
  </si>
  <si>
    <t>SF POWDER MINI WARM HONEY</t>
  </si>
  <si>
    <t>810018873332</t>
  </si>
  <si>
    <t>2640845</t>
  </si>
  <si>
    <t>CULTURE SHIMMER EYESHADOW AFRO BEAT</t>
  </si>
  <si>
    <t>810018873325</t>
  </si>
  <si>
    <t>2640846</t>
  </si>
  <si>
    <t>CULTURE SHIMMER EYESHADOW GELE</t>
  </si>
  <si>
    <t>810018873318</t>
  </si>
  <si>
    <t>2640847</t>
  </si>
  <si>
    <t>CULTURE SHIMMER EYESHADOW JOLLOF HEAT</t>
  </si>
  <si>
    <t>810018873301</t>
  </si>
  <si>
    <t>2640848</t>
  </si>
  <si>
    <t>CULTURE SHIMMER EYESHADOW DRIP HARD</t>
  </si>
  <si>
    <t>810018873295</t>
  </si>
  <si>
    <t>2640849</t>
  </si>
  <si>
    <t>CULTURE SHIMMER EYESHADOW BOSS LADY</t>
  </si>
  <si>
    <t>810018873288</t>
  </si>
  <si>
    <t>2640850</t>
  </si>
  <si>
    <t>CULTURE MULTICHROME EYESHADOW IT GIRL</t>
  </si>
  <si>
    <t>810018873271</t>
  </si>
  <si>
    <t>2640851</t>
  </si>
  <si>
    <t>CULTURE MULTICHROME EYESHADOW EYE CANDY</t>
  </si>
  <si>
    <t>810018873264</t>
  </si>
  <si>
    <t>2640852</t>
  </si>
  <si>
    <t>CULTURE MULTICHROME EYESHADOW FINESSE</t>
  </si>
  <si>
    <t>810018873240</t>
  </si>
  <si>
    <t>2640854</t>
  </si>
  <si>
    <t>CULTURE MULTICHROME EYESHADOW ISSA LOOK</t>
  </si>
  <si>
    <t>810018873257</t>
  </si>
  <si>
    <t>2640855</t>
  </si>
  <si>
    <t>CULTURE MULTICHROME EYESHADOW SHOCK</t>
  </si>
  <si>
    <t>810018873233</t>
  </si>
  <si>
    <t>2640856</t>
  </si>
  <si>
    <t>CULTURE DUOCHROME EYELINER OWAMBE</t>
  </si>
  <si>
    <t>810018873226</t>
  </si>
  <si>
    <t>2640857</t>
  </si>
  <si>
    <t>CULTURE DUOCHROME EYELINER SISI EKO</t>
  </si>
  <si>
    <t>810018873219</t>
  </si>
  <si>
    <t>2640858</t>
  </si>
  <si>
    <t>CULTURE DUOCHROME EYELINER PEPPER DEM</t>
  </si>
  <si>
    <t>810018873202</t>
  </si>
  <si>
    <t>2640859</t>
  </si>
  <si>
    <t>CULTURE DUOCHROME EYELINER SHINE YOUR EYE</t>
  </si>
  <si>
    <t>810018873196</t>
  </si>
  <si>
    <t>2640860</t>
  </si>
  <si>
    <t>CULTURE DUOCHROME EYELINER SHAKARA</t>
  </si>
  <si>
    <t>810018873097</t>
  </si>
  <si>
    <t>2640861</t>
  </si>
  <si>
    <t>EGYPTIAN EYELINER PENCIL - WHITE WHITE</t>
  </si>
  <si>
    <t>810018873103</t>
  </si>
  <si>
    <t>2640862</t>
  </si>
  <si>
    <t>EGYPTIAN EYELINER PEN - BLANC BLANC</t>
  </si>
  <si>
    <t>810018873110</t>
  </si>
  <si>
    <t>2640950</t>
  </si>
  <si>
    <t>CULTURE DUOCHROME EYELINER OMOGE</t>
  </si>
  <si>
    <t>810018873462</t>
  </si>
  <si>
    <t>2646947</t>
  </si>
  <si>
    <t>BTFL BIG LIP PLUMPER CLR SNSTN MXMM</t>
  </si>
  <si>
    <t>810018872861</t>
  </si>
  <si>
    <t>2647010</t>
  </si>
  <si>
    <t>I AM MY SKIN HYDRA-TINT FOUNDATION STICK 17 MANILA</t>
  </si>
  <si>
    <t>810018872854</t>
  </si>
  <si>
    <t>2647011</t>
  </si>
  <si>
    <t>I AM MY SKIN HYDRA-TINT FOUNDATION STICK 18 BARCELONA</t>
  </si>
  <si>
    <t>810018872847</t>
  </si>
  <si>
    <t>2647012</t>
  </si>
  <si>
    <t>I AM MY SKIN HYDRA-TINT FOUNDATION STICK 20 LIMA</t>
  </si>
  <si>
    <t>810018872939</t>
  </si>
  <si>
    <t>2647013</t>
  </si>
  <si>
    <t>I AM MY SKIN HYDRA-TINT FOUNDATION STICK 10 MOZAMBIQUE</t>
  </si>
  <si>
    <t>810018872878</t>
  </si>
  <si>
    <t>2647014</t>
  </si>
  <si>
    <t>I AM MY SKIN HYDRA-TINT FOUNDATION STICK 16 PANAMA</t>
  </si>
  <si>
    <t>810018872915</t>
  </si>
  <si>
    <t>2647015</t>
  </si>
  <si>
    <t>I AM MY SKIN HYDRA-TINT FOUNDATION STICK 12 ADDIS ABABA</t>
  </si>
  <si>
    <t>810018872946</t>
  </si>
  <si>
    <t>2647016</t>
  </si>
  <si>
    <t>I AM MY SKIN HYDRA-TINT FDN STK 9 GUINEA</t>
  </si>
  <si>
    <t>810018872885</t>
  </si>
  <si>
    <t>2647017</t>
  </si>
  <si>
    <t>I AM MY SKIN HYDRA-TINT FOUNDATION STICK 15 BRASILIA</t>
  </si>
  <si>
    <t>810018872908</t>
  </si>
  <si>
    <t>2647018</t>
  </si>
  <si>
    <t>I AM MY SKIN HYDRA-TINT FOUNDATION STICK 13 MAURITANIA</t>
  </si>
  <si>
    <t>810018872830</t>
  </si>
  <si>
    <t>2647019</t>
  </si>
  <si>
    <t>I AM MY SKIN HYDRA-TINT FOUNDATION STICK 19 LUXOR</t>
  </si>
  <si>
    <t>810018872922</t>
  </si>
  <si>
    <t>2647022</t>
  </si>
  <si>
    <t>I AM MY SKIN HYDRA-TINT FOUNDATION STICK 11 JACMEL</t>
  </si>
  <si>
    <t>810018872892</t>
  </si>
  <si>
    <t>2647023</t>
  </si>
  <si>
    <t>I AM MY SKIN HYDRA-TINT FOUNDATION STICK 14 DOMINICA</t>
  </si>
  <si>
    <t>810018873011</t>
  </si>
  <si>
    <t>2647024</t>
  </si>
  <si>
    <t>I AM MY SKIN HYDRA-TINT FOUNDATION STICK 2 TUNISIA</t>
  </si>
  <si>
    <t>810018872953</t>
  </si>
  <si>
    <t>2647025</t>
  </si>
  <si>
    <t>I AM MY SKIN HYDRATINT FDN STK 8 ABIDJAN</t>
  </si>
  <si>
    <t>810018872960</t>
  </si>
  <si>
    <t>2647026</t>
  </si>
  <si>
    <t>I AM MY SKIN HYDRA-TINT FOUNDATION STICK 7 CAMEROON</t>
  </si>
  <si>
    <t>810018873028</t>
  </si>
  <si>
    <t>2647027</t>
  </si>
  <si>
    <t>I AM MY SKIN HYDRA-TINT FOUNDATION STICK 1 CONGO</t>
  </si>
  <si>
    <t>810018872991</t>
  </si>
  <si>
    <t>2647028</t>
  </si>
  <si>
    <t>I AM MY SKIN HYDRA-TINT FOUNDATION STICK 4 ZAMBIA</t>
  </si>
  <si>
    <t>810018873004</t>
  </si>
  <si>
    <t>2647029</t>
  </si>
  <si>
    <t>I AM MY SKIN HYDRA-TINT FOUNDATION STICK 3 KATSINA</t>
  </si>
  <si>
    <t>810018872984</t>
  </si>
  <si>
    <t>2647030</t>
  </si>
  <si>
    <t>I AM MY SKIN HYDRA-TINT FOUNDATION STICK 5 BENIN</t>
  </si>
  <si>
    <t>810018872977</t>
  </si>
  <si>
    <t>2647031</t>
  </si>
  <si>
    <t>I AM MY SKIN HYDRATINT FDN STK 6 NAMIBIA</t>
  </si>
  <si>
    <t>810018873066</t>
  </si>
  <si>
    <t>2648140</t>
  </si>
  <si>
    <t>DUAL PENCIL SHARPENER</t>
  </si>
  <si>
    <t>810018873073</t>
  </si>
  <si>
    <t>2651094</t>
  </si>
  <si>
    <t>EGYPTIAN EYELINER PENCIL - IVORY IVORY</t>
  </si>
  <si>
    <t>810018873042</t>
  </si>
  <si>
    <t>2655659</t>
  </si>
  <si>
    <t>BLONZING STICK SPICED RUM</t>
  </si>
  <si>
    <t>810018872748</t>
  </si>
  <si>
    <t>2655660</t>
  </si>
  <si>
    <t>BLUSHED &amp; BRONZED BLURRING PALETTE 1</t>
  </si>
  <si>
    <t>810018872755</t>
  </si>
  <si>
    <t>2655661</t>
  </si>
  <si>
    <t>BLONZING STICK CHOCOLATE CHERRY</t>
  </si>
  <si>
    <t>810018873059</t>
  </si>
  <si>
    <t>2655662</t>
  </si>
  <si>
    <t>BLONZING STICK BURNT SUGAR</t>
  </si>
  <si>
    <t>810018873035</t>
  </si>
  <si>
    <t>2655663</t>
  </si>
  <si>
    <t>BLONZING STICK TOASTED AMBER</t>
  </si>
  <si>
    <t>810018872731</t>
  </si>
  <si>
    <t>2655664</t>
  </si>
  <si>
    <t>BLUSHED &amp; BRONZED BLURRING PALETTE 2</t>
  </si>
  <si>
    <t>810018872700</t>
  </si>
  <si>
    <t>2655665</t>
  </si>
  <si>
    <t>BLUSHED BLUSH TINT CORAL SUNSET</t>
  </si>
  <si>
    <t>810018872724</t>
  </si>
  <si>
    <t>2655666</t>
  </si>
  <si>
    <t>BLUSHED BLUSH TINT PEACHES N CREAM</t>
  </si>
  <si>
    <t>810018872717</t>
  </si>
  <si>
    <t>2655667</t>
  </si>
  <si>
    <t>BLUSHED BLUSH TINT FLAMINGO ROSE</t>
  </si>
  <si>
    <t>Definitions and Disclaimer</t>
  </si>
  <si>
    <r>
      <rPr>
        <b/>
        <u/>
        <sz val="14"/>
        <color rgb="FF000000"/>
        <rFont val="Arial"/>
        <family val="2"/>
      </rPr>
      <t xml:space="preserve">Order Projections Disclaimer
</t>
    </r>
    <r>
      <rPr>
        <b/>
        <sz val="12"/>
        <color rgb="FF000000"/>
        <rFont val="Arial"/>
        <family val="2"/>
      </rPr>
      <t>The projections contained in this report reflect a systematic output generated at a point of time and are subject to change based on selling patterns, changes to assortment, promotions, or ability to fulfill orders. These projected order quantities are not a guarantee of purchase and should be used as a directional estimate for planning purposes.
Please reach out to your Ulta Beauty team for further assistance.</t>
    </r>
  </si>
  <si>
    <t/>
  </si>
  <si>
    <t>Definitions</t>
  </si>
  <si>
    <t>Column Title</t>
  </si>
  <si>
    <t>UPC</t>
  </si>
  <si>
    <r>
      <rPr>
        <b/>
        <sz val="9"/>
        <color rgb="FFFFFFFF"/>
        <rFont val="Arial"/>
        <family val="2"/>
      </rPr>
      <t xml:space="preserve">Purch Cost 
</t>
    </r>
    <r>
      <rPr>
        <b/>
        <sz val="9"/>
        <color rgb="FFFFFFFF"/>
        <rFont val="Arial"/>
        <family val="2"/>
      </rPr>
      <t>(Average)</t>
    </r>
  </si>
  <si>
    <r>
      <rPr>
        <b/>
        <sz val="9"/>
        <color rgb="FFFFFFFF"/>
        <rFont val="Arial"/>
        <family val="2"/>
      </rPr>
      <t xml:space="preserve">Retail Price
</t>
    </r>
    <r>
      <rPr>
        <b/>
        <sz val="9"/>
        <color rgb="FFFFFFFF"/>
        <rFont val="Arial"/>
        <family val="2"/>
      </rPr>
      <t>(Current)</t>
    </r>
  </si>
  <si>
    <r>
      <t xml:space="preserve">
</t>
    </r>
    <r>
      <rPr>
        <b/>
        <sz val="9"/>
        <color rgb="FFFFFFFF"/>
        <rFont val="Arial"/>
        <family val="2"/>
      </rPr>
      <t>Definition</t>
    </r>
  </si>
  <si>
    <t>"Universal Product Code" is a unique identifier which may be used as an alternate to ULTA's Item number</t>
  </si>
  <si>
    <t>ULTA's internal identifier for a specific product</t>
  </si>
  <si>
    <t>ULTA's internal plain text description for a specific product</t>
  </si>
  <si>
    <t>A Brand Partner's internal identifier for a specific product</t>
  </si>
  <si>
    <t>ULTA's internal classification for like Items belonging to the same brand</t>
  </si>
  <si>
    <t>Enterprise performance rank given to Items based on their sales velocity in relation to other Items in retail locations</t>
  </si>
  <si>
    <t>Identifier given to an Item which aids in determining where an Item is sold</t>
  </si>
  <si>
    <t>Identifier given to an Item which determines if it is part of ULTA's base assortment, promotional, or seasonal.</t>
  </si>
  <si>
    <t>The average price ULTA has been charged to acquire an Item</t>
  </si>
  <si>
    <t>The cost that ULTA is currently charging customers for an Item</t>
  </si>
  <si>
    <r>
      <t xml:space="preserve">
</t>
    </r>
    <r>
      <rPr>
        <b/>
        <sz val="9"/>
        <color rgb="FFFFFFFF"/>
        <rFont val="Arial"/>
        <family val="2"/>
      </rPr>
      <t>Possible Values</t>
    </r>
  </si>
  <si>
    <t>N/A</t>
  </si>
  <si>
    <t>A - Top 25%    
B - Next 25%
C - Next 20%
D - Next 15%
E - Next 10%
F - Next 5%
N/A - Not assigned</t>
  </si>
  <si>
    <t>AA - All Stores     
H* - High Volatile
L* - Low Volatile 
U* - Unique     
TT - Testers 
Z* - Discontinued</t>
  </si>
  <si>
    <t>BASC - Basic 
PROM - Promotional
IO* - In and Out 
SE* - Seasonal</t>
  </si>
  <si>
    <t>Current</t>
  </si>
  <si>
    <t>Past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</si>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</sst>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b/>
      <sz val="15"/>
      <color rgb="FFEF426D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Segoe UI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4"/>
      <color rgb="FFEF426D"/>
      <name val="Arial"/>
      <family val="2"/>
    </font>
    <font>
      <b/>
      <u/>
      <sz val="14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96969"/>
        <bgColor rgb="FF696969"/>
      </patternFill>
    </fill>
    <fill>
      <patternFill patternType="solid">
        <fgColor rgb="FF999B9E"/>
        <bgColor rgb="FF999B9E"/>
      </patternFill>
    </fill>
    <fill>
      <patternFill patternType="solid">
        <fgColor rgb="FFEF426D"/>
        <bgColor rgb="FFEF426D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6" fillId="3" borderId="1" xfId="0" applyFont="1" applyFill="1" applyBorder="1" applyAlignment="1">
      <alignment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9" fillId="5" borderId="4" xfId="0" applyFont="1" applyFill="1" applyBorder="1" applyAlignment="1">
      <alignment vertical="top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top" wrapText="1" readingOrder="1"/>
    </xf>
    <xf numFmtId="0" fontId="13" fillId="0" borderId="1" xfId="0" applyFont="1" applyBorder="1" applyAlignment="1">
      <alignment vertical="top" wrapText="1" readingOrder="1"/>
    </xf>
    <xf numFmtId="0" fontId="14" fillId="0" borderId="0" xfId="0" applyFont="1" applyAlignment="1">
      <alignment horizontal="left" wrapText="1"/>
    </xf>
    <xf numFmtId="1" fontId="14" fillId="0" borderId="0" xfId="0" applyNumberFormat="1" applyFont="1" applyAlignment="1">
      <alignment horizontal="center"/>
    </xf>
    <xf numFmtId="1" fontId="1" fillId="0" borderId="0" xfId="0" applyNumberFormat="1" applyFont="1"/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6" fillId="5" borderId="3" xfId="0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F2F2F2"/>
      <rgbColor rgb="00D3D3D3"/>
      <rgbColor rgb="00696969"/>
      <rgbColor rgb="00FFFFFF"/>
      <rgbColor rgb="00999B9E"/>
      <rgbColor rgb="00C0C0C0"/>
      <rgbColor rgb="00800000"/>
      <rgbColor rgb="00008000"/>
      <rgbColor rgb="00000080"/>
      <rgbColor rgb="00808000"/>
      <rgbColor rgb="00800080"/>
      <rgbColor rgb="00008080"/>
      <rgbColor rgb="0000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uviasplace-my.sharepoint.com/personal/muhammad_juviasplace_com/Documents/ULTA%20Portal/Monthly%20Shipment%20Forecast/Order_Proj__52853_JUVIA'S%20PLACE-2025-09-24.xlsx" TargetMode="External"/><Relationship Id="rId1" Type="http://schemas.openxmlformats.org/officeDocument/2006/relationships/externalLinkPath" Target="Order_Proj__52853_JUVIA'S%20PLACE-2025-09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finitions_and_Disclaimer"/>
    </sheetNames>
    <sheetDataSet>
      <sheetData sheetId="0">
        <row r="10">
          <cell r="E10">
            <v>1200374</v>
          </cell>
          <cell r="F10" t="str">
            <v>021</v>
          </cell>
          <cell r="G10" t="str">
            <v>3453 - JUVIA'S PLACE</v>
          </cell>
          <cell r="H10" t="str">
            <v>D</v>
          </cell>
          <cell r="I10" t="str">
            <v>A</v>
          </cell>
          <cell r="J10" t="str">
            <v>BASC</v>
          </cell>
          <cell r="K10">
            <v>7.5</v>
          </cell>
          <cell r="L10">
            <v>24192</v>
          </cell>
          <cell r="M10">
            <v>2880</v>
          </cell>
          <cell r="N10">
            <v>2304</v>
          </cell>
          <cell r="O10">
            <v>1440</v>
          </cell>
          <cell r="P10">
            <v>2160</v>
          </cell>
          <cell r="Q10">
            <v>1728</v>
          </cell>
          <cell r="R10">
            <v>1440</v>
          </cell>
          <cell r="S10">
            <v>2160</v>
          </cell>
          <cell r="T10">
            <v>2016</v>
          </cell>
          <cell r="U10">
            <v>2160</v>
          </cell>
          <cell r="V10">
            <v>2592</v>
          </cell>
          <cell r="W10">
            <v>2016</v>
          </cell>
          <cell r="X10">
            <v>1296</v>
          </cell>
        </row>
        <row r="11">
          <cell r="E11">
            <v>1002329</v>
          </cell>
          <cell r="F11" t="str">
            <v>021</v>
          </cell>
          <cell r="G11" t="str">
            <v>3453 - JUVIA'S PLACE</v>
          </cell>
          <cell r="H11" t="str">
            <v>A</v>
          </cell>
          <cell r="I11" t="str">
            <v>A</v>
          </cell>
          <cell r="J11" t="str">
            <v>BASC</v>
          </cell>
          <cell r="K11">
            <v>10</v>
          </cell>
          <cell r="L11">
            <v>159000</v>
          </cell>
          <cell r="M11">
            <v>26520</v>
          </cell>
          <cell r="N11">
            <v>7920</v>
          </cell>
          <cell r="O11">
            <v>9360</v>
          </cell>
          <cell r="P11">
            <v>17400</v>
          </cell>
          <cell r="Q11">
            <v>13200</v>
          </cell>
          <cell r="R11">
            <v>12960</v>
          </cell>
          <cell r="S11">
            <v>15480</v>
          </cell>
          <cell r="T11">
            <v>13200</v>
          </cell>
          <cell r="U11">
            <v>11880</v>
          </cell>
          <cell r="V11">
            <v>13080</v>
          </cell>
          <cell r="W11">
            <v>12840</v>
          </cell>
          <cell r="X11">
            <v>5160</v>
          </cell>
        </row>
        <row r="12">
          <cell r="E12">
            <v>1002404</v>
          </cell>
          <cell r="F12" t="str">
            <v>021</v>
          </cell>
          <cell r="G12" t="str">
            <v>3453 - JUVIA'S PLACE</v>
          </cell>
          <cell r="H12" t="str">
            <v>D</v>
          </cell>
          <cell r="I12" t="str">
            <v>A</v>
          </cell>
          <cell r="J12" t="str">
            <v>BASC</v>
          </cell>
          <cell r="K12">
            <v>6.5</v>
          </cell>
          <cell r="L12">
            <v>27216</v>
          </cell>
          <cell r="M12">
            <v>3312</v>
          </cell>
          <cell r="N12">
            <v>1872</v>
          </cell>
          <cell r="O12">
            <v>1728</v>
          </cell>
          <cell r="P12">
            <v>2592</v>
          </cell>
          <cell r="Q12">
            <v>1872</v>
          </cell>
          <cell r="R12">
            <v>2016</v>
          </cell>
          <cell r="S12">
            <v>2448</v>
          </cell>
          <cell r="T12">
            <v>2304</v>
          </cell>
          <cell r="U12">
            <v>2304</v>
          </cell>
          <cell r="V12">
            <v>3168</v>
          </cell>
          <cell r="W12">
            <v>2448</v>
          </cell>
          <cell r="X12">
            <v>1152</v>
          </cell>
        </row>
        <row r="13">
          <cell r="E13">
            <v>1002405</v>
          </cell>
          <cell r="F13" t="str">
            <v>021</v>
          </cell>
          <cell r="G13" t="str">
            <v>3453 - JUVIA'S PLACE</v>
          </cell>
          <cell r="H13" t="str">
            <v>D</v>
          </cell>
          <cell r="I13" t="str">
            <v>A</v>
          </cell>
          <cell r="J13" t="str">
            <v>BASC</v>
          </cell>
          <cell r="K13">
            <v>6.5</v>
          </cell>
          <cell r="L13">
            <v>52848</v>
          </cell>
          <cell r="M13">
            <v>6768</v>
          </cell>
          <cell r="N13">
            <v>3744</v>
          </cell>
          <cell r="O13">
            <v>3456</v>
          </cell>
          <cell r="P13">
            <v>5328</v>
          </cell>
          <cell r="Q13">
            <v>3744</v>
          </cell>
          <cell r="R13">
            <v>4032</v>
          </cell>
          <cell r="S13">
            <v>5184</v>
          </cell>
          <cell r="T13">
            <v>4320</v>
          </cell>
          <cell r="U13">
            <v>4032</v>
          </cell>
          <cell r="V13">
            <v>5616</v>
          </cell>
          <cell r="W13">
            <v>4464</v>
          </cell>
          <cell r="X13">
            <v>2160</v>
          </cell>
        </row>
        <row r="14">
          <cell r="E14">
            <v>1000699</v>
          </cell>
          <cell r="F14" t="str">
            <v>021</v>
          </cell>
          <cell r="G14" t="str">
            <v>3453 - JUVIA'S PLACE</v>
          </cell>
          <cell r="H14" t="str">
            <v>D</v>
          </cell>
          <cell r="I14" t="str">
            <v>A</v>
          </cell>
          <cell r="J14" t="str">
            <v>BASC</v>
          </cell>
          <cell r="K14">
            <v>6.5</v>
          </cell>
          <cell r="L14">
            <v>54576</v>
          </cell>
          <cell r="M14">
            <v>7200</v>
          </cell>
          <cell r="N14">
            <v>3600</v>
          </cell>
          <cell r="O14">
            <v>3744</v>
          </cell>
          <cell r="P14">
            <v>5616</v>
          </cell>
          <cell r="Q14">
            <v>4032</v>
          </cell>
          <cell r="R14">
            <v>4176</v>
          </cell>
          <cell r="S14">
            <v>5472</v>
          </cell>
          <cell r="T14">
            <v>4176</v>
          </cell>
          <cell r="U14">
            <v>4032</v>
          </cell>
          <cell r="V14">
            <v>5616</v>
          </cell>
          <cell r="W14">
            <v>4608</v>
          </cell>
          <cell r="X14">
            <v>2304</v>
          </cell>
        </row>
        <row r="15">
          <cell r="E15">
            <v>1001659</v>
          </cell>
          <cell r="F15" t="str">
            <v>021</v>
          </cell>
          <cell r="G15" t="str">
            <v>3453 - JUVIA'S PLACE</v>
          </cell>
          <cell r="H15" t="str">
            <v>E</v>
          </cell>
          <cell r="I15" t="str">
            <v>A</v>
          </cell>
          <cell r="J15" t="str">
            <v>BASC</v>
          </cell>
          <cell r="K15">
            <v>6.5</v>
          </cell>
          <cell r="L15">
            <v>34272</v>
          </cell>
          <cell r="M15">
            <v>4464</v>
          </cell>
          <cell r="N15">
            <v>2448</v>
          </cell>
          <cell r="O15">
            <v>2016</v>
          </cell>
          <cell r="P15">
            <v>3312</v>
          </cell>
          <cell r="Q15">
            <v>2592</v>
          </cell>
          <cell r="R15">
            <v>3024</v>
          </cell>
          <cell r="S15">
            <v>3456</v>
          </cell>
          <cell r="T15">
            <v>2304</v>
          </cell>
          <cell r="U15">
            <v>2592</v>
          </cell>
          <cell r="V15">
            <v>3888</v>
          </cell>
          <cell r="W15">
            <v>2880</v>
          </cell>
          <cell r="X15">
            <v>1296</v>
          </cell>
        </row>
        <row r="16">
          <cell r="E16">
            <v>1200373</v>
          </cell>
          <cell r="F16" t="str">
            <v>021</v>
          </cell>
          <cell r="G16" t="str">
            <v>3453 - JUVIA'S PLACE</v>
          </cell>
          <cell r="H16" t="str">
            <v>D</v>
          </cell>
          <cell r="I16" t="str">
            <v>A</v>
          </cell>
          <cell r="J16" t="str">
            <v>BASC</v>
          </cell>
          <cell r="K16">
            <v>4</v>
          </cell>
          <cell r="L16">
            <v>19296</v>
          </cell>
          <cell r="M16">
            <v>2592</v>
          </cell>
          <cell r="N16">
            <v>1728</v>
          </cell>
          <cell r="O16">
            <v>1296</v>
          </cell>
          <cell r="P16">
            <v>1584</v>
          </cell>
          <cell r="Q16">
            <v>1584</v>
          </cell>
          <cell r="R16">
            <v>1440</v>
          </cell>
          <cell r="S16">
            <v>1728</v>
          </cell>
          <cell r="T16">
            <v>1728</v>
          </cell>
          <cell r="U16">
            <v>1440</v>
          </cell>
          <cell r="V16">
            <v>1728</v>
          </cell>
          <cell r="W16">
            <v>1728</v>
          </cell>
          <cell r="X16">
            <v>720</v>
          </cell>
        </row>
        <row r="17">
          <cell r="E17">
            <v>1002403</v>
          </cell>
          <cell r="F17" t="str">
            <v>021</v>
          </cell>
          <cell r="G17" t="str">
            <v>3453 - JUVIA'S PLACE</v>
          </cell>
          <cell r="H17" t="str">
            <v>E</v>
          </cell>
          <cell r="I17" t="str">
            <v>A</v>
          </cell>
          <cell r="J17" t="str">
            <v>BASC</v>
          </cell>
          <cell r="K17">
            <v>6.5</v>
          </cell>
          <cell r="L17">
            <v>20736</v>
          </cell>
          <cell r="M17">
            <v>2448</v>
          </cell>
          <cell r="N17">
            <v>1296</v>
          </cell>
          <cell r="O17">
            <v>1296</v>
          </cell>
          <cell r="P17">
            <v>1872</v>
          </cell>
          <cell r="Q17">
            <v>1584</v>
          </cell>
          <cell r="R17">
            <v>1440</v>
          </cell>
          <cell r="S17">
            <v>2160</v>
          </cell>
          <cell r="T17">
            <v>1728</v>
          </cell>
          <cell r="U17">
            <v>1728</v>
          </cell>
          <cell r="V17">
            <v>2304</v>
          </cell>
          <cell r="W17">
            <v>2016</v>
          </cell>
          <cell r="X17">
            <v>864</v>
          </cell>
        </row>
        <row r="18">
          <cell r="E18">
            <v>1200239</v>
          </cell>
          <cell r="F18" t="str">
            <v>021</v>
          </cell>
          <cell r="G18" t="str">
            <v>3453 - JUVIA'S PLACE</v>
          </cell>
          <cell r="H18" t="str">
            <v>D</v>
          </cell>
          <cell r="I18" t="str">
            <v>A</v>
          </cell>
          <cell r="J18" t="str">
            <v>BASC</v>
          </cell>
          <cell r="K18">
            <v>12.5</v>
          </cell>
          <cell r="L18">
            <v>20808</v>
          </cell>
          <cell r="M18">
            <v>1872</v>
          </cell>
          <cell r="N18">
            <v>1944</v>
          </cell>
          <cell r="O18">
            <v>1512</v>
          </cell>
          <cell r="P18">
            <v>2088</v>
          </cell>
          <cell r="Q18">
            <v>1656</v>
          </cell>
          <cell r="R18">
            <v>1656</v>
          </cell>
          <cell r="S18">
            <v>2016</v>
          </cell>
          <cell r="T18">
            <v>1728</v>
          </cell>
          <cell r="U18">
            <v>1656</v>
          </cell>
          <cell r="V18">
            <v>2016</v>
          </cell>
          <cell r="W18">
            <v>1944</v>
          </cell>
          <cell r="X18">
            <v>720</v>
          </cell>
        </row>
        <row r="19">
          <cell r="E19">
            <v>1000124</v>
          </cell>
          <cell r="F19" t="str">
            <v>021</v>
          </cell>
          <cell r="G19" t="str">
            <v>3453 - JUVIA'S PLACE</v>
          </cell>
          <cell r="H19" t="str">
            <v>F</v>
          </cell>
          <cell r="I19" t="str">
            <v>A</v>
          </cell>
          <cell r="J19" t="str">
            <v>BASC</v>
          </cell>
          <cell r="K19">
            <v>14.4</v>
          </cell>
          <cell r="L19">
            <v>5220</v>
          </cell>
          <cell r="M19">
            <v>270</v>
          </cell>
          <cell r="N19">
            <v>270</v>
          </cell>
          <cell r="O19">
            <v>450</v>
          </cell>
          <cell r="P19">
            <v>360</v>
          </cell>
          <cell r="Q19">
            <v>630</v>
          </cell>
          <cell r="R19">
            <v>360</v>
          </cell>
          <cell r="S19">
            <v>630</v>
          </cell>
          <cell r="T19">
            <v>360</v>
          </cell>
          <cell r="U19">
            <v>540</v>
          </cell>
          <cell r="V19">
            <v>720</v>
          </cell>
          <cell r="W19">
            <v>450</v>
          </cell>
          <cell r="X19">
            <v>180</v>
          </cell>
        </row>
        <row r="20">
          <cell r="E20">
            <v>1000702</v>
          </cell>
          <cell r="F20" t="str">
            <v>021</v>
          </cell>
          <cell r="G20" t="str">
            <v>3453 - JUVIA'S PLACE</v>
          </cell>
          <cell r="H20" t="str">
            <v>E</v>
          </cell>
          <cell r="I20" t="str">
            <v>A</v>
          </cell>
          <cell r="J20" t="str">
            <v>BASC</v>
          </cell>
          <cell r="K20">
            <v>6.5</v>
          </cell>
          <cell r="L20">
            <v>27792</v>
          </cell>
          <cell r="M20">
            <v>3456</v>
          </cell>
          <cell r="N20">
            <v>2016</v>
          </cell>
          <cell r="O20">
            <v>1584</v>
          </cell>
          <cell r="P20">
            <v>2880</v>
          </cell>
          <cell r="Q20">
            <v>2448</v>
          </cell>
          <cell r="R20">
            <v>2304</v>
          </cell>
          <cell r="S20">
            <v>2880</v>
          </cell>
          <cell r="T20">
            <v>2160</v>
          </cell>
          <cell r="U20">
            <v>1728</v>
          </cell>
          <cell r="V20">
            <v>2736</v>
          </cell>
          <cell r="W20">
            <v>2304</v>
          </cell>
          <cell r="X20">
            <v>1296</v>
          </cell>
        </row>
        <row r="21">
          <cell r="E21">
            <v>1002529</v>
          </cell>
          <cell r="F21" t="str">
            <v>021</v>
          </cell>
          <cell r="G21" t="str">
            <v>3453 - JUVIA'S PLACE</v>
          </cell>
          <cell r="H21" t="str">
            <v>D</v>
          </cell>
          <cell r="I21" t="str">
            <v>A</v>
          </cell>
          <cell r="J21" t="str">
            <v>BASC</v>
          </cell>
          <cell r="K21">
            <v>10</v>
          </cell>
          <cell r="L21">
            <v>13968</v>
          </cell>
          <cell r="M21">
            <v>1440</v>
          </cell>
          <cell r="N21">
            <v>1584</v>
          </cell>
          <cell r="O21">
            <v>720</v>
          </cell>
          <cell r="P21">
            <v>1008</v>
          </cell>
          <cell r="Q21">
            <v>864</v>
          </cell>
          <cell r="R21">
            <v>864</v>
          </cell>
          <cell r="S21">
            <v>1296</v>
          </cell>
          <cell r="T21">
            <v>1728</v>
          </cell>
          <cell r="U21">
            <v>1440</v>
          </cell>
          <cell r="V21">
            <v>1152</v>
          </cell>
          <cell r="W21">
            <v>1440</v>
          </cell>
          <cell r="X21">
            <v>432</v>
          </cell>
        </row>
        <row r="22">
          <cell r="E22">
            <v>1000123</v>
          </cell>
          <cell r="F22" t="str">
            <v>021</v>
          </cell>
          <cell r="G22" t="str">
            <v>3453 - JUVIA'S PLACE</v>
          </cell>
          <cell r="H22" t="str">
            <v>F</v>
          </cell>
          <cell r="I22" t="str">
            <v>A</v>
          </cell>
          <cell r="J22" t="str">
            <v>BASC</v>
          </cell>
          <cell r="K22">
            <v>14.4</v>
          </cell>
          <cell r="L22">
            <v>4590</v>
          </cell>
          <cell r="M22">
            <v>270</v>
          </cell>
          <cell r="N22">
            <v>270</v>
          </cell>
          <cell r="O22">
            <v>360</v>
          </cell>
          <cell r="P22">
            <v>450</v>
          </cell>
          <cell r="Q22">
            <v>360</v>
          </cell>
          <cell r="R22">
            <v>450</v>
          </cell>
          <cell r="S22">
            <v>540</v>
          </cell>
          <cell r="T22">
            <v>270</v>
          </cell>
          <cell r="U22">
            <v>540</v>
          </cell>
          <cell r="V22">
            <v>450</v>
          </cell>
          <cell r="W22">
            <v>360</v>
          </cell>
          <cell r="X22">
            <v>270</v>
          </cell>
        </row>
        <row r="23">
          <cell r="E23">
            <v>1000703</v>
          </cell>
          <cell r="F23" t="str">
            <v>021</v>
          </cell>
          <cell r="G23" t="str">
            <v>3453 - JUVIA'S PLACE</v>
          </cell>
          <cell r="H23" t="str">
            <v>E</v>
          </cell>
          <cell r="I23" t="str">
            <v>A</v>
          </cell>
          <cell r="J23" t="str">
            <v>BASC</v>
          </cell>
          <cell r="K23">
            <v>6.5</v>
          </cell>
          <cell r="L23">
            <v>15696</v>
          </cell>
          <cell r="M23">
            <v>1440</v>
          </cell>
          <cell r="N23">
            <v>1728</v>
          </cell>
          <cell r="O23">
            <v>1008</v>
          </cell>
          <cell r="P23">
            <v>1440</v>
          </cell>
          <cell r="Q23">
            <v>1440</v>
          </cell>
          <cell r="R23">
            <v>1008</v>
          </cell>
          <cell r="S23">
            <v>1584</v>
          </cell>
          <cell r="T23">
            <v>1152</v>
          </cell>
          <cell r="U23">
            <v>1296</v>
          </cell>
          <cell r="V23">
            <v>1728</v>
          </cell>
          <cell r="W23">
            <v>1296</v>
          </cell>
          <cell r="X23">
            <v>576</v>
          </cell>
        </row>
        <row r="24">
          <cell r="E24">
            <v>1001544</v>
          </cell>
          <cell r="F24" t="str">
            <v>021</v>
          </cell>
          <cell r="G24" t="str">
            <v>3453 - JUVIA'S PLACE</v>
          </cell>
          <cell r="H24" t="str">
            <v>D</v>
          </cell>
          <cell r="I24" t="str">
            <v>A</v>
          </cell>
          <cell r="J24" t="str">
            <v>BASC</v>
          </cell>
          <cell r="K24">
            <v>12</v>
          </cell>
          <cell r="L24">
            <v>27072</v>
          </cell>
          <cell r="M24">
            <v>4032</v>
          </cell>
          <cell r="N24">
            <v>2880</v>
          </cell>
          <cell r="O24">
            <v>1440</v>
          </cell>
          <cell r="P24">
            <v>3024</v>
          </cell>
          <cell r="Q24">
            <v>1728</v>
          </cell>
          <cell r="R24">
            <v>2160</v>
          </cell>
          <cell r="S24">
            <v>2448</v>
          </cell>
          <cell r="T24">
            <v>2016</v>
          </cell>
          <cell r="U24">
            <v>2160</v>
          </cell>
          <cell r="V24">
            <v>2304</v>
          </cell>
          <cell r="W24">
            <v>1872</v>
          </cell>
          <cell r="X24">
            <v>1008</v>
          </cell>
        </row>
        <row r="25">
          <cell r="E25">
            <v>1200229</v>
          </cell>
          <cell r="F25" t="str">
            <v>021</v>
          </cell>
          <cell r="G25" t="str">
            <v>3453 - JUVIA'S PLACE</v>
          </cell>
          <cell r="H25" t="str">
            <v>F</v>
          </cell>
          <cell r="I25" t="str">
            <v>A</v>
          </cell>
          <cell r="J25" t="str">
            <v>BASC</v>
          </cell>
          <cell r="K25">
            <v>7.5</v>
          </cell>
          <cell r="L25">
            <v>3600</v>
          </cell>
          <cell r="M25">
            <v>0</v>
          </cell>
          <cell r="N25">
            <v>0</v>
          </cell>
          <cell r="O25">
            <v>144</v>
          </cell>
          <cell r="P25">
            <v>288</v>
          </cell>
          <cell r="Q25">
            <v>432</v>
          </cell>
          <cell r="R25">
            <v>432</v>
          </cell>
          <cell r="S25">
            <v>432</v>
          </cell>
          <cell r="T25">
            <v>288</v>
          </cell>
          <cell r="U25">
            <v>432</v>
          </cell>
          <cell r="V25">
            <v>576</v>
          </cell>
          <cell r="W25">
            <v>576</v>
          </cell>
          <cell r="X25">
            <v>0</v>
          </cell>
        </row>
        <row r="26">
          <cell r="E26">
            <v>1200235</v>
          </cell>
          <cell r="F26" t="str">
            <v>021</v>
          </cell>
          <cell r="G26" t="str">
            <v>3453 - JUVIA'S PLACE</v>
          </cell>
          <cell r="H26" t="str">
            <v>F</v>
          </cell>
          <cell r="I26" t="str">
            <v>A</v>
          </cell>
          <cell r="J26" t="str">
            <v>BASC</v>
          </cell>
          <cell r="K26">
            <v>7.5</v>
          </cell>
          <cell r="L26">
            <v>4176</v>
          </cell>
          <cell r="M26">
            <v>0</v>
          </cell>
          <cell r="N26">
            <v>288</v>
          </cell>
          <cell r="O26">
            <v>144</v>
          </cell>
          <cell r="P26">
            <v>432</v>
          </cell>
          <cell r="Q26">
            <v>288</v>
          </cell>
          <cell r="R26">
            <v>432</v>
          </cell>
          <cell r="S26">
            <v>288</v>
          </cell>
          <cell r="T26">
            <v>576</v>
          </cell>
          <cell r="U26">
            <v>288</v>
          </cell>
          <cell r="V26">
            <v>864</v>
          </cell>
          <cell r="W26">
            <v>288</v>
          </cell>
          <cell r="X26">
            <v>288</v>
          </cell>
        </row>
        <row r="27">
          <cell r="E27">
            <v>1200244</v>
          </cell>
          <cell r="F27" t="str">
            <v>021</v>
          </cell>
          <cell r="G27" t="str">
            <v>3453 - JUVIA'S PLACE</v>
          </cell>
          <cell r="H27" t="str">
            <v>F</v>
          </cell>
          <cell r="I27" t="str">
            <v>A</v>
          </cell>
          <cell r="J27" t="str">
            <v>BASC</v>
          </cell>
          <cell r="K27">
            <v>12.5</v>
          </cell>
          <cell r="L27">
            <v>7920</v>
          </cell>
          <cell r="M27">
            <v>576</v>
          </cell>
          <cell r="N27">
            <v>576</v>
          </cell>
          <cell r="O27">
            <v>504</v>
          </cell>
          <cell r="P27">
            <v>864</v>
          </cell>
          <cell r="Q27">
            <v>576</v>
          </cell>
          <cell r="R27">
            <v>648</v>
          </cell>
          <cell r="S27">
            <v>720</v>
          </cell>
          <cell r="T27">
            <v>648</v>
          </cell>
          <cell r="U27">
            <v>720</v>
          </cell>
          <cell r="V27">
            <v>936</v>
          </cell>
          <cell r="W27">
            <v>792</v>
          </cell>
          <cell r="X27">
            <v>360</v>
          </cell>
        </row>
        <row r="28">
          <cell r="E28">
            <v>1200503</v>
          </cell>
          <cell r="F28" t="str">
            <v>021</v>
          </cell>
          <cell r="G28" t="str">
            <v>3453 - JUVIA'S PLACE</v>
          </cell>
          <cell r="H28" t="str">
            <v>D</v>
          </cell>
          <cell r="I28" t="str">
            <v>A</v>
          </cell>
          <cell r="J28" t="str">
            <v>BASC</v>
          </cell>
          <cell r="K28">
            <v>6.5</v>
          </cell>
          <cell r="L28">
            <v>12960</v>
          </cell>
          <cell r="M28">
            <v>1296</v>
          </cell>
          <cell r="N28">
            <v>1296</v>
          </cell>
          <cell r="O28">
            <v>720</v>
          </cell>
          <cell r="P28">
            <v>1296</v>
          </cell>
          <cell r="Q28">
            <v>1008</v>
          </cell>
          <cell r="R28">
            <v>864</v>
          </cell>
          <cell r="S28">
            <v>1296</v>
          </cell>
          <cell r="T28">
            <v>1008</v>
          </cell>
          <cell r="U28">
            <v>1008</v>
          </cell>
          <cell r="V28">
            <v>1440</v>
          </cell>
          <cell r="W28">
            <v>1152</v>
          </cell>
          <cell r="X28">
            <v>576</v>
          </cell>
        </row>
        <row r="29">
          <cell r="E29">
            <v>1001540</v>
          </cell>
          <cell r="F29" t="str">
            <v>021</v>
          </cell>
          <cell r="G29" t="str">
            <v>3453 - JUVIA'S PLACE</v>
          </cell>
          <cell r="H29" t="str">
            <v>D</v>
          </cell>
          <cell r="I29" t="str">
            <v>A</v>
          </cell>
          <cell r="J29" t="str">
            <v>BASC</v>
          </cell>
          <cell r="K29">
            <v>12</v>
          </cell>
          <cell r="L29">
            <v>44784</v>
          </cell>
          <cell r="M29">
            <v>5472</v>
          </cell>
          <cell r="N29">
            <v>3024</v>
          </cell>
          <cell r="O29">
            <v>2880</v>
          </cell>
          <cell r="P29">
            <v>4752</v>
          </cell>
          <cell r="Q29">
            <v>3456</v>
          </cell>
          <cell r="R29">
            <v>3456</v>
          </cell>
          <cell r="S29">
            <v>4608</v>
          </cell>
          <cell r="T29">
            <v>3456</v>
          </cell>
          <cell r="U29">
            <v>3456</v>
          </cell>
          <cell r="V29">
            <v>4608</v>
          </cell>
          <cell r="W29">
            <v>3744</v>
          </cell>
          <cell r="X29">
            <v>1872</v>
          </cell>
        </row>
        <row r="30">
          <cell r="E30">
            <v>1002107</v>
          </cell>
          <cell r="F30" t="str">
            <v>021</v>
          </cell>
          <cell r="G30" t="str">
            <v>3453 - JUVIA'S PLACE</v>
          </cell>
          <cell r="H30" t="str">
            <v>E</v>
          </cell>
          <cell r="I30" t="str">
            <v>A</v>
          </cell>
          <cell r="J30" t="str">
            <v>BASC</v>
          </cell>
          <cell r="K30">
            <v>12.5</v>
          </cell>
          <cell r="L30">
            <v>11040</v>
          </cell>
          <cell r="M30">
            <v>1728</v>
          </cell>
          <cell r="N30">
            <v>1536</v>
          </cell>
          <cell r="O30">
            <v>384</v>
          </cell>
          <cell r="P30">
            <v>768</v>
          </cell>
          <cell r="Q30">
            <v>768</v>
          </cell>
          <cell r="R30">
            <v>768</v>
          </cell>
          <cell r="S30">
            <v>864</v>
          </cell>
          <cell r="T30">
            <v>960</v>
          </cell>
          <cell r="U30">
            <v>864</v>
          </cell>
          <cell r="V30">
            <v>1056</v>
          </cell>
          <cell r="W30">
            <v>960</v>
          </cell>
          <cell r="X30">
            <v>384</v>
          </cell>
        </row>
        <row r="31">
          <cell r="E31">
            <v>1200226</v>
          </cell>
          <cell r="F31" t="str">
            <v>021</v>
          </cell>
          <cell r="G31" t="str">
            <v>3453 - JUVIA'S PLACE</v>
          </cell>
          <cell r="H31" t="str">
            <v>F</v>
          </cell>
          <cell r="I31" t="str">
            <v>A</v>
          </cell>
          <cell r="J31" t="str">
            <v>BASC</v>
          </cell>
          <cell r="K31">
            <v>7.5</v>
          </cell>
          <cell r="L31">
            <v>2448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432</v>
          </cell>
          <cell r="R31">
            <v>144</v>
          </cell>
          <cell r="S31">
            <v>288</v>
          </cell>
          <cell r="T31">
            <v>288</v>
          </cell>
          <cell r="U31">
            <v>288</v>
          </cell>
          <cell r="V31">
            <v>432</v>
          </cell>
          <cell r="W31">
            <v>288</v>
          </cell>
          <cell r="X31">
            <v>288</v>
          </cell>
        </row>
        <row r="32">
          <cell r="E32">
            <v>1200501</v>
          </cell>
          <cell r="F32" t="str">
            <v>021</v>
          </cell>
          <cell r="G32" t="str">
            <v>3453 - JUVIA'S PLACE</v>
          </cell>
          <cell r="H32" t="str">
            <v>E</v>
          </cell>
          <cell r="I32" t="str">
            <v>A</v>
          </cell>
          <cell r="J32" t="str">
            <v>BASC</v>
          </cell>
          <cell r="K32">
            <v>6.5</v>
          </cell>
          <cell r="L32">
            <v>6192</v>
          </cell>
          <cell r="M32">
            <v>144</v>
          </cell>
          <cell r="N32">
            <v>576</v>
          </cell>
          <cell r="O32">
            <v>288</v>
          </cell>
          <cell r="P32">
            <v>720</v>
          </cell>
          <cell r="Q32">
            <v>288</v>
          </cell>
          <cell r="R32">
            <v>576</v>
          </cell>
          <cell r="S32">
            <v>864</v>
          </cell>
          <cell r="T32">
            <v>576</v>
          </cell>
          <cell r="U32">
            <v>576</v>
          </cell>
          <cell r="V32">
            <v>720</v>
          </cell>
          <cell r="W32">
            <v>576</v>
          </cell>
          <cell r="X32">
            <v>288</v>
          </cell>
        </row>
        <row r="33">
          <cell r="E33">
            <v>1200498</v>
          </cell>
          <cell r="F33" t="str">
            <v>021</v>
          </cell>
          <cell r="G33" t="str">
            <v>3453 - JUVIA'S PLACE</v>
          </cell>
          <cell r="H33" t="str">
            <v>D</v>
          </cell>
          <cell r="I33" t="str">
            <v>A</v>
          </cell>
          <cell r="J33" t="str">
            <v>BASC</v>
          </cell>
          <cell r="K33">
            <v>6.5</v>
          </cell>
          <cell r="L33">
            <v>21024</v>
          </cell>
          <cell r="M33">
            <v>2448</v>
          </cell>
          <cell r="N33">
            <v>2160</v>
          </cell>
          <cell r="O33">
            <v>1152</v>
          </cell>
          <cell r="P33">
            <v>1872</v>
          </cell>
          <cell r="Q33">
            <v>1728</v>
          </cell>
          <cell r="R33">
            <v>1440</v>
          </cell>
          <cell r="S33">
            <v>2160</v>
          </cell>
          <cell r="T33">
            <v>1728</v>
          </cell>
          <cell r="U33">
            <v>1440</v>
          </cell>
          <cell r="V33">
            <v>2016</v>
          </cell>
          <cell r="W33">
            <v>1872</v>
          </cell>
          <cell r="X33">
            <v>1008</v>
          </cell>
        </row>
        <row r="34">
          <cell r="E34">
            <v>1200525</v>
          </cell>
          <cell r="F34" t="str">
            <v>021</v>
          </cell>
          <cell r="G34" t="str">
            <v>3453 - JUVIA'S PLACE</v>
          </cell>
          <cell r="H34" t="str">
            <v>E</v>
          </cell>
          <cell r="I34" t="str">
            <v>A</v>
          </cell>
          <cell r="J34" t="str">
            <v>BASC</v>
          </cell>
          <cell r="K34">
            <v>6.5</v>
          </cell>
          <cell r="L34">
            <v>12384</v>
          </cell>
          <cell r="M34">
            <v>1152</v>
          </cell>
          <cell r="N34">
            <v>1584</v>
          </cell>
          <cell r="O34">
            <v>720</v>
          </cell>
          <cell r="P34">
            <v>1152</v>
          </cell>
          <cell r="Q34">
            <v>864</v>
          </cell>
          <cell r="R34">
            <v>1008</v>
          </cell>
          <cell r="S34">
            <v>1152</v>
          </cell>
          <cell r="T34">
            <v>1008</v>
          </cell>
          <cell r="U34">
            <v>1008</v>
          </cell>
          <cell r="V34">
            <v>1296</v>
          </cell>
          <cell r="W34">
            <v>1152</v>
          </cell>
          <cell r="X34">
            <v>288</v>
          </cell>
        </row>
        <row r="35">
          <cell r="E35">
            <v>1000119</v>
          </cell>
          <cell r="F35" t="str">
            <v>021</v>
          </cell>
          <cell r="G35" t="str">
            <v>3453 - JUVIA'S PLACE</v>
          </cell>
          <cell r="H35" t="str">
            <v>F</v>
          </cell>
          <cell r="I35" t="str">
            <v>A</v>
          </cell>
          <cell r="J35" t="str">
            <v>BASC</v>
          </cell>
          <cell r="K35">
            <v>14.4</v>
          </cell>
          <cell r="L35">
            <v>2610</v>
          </cell>
          <cell r="M35">
            <v>0</v>
          </cell>
          <cell r="N35">
            <v>0</v>
          </cell>
          <cell r="O35">
            <v>270</v>
          </cell>
          <cell r="P35">
            <v>270</v>
          </cell>
          <cell r="Q35">
            <v>270</v>
          </cell>
          <cell r="R35">
            <v>180</v>
          </cell>
          <cell r="S35">
            <v>360</v>
          </cell>
          <cell r="T35">
            <v>270</v>
          </cell>
          <cell r="U35">
            <v>90</v>
          </cell>
          <cell r="V35">
            <v>450</v>
          </cell>
          <cell r="W35">
            <v>180</v>
          </cell>
          <cell r="X35">
            <v>270</v>
          </cell>
        </row>
        <row r="36">
          <cell r="E36">
            <v>1000139</v>
          </cell>
          <cell r="F36" t="str">
            <v>021</v>
          </cell>
          <cell r="G36" t="str">
            <v>3453 - JUVIA'S PLACE</v>
          </cell>
          <cell r="H36" t="str">
            <v>F</v>
          </cell>
          <cell r="I36" t="str">
            <v>A</v>
          </cell>
          <cell r="J36" t="str">
            <v>BASC</v>
          </cell>
          <cell r="K36">
            <v>14.4</v>
          </cell>
          <cell r="L36">
            <v>3420</v>
          </cell>
          <cell r="M36">
            <v>90</v>
          </cell>
          <cell r="N36">
            <v>180</v>
          </cell>
          <cell r="O36">
            <v>180</v>
          </cell>
          <cell r="P36">
            <v>450</v>
          </cell>
          <cell r="Q36">
            <v>270</v>
          </cell>
          <cell r="R36">
            <v>360</v>
          </cell>
          <cell r="S36">
            <v>360</v>
          </cell>
          <cell r="T36">
            <v>360</v>
          </cell>
          <cell r="U36">
            <v>360</v>
          </cell>
          <cell r="V36">
            <v>360</v>
          </cell>
          <cell r="W36">
            <v>360</v>
          </cell>
          <cell r="X36">
            <v>90</v>
          </cell>
        </row>
        <row r="37">
          <cell r="E37">
            <v>1000140</v>
          </cell>
          <cell r="F37" t="str">
            <v>021</v>
          </cell>
          <cell r="G37" t="str">
            <v>3453 - JUVIA'S PLACE</v>
          </cell>
          <cell r="H37" t="str">
            <v>F</v>
          </cell>
          <cell r="I37" t="str">
            <v>A</v>
          </cell>
          <cell r="J37" t="str">
            <v>BASC</v>
          </cell>
          <cell r="K37">
            <v>14.4</v>
          </cell>
          <cell r="L37">
            <v>3060</v>
          </cell>
          <cell r="M37">
            <v>90</v>
          </cell>
          <cell r="N37">
            <v>180</v>
          </cell>
          <cell r="O37">
            <v>270</v>
          </cell>
          <cell r="P37">
            <v>180</v>
          </cell>
          <cell r="Q37">
            <v>360</v>
          </cell>
          <cell r="R37">
            <v>360</v>
          </cell>
          <cell r="S37">
            <v>270</v>
          </cell>
          <cell r="T37">
            <v>270</v>
          </cell>
          <cell r="U37">
            <v>360</v>
          </cell>
          <cell r="V37">
            <v>270</v>
          </cell>
          <cell r="W37">
            <v>270</v>
          </cell>
          <cell r="X37">
            <v>180</v>
          </cell>
        </row>
        <row r="38">
          <cell r="E38">
            <v>1000118</v>
          </cell>
          <cell r="F38" t="str">
            <v>021</v>
          </cell>
          <cell r="G38" t="str">
            <v>3453 - JUVIA'S PLACE</v>
          </cell>
          <cell r="H38" t="str">
            <v>F</v>
          </cell>
          <cell r="I38" t="str">
            <v>A</v>
          </cell>
          <cell r="J38" t="str">
            <v>BASC</v>
          </cell>
          <cell r="K38">
            <v>14.4</v>
          </cell>
          <cell r="L38">
            <v>3240</v>
          </cell>
          <cell r="M38">
            <v>270</v>
          </cell>
          <cell r="N38">
            <v>180</v>
          </cell>
          <cell r="O38">
            <v>270</v>
          </cell>
          <cell r="P38">
            <v>180</v>
          </cell>
          <cell r="Q38">
            <v>360</v>
          </cell>
          <cell r="R38">
            <v>270</v>
          </cell>
          <cell r="S38">
            <v>270</v>
          </cell>
          <cell r="T38">
            <v>360</v>
          </cell>
          <cell r="U38">
            <v>180</v>
          </cell>
          <cell r="V38">
            <v>450</v>
          </cell>
          <cell r="W38">
            <v>180</v>
          </cell>
          <cell r="X38">
            <v>270</v>
          </cell>
        </row>
        <row r="39">
          <cell r="E39">
            <v>1000116</v>
          </cell>
          <cell r="F39" t="str">
            <v>021</v>
          </cell>
          <cell r="G39" t="str">
            <v>3453 - JUVIA'S PLACE</v>
          </cell>
          <cell r="H39" t="str">
            <v>F</v>
          </cell>
          <cell r="I39" t="str">
            <v>A</v>
          </cell>
          <cell r="J39" t="str">
            <v>BASC</v>
          </cell>
          <cell r="K39">
            <v>14.4</v>
          </cell>
          <cell r="L39">
            <v>2160</v>
          </cell>
          <cell r="M39">
            <v>90</v>
          </cell>
          <cell r="N39">
            <v>90</v>
          </cell>
          <cell r="O39">
            <v>90</v>
          </cell>
          <cell r="P39">
            <v>180</v>
          </cell>
          <cell r="Q39">
            <v>270</v>
          </cell>
          <cell r="R39">
            <v>180</v>
          </cell>
          <cell r="S39">
            <v>270</v>
          </cell>
          <cell r="T39">
            <v>270</v>
          </cell>
          <cell r="U39">
            <v>90</v>
          </cell>
          <cell r="V39">
            <v>270</v>
          </cell>
          <cell r="W39">
            <v>360</v>
          </cell>
          <cell r="X39">
            <v>0</v>
          </cell>
        </row>
        <row r="40">
          <cell r="E40">
            <v>1000115</v>
          </cell>
          <cell r="F40" t="str">
            <v>021</v>
          </cell>
          <cell r="G40" t="str">
            <v>3453 - JUVIA'S PLACE</v>
          </cell>
          <cell r="H40" t="str">
            <v>F</v>
          </cell>
          <cell r="I40" t="str">
            <v>A</v>
          </cell>
          <cell r="J40" t="str">
            <v>BASC</v>
          </cell>
          <cell r="K40">
            <v>14.4</v>
          </cell>
          <cell r="L40">
            <v>2430</v>
          </cell>
          <cell r="M40">
            <v>0</v>
          </cell>
          <cell r="N40">
            <v>90</v>
          </cell>
          <cell r="O40">
            <v>180</v>
          </cell>
          <cell r="P40">
            <v>270</v>
          </cell>
          <cell r="Q40">
            <v>270</v>
          </cell>
          <cell r="R40">
            <v>90</v>
          </cell>
          <cell r="S40">
            <v>450</v>
          </cell>
          <cell r="T40">
            <v>90</v>
          </cell>
          <cell r="U40">
            <v>360</v>
          </cell>
          <cell r="V40">
            <v>270</v>
          </cell>
          <cell r="W40">
            <v>360</v>
          </cell>
          <cell r="X40">
            <v>0</v>
          </cell>
        </row>
        <row r="41">
          <cell r="E41">
            <v>1000121</v>
          </cell>
          <cell r="F41" t="str">
            <v>021</v>
          </cell>
          <cell r="G41" t="str">
            <v>3453 - JUVIA'S PLACE</v>
          </cell>
          <cell r="H41" t="str">
            <v>F</v>
          </cell>
          <cell r="I41" t="str">
            <v>A</v>
          </cell>
          <cell r="J41" t="str">
            <v>BASC</v>
          </cell>
          <cell r="K41">
            <v>14.4</v>
          </cell>
          <cell r="L41">
            <v>2880</v>
          </cell>
          <cell r="M41">
            <v>90</v>
          </cell>
          <cell r="N41">
            <v>90</v>
          </cell>
          <cell r="O41">
            <v>180</v>
          </cell>
          <cell r="P41">
            <v>360</v>
          </cell>
          <cell r="Q41">
            <v>180</v>
          </cell>
          <cell r="R41">
            <v>270</v>
          </cell>
          <cell r="S41">
            <v>450</v>
          </cell>
          <cell r="T41">
            <v>360</v>
          </cell>
          <cell r="U41">
            <v>180</v>
          </cell>
          <cell r="V41">
            <v>450</v>
          </cell>
          <cell r="W41">
            <v>180</v>
          </cell>
          <cell r="X41">
            <v>90</v>
          </cell>
        </row>
        <row r="42">
          <cell r="E42">
            <v>1000145</v>
          </cell>
          <cell r="F42" t="str">
            <v>021</v>
          </cell>
          <cell r="G42" t="str">
            <v>3453 - JUVIA'S PLACE</v>
          </cell>
          <cell r="H42" t="str">
            <v>F</v>
          </cell>
          <cell r="I42" t="str">
            <v>A</v>
          </cell>
          <cell r="J42" t="str">
            <v>BASC</v>
          </cell>
          <cell r="K42">
            <v>14.4</v>
          </cell>
          <cell r="L42">
            <v>2250</v>
          </cell>
          <cell r="M42">
            <v>90</v>
          </cell>
          <cell r="N42">
            <v>90</v>
          </cell>
          <cell r="O42">
            <v>90</v>
          </cell>
          <cell r="P42">
            <v>270</v>
          </cell>
          <cell r="Q42">
            <v>270</v>
          </cell>
          <cell r="R42">
            <v>180</v>
          </cell>
          <cell r="S42">
            <v>270</v>
          </cell>
          <cell r="T42">
            <v>180</v>
          </cell>
          <cell r="U42">
            <v>180</v>
          </cell>
          <cell r="V42">
            <v>270</v>
          </cell>
          <cell r="W42">
            <v>180</v>
          </cell>
          <cell r="X42">
            <v>180</v>
          </cell>
        </row>
        <row r="43">
          <cell r="E43">
            <v>1000142</v>
          </cell>
          <cell r="F43" t="str">
            <v>021</v>
          </cell>
          <cell r="G43" t="str">
            <v>3453 - JUVIA'S PLACE</v>
          </cell>
          <cell r="H43" t="str">
            <v>F</v>
          </cell>
          <cell r="I43" t="str">
            <v>A</v>
          </cell>
          <cell r="J43" t="str">
            <v>BASC</v>
          </cell>
          <cell r="K43">
            <v>14.4</v>
          </cell>
          <cell r="L43">
            <v>3870</v>
          </cell>
          <cell r="M43">
            <v>360</v>
          </cell>
          <cell r="N43">
            <v>90</v>
          </cell>
          <cell r="O43">
            <v>270</v>
          </cell>
          <cell r="P43">
            <v>450</v>
          </cell>
          <cell r="Q43">
            <v>360</v>
          </cell>
          <cell r="R43">
            <v>360</v>
          </cell>
          <cell r="S43">
            <v>360</v>
          </cell>
          <cell r="T43">
            <v>270</v>
          </cell>
          <cell r="U43">
            <v>450</v>
          </cell>
          <cell r="V43">
            <v>360</v>
          </cell>
          <cell r="W43">
            <v>450</v>
          </cell>
          <cell r="X43">
            <v>90</v>
          </cell>
        </row>
        <row r="44">
          <cell r="E44">
            <v>1000134</v>
          </cell>
          <cell r="F44" t="str">
            <v>021</v>
          </cell>
          <cell r="G44" t="str">
            <v>3453 - JUVIA'S PLACE</v>
          </cell>
          <cell r="H44" t="str">
            <v>F</v>
          </cell>
          <cell r="I44" t="str">
            <v>A</v>
          </cell>
          <cell r="J44" t="str">
            <v>BASC</v>
          </cell>
          <cell r="K44">
            <v>14.4</v>
          </cell>
          <cell r="L44">
            <v>4140</v>
          </cell>
          <cell r="M44">
            <v>270</v>
          </cell>
          <cell r="N44">
            <v>180</v>
          </cell>
          <cell r="O44">
            <v>270</v>
          </cell>
          <cell r="P44">
            <v>270</v>
          </cell>
          <cell r="Q44">
            <v>360</v>
          </cell>
          <cell r="R44">
            <v>450</v>
          </cell>
          <cell r="S44">
            <v>360</v>
          </cell>
          <cell r="T44">
            <v>540</v>
          </cell>
          <cell r="U44">
            <v>450</v>
          </cell>
          <cell r="V44">
            <v>360</v>
          </cell>
          <cell r="W44">
            <v>540</v>
          </cell>
          <cell r="X44">
            <v>90</v>
          </cell>
        </row>
        <row r="45">
          <cell r="E45">
            <v>1000137</v>
          </cell>
          <cell r="F45" t="str">
            <v>021</v>
          </cell>
          <cell r="G45" t="str">
            <v>3453 - JUVIA'S PLACE</v>
          </cell>
          <cell r="H45" t="str">
            <v>F</v>
          </cell>
          <cell r="I45" t="str">
            <v>A</v>
          </cell>
          <cell r="J45" t="str">
            <v>BASC</v>
          </cell>
          <cell r="K45">
            <v>14.4</v>
          </cell>
          <cell r="L45">
            <v>3060</v>
          </cell>
          <cell r="M45">
            <v>270</v>
          </cell>
          <cell r="N45">
            <v>180</v>
          </cell>
          <cell r="O45">
            <v>180</v>
          </cell>
          <cell r="P45">
            <v>270</v>
          </cell>
          <cell r="Q45">
            <v>360</v>
          </cell>
          <cell r="R45">
            <v>180</v>
          </cell>
          <cell r="S45">
            <v>360</v>
          </cell>
          <cell r="T45">
            <v>180</v>
          </cell>
          <cell r="U45">
            <v>270</v>
          </cell>
          <cell r="V45">
            <v>450</v>
          </cell>
          <cell r="W45">
            <v>270</v>
          </cell>
          <cell r="X45">
            <v>90</v>
          </cell>
        </row>
        <row r="46">
          <cell r="E46">
            <v>1000122</v>
          </cell>
          <cell r="F46" t="str">
            <v>021</v>
          </cell>
          <cell r="G46" t="str">
            <v>3453 - JUVIA'S PLACE</v>
          </cell>
          <cell r="H46" t="str">
            <v>F</v>
          </cell>
          <cell r="I46" t="str">
            <v>A</v>
          </cell>
          <cell r="J46" t="str">
            <v>BASC</v>
          </cell>
          <cell r="K46">
            <v>14.4</v>
          </cell>
          <cell r="L46">
            <v>3510</v>
          </cell>
          <cell r="M46">
            <v>90</v>
          </cell>
          <cell r="N46">
            <v>270</v>
          </cell>
          <cell r="O46">
            <v>270</v>
          </cell>
          <cell r="P46">
            <v>270</v>
          </cell>
          <cell r="Q46">
            <v>450</v>
          </cell>
          <cell r="R46">
            <v>180</v>
          </cell>
          <cell r="S46">
            <v>450</v>
          </cell>
          <cell r="T46">
            <v>270</v>
          </cell>
          <cell r="U46">
            <v>270</v>
          </cell>
          <cell r="V46">
            <v>450</v>
          </cell>
          <cell r="W46">
            <v>270</v>
          </cell>
          <cell r="X46">
            <v>270</v>
          </cell>
        </row>
        <row r="47">
          <cell r="E47">
            <v>1000130</v>
          </cell>
          <cell r="F47" t="str">
            <v>021</v>
          </cell>
          <cell r="G47" t="str">
            <v>3453 - JUVIA'S PLACE</v>
          </cell>
          <cell r="H47" t="str">
            <v>F</v>
          </cell>
          <cell r="I47" t="str">
            <v>A</v>
          </cell>
          <cell r="J47" t="str">
            <v>BASC</v>
          </cell>
          <cell r="K47">
            <v>14.4</v>
          </cell>
          <cell r="L47">
            <v>2880</v>
          </cell>
          <cell r="M47">
            <v>90</v>
          </cell>
          <cell r="N47">
            <v>270</v>
          </cell>
          <cell r="O47">
            <v>270</v>
          </cell>
          <cell r="P47">
            <v>180</v>
          </cell>
          <cell r="Q47">
            <v>270</v>
          </cell>
          <cell r="R47">
            <v>270</v>
          </cell>
          <cell r="S47">
            <v>270</v>
          </cell>
          <cell r="T47">
            <v>360</v>
          </cell>
          <cell r="U47">
            <v>180</v>
          </cell>
          <cell r="V47">
            <v>360</v>
          </cell>
          <cell r="W47">
            <v>270</v>
          </cell>
          <cell r="X47">
            <v>90</v>
          </cell>
        </row>
        <row r="48">
          <cell r="E48">
            <v>1000150</v>
          </cell>
          <cell r="F48" t="str">
            <v>021</v>
          </cell>
          <cell r="G48" t="str">
            <v>3453 - JUVIA'S PLACE</v>
          </cell>
          <cell r="H48" t="str">
            <v>F</v>
          </cell>
          <cell r="I48" t="str">
            <v>A</v>
          </cell>
          <cell r="J48" t="str">
            <v>BASC</v>
          </cell>
          <cell r="K48">
            <v>14.4</v>
          </cell>
          <cell r="L48">
            <v>2880</v>
          </cell>
          <cell r="M48">
            <v>180</v>
          </cell>
          <cell r="N48">
            <v>90</v>
          </cell>
          <cell r="O48">
            <v>270</v>
          </cell>
          <cell r="P48">
            <v>270</v>
          </cell>
          <cell r="Q48">
            <v>270</v>
          </cell>
          <cell r="R48">
            <v>180</v>
          </cell>
          <cell r="S48">
            <v>270</v>
          </cell>
          <cell r="T48">
            <v>270</v>
          </cell>
          <cell r="U48">
            <v>360</v>
          </cell>
          <cell r="V48">
            <v>270</v>
          </cell>
          <cell r="W48">
            <v>360</v>
          </cell>
          <cell r="X48">
            <v>90</v>
          </cell>
        </row>
        <row r="49">
          <cell r="E49">
            <v>1000133</v>
          </cell>
          <cell r="F49" t="str">
            <v>021</v>
          </cell>
          <cell r="G49" t="str">
            <v>3453 - JUVIA'S PLACE</v>
          </cell>
          <cell r="H49" t="str">
            <v>F</v>
          </cell>
          <cell r="I49" t="str">
            <v>A</v>
          </cell>
          <cell r="J49" t="str">
            <v>BASC</v>
          </cell>
          <cell r="K49">
            <v>14.4</v>
          </cell>
          <cell r="L49">
            <v>4050</v>
          </cell>
          <cell r="M49">
            <v>270</v>
          </cell>
          <cell r="N49">
            <v>270</v>
          </cell>
          <cell r="O49">
            <v>270</v>
          </cell>
          <cell r="P49">
            <v>360</v>
          </cell>
          <cell r="Q49">
            <v>360</v>
          </cell>
          <cell r="R49">
            <v>180</v>
          </cell>
          <cell r="S49">
            <v>540</v>
          </cell>
          <cell r="T49">
            <v>270</v>
          </cell>
          <cell r="U49">
            <v>360</v>
          </cell>
          <cell r="V49">
            <v>450</v>
          </cell>
          <cell r="W49">
            <v>540</v>
          </cell>
          <cell r="X49">
            <v>180</v>
          </cell>
        </row>
        <row r="50">
          <cell r="E50">
            <v>1000589</v>
          </cell>
          <cell r="F50" t="str">
            <v>021</v>
          </cell>
          <cell r="G50" t="str">
            <v>3453 - JUVIA'S PLACE</v>
          </cell>
          <cell r="H50" t="str">
            <v>D</v>
          </cell>
          <cell r="I50" t="str">
            <v>A</v>
          </cell>
          <cell r="J50" t="str">
            <v>BASC</v>
          </cell>
          <cell r="K50">
            <v>9</v>
          </cell>
          <cell r="L50">
            <v>24480</v>
          </cell>
          <cell r="M50">
            <v>3024</v>
          </cell>
          <cell r="N50">
            <v>2160</v>
          </cell>
          <cell r="O50">
            <v>1728</v>
          </cell>
          <cell r="P50">
            <v>2736</v>
          </cell>
          <cell r="Q50">
            <v>2592</v>
          </cell>
          <cell r="R50">
            <v>1872</v>
          </cell>
          <cell r="S50">
            <v>2592</v>
          </cell>
          <cell r="T50">
            <v>1872</v>
          </cell>
          <cell r="U50">
            <v>1440</v>
          </cell>
          <cell r="V50">
            <v>2016</v>
          </cell>
          <cell r="W50">
            <v>1584</v>
          </cell>
          <cell r="X50">
            <v>864</v>
          </cell>
        </row>
        <row r="51">
          <cell r="E51">
            <v>1000673</v>
          </cell>
          <cell r="F51" t="str">
            <v>021</v>
          </cell>
          <cell r="G51" t="str">
            <v>3453 - JUVIA'S PLACE</v>
          </cell>
          <cell r="H51" t="str">
            <v>F</v>
          </cell>
          <cell r="I51" t="str">
            <v>A</v>
          </cell>
          <cell r="J51" t="str">
            <v>BASC</v>
          </cell>
          <cell r="K51">
            <v>7.5</v>
          </cell>
          <cell r="L51">
            <v>3744</v>
          </cell>
          <cell r="M51">
            <v>288</v>
          </cell>
          <cell r="N51">
            <v>288</v>
          </cell>
          <cell r="O51">
            <v>288</v>
          </cell>
          <cell r="P51">
            <v>144</v>
          </cell>
          <cell r="Q51">
            <v>576</v>
          </cell>
          <cell r="R51">
            <v>144</v>
          </cell>
          <cell r="S51">
            <v>432</v>
          </cell>
          <cell r="T51">
            <v>288</v>
          </cell>
          <cell r="U51">
            <v>144</v>
          </cell>
          <cell r="V51">
            <v>432</v>
          </cell>
          <cell r="W51">
            <v>144</v>
          </cell>
          <cell r="X51">
            <v>576</v>
          </cell>
        </row>
        <row r="52">
          <cell r="E52">
            <v>1000773</v>
          </cell>
          <cell r="F52" t="str">
            <v>021</v>
          </cell>
          <cell r="G52" t="str">
            <v>3453 - JUVIA'S PLACE</v>
          </cell>
          <cell r="H52" t="str">
            <v>E</v>
          </cell>
          <cell r="I52" t="str">
            <v>A</v>
          </cell>
          <cell r="J52" t="str">
            <v>BASC</v>
          </cell>
          <cell r="K52">
            <v>7.5</v>
          </cell>
          <cell r="L52">
            <v>9216</v>
          </cell>
          <cell r="M52">
            <v>1008</v>
          </cell>
          <cell r="N52">
            <v>1008</v>
          </cell>
          <cell r="O52">
            <v>432</v>
          </cell>
          <cell r="P52">
            <v>864</v>
          </cell>
          <cell r="Q52">
            <v>720</v>
          </cell>
          <cell r="R52">
            <v>720</v>
          </cell>
          <cell r="S52">
            <v>720</v>
          </cell>
          <cell r="T52">
            <v>720</v>
          </cell>
          <cell r="U52">
            <v>720</v>
          </cell>
          <cell r="V52">
            <v>1008</v>
          </cell>
          <cell r="W52">
            <v>864</v>
          </cell>
          <cell r="X52">
            <v>432</v>
          </cell>
        </row>
        <row r="53">
          <cell r="E53">
            <v>1001090</v>
          </cell>
          <cell r="F53" t="str">
            <v>021</v>
          </cell>
          <cell r="G53" t="str">
            <v>3453 - JUVIA'S PLACE</v>
          </cell>
          <cell r="H53" t="str">
            <v>E</v>
          </cell>
          <cell r="I53" t="str">
            <v>A</v>
          </cell>
          <cell r="J53" t="str">
            <v>BASC</v>
          </cell>
          <cell r="K53">
            <v>6.5</v>
          </cell>
          <cell r="L53">
            <v>12816</v>
          </cell>
          <cell r="M53">
            <v>1728</v>
          </cell>
          <cell r="N53">
            <v>1152</v>
          </cell>
          <cell r="O53">
            <v>864</v>
          </cell>
          <cell r="P53">
            <v>864</v>
          </cell>
          <cell r="Q53">
            <v>1296</v>
          </cell>
          <cell r="R53">
            <v>1008</v>
          </cell>
          <cell r="S53">
            <v>1152</v>
          </cell>
          <cell r="T53">
            <v>864</v>
          </cell>
          <cell r="U53">
            <v>1008</v>
          </cell>
          <cell r="V53">
            <v>1296</v>
          </cell>
          <cell r="W53">
            <v>1008</v>
          </cell>
          <cell r="X53">
            <v>576</v>
          </cell>
        </row>
        <row r="54">
          <cell r="E54">
            <v>1001087</v>
          </cell>
          <cell r="F54" t="str">
            <v>021</v>
          </cell>
          <cell r="G54" t="str">
            <v>3453 - JUVIA'S PLACE</v>
          </cell>
          <cell r="H54" t="str">
            <v>E</v>
          </cell>
          <cell r="I54" t="str">
            <v>A</v>
          </cell>
          <cell r="J54" t="str">
            <v>BASC</v>
          </cell>
          <cell r="K54">
            <v>6.5</v>
          </cell>
          <cell r="L54">
            <v>7632</v>
          </cell>
          <cell r="M54">
            <v>720</v>
          </cell>
          <cell r="N54">
            <v>864</v>
          </cell>
          <cell r="O54">
            <v>576</v>
          </cell>
          <cell r="P54">
            <v>720</v>
          </cell>
          <cell r="Q54">
            <v>576</v>
          </cell>
          <cell r="R54">
            <v>720</v>
          </cell>
          <cell r="S54">
            <v>576</v>
          </cell>
          <cell r="T54">
            <v>720</v>
          </cell>
          <cell r="U54">
            <v>432</v>
          </cell>
          <cell r="V54">
            <v>864</v>
          </cell>
          <cell r="W54">
            <v>576</v>
          </cell>
          <cell r="X54">
            <v>288</v>
          </cell>
        </row>
        <row r="55">
          <cell r="E55">
            <v>1002271</v>
          </cell>
          <cell r="F55" t="str">
            <v>021</v>
          </cell>
          <cell r="G55" t="str">
            <v>3453 - JUVIA'S PLACE</v>
          </cell>
          <cell r="H55" t="str">
            <v>F</v>
          </cell>
          <cell r="I55" t="str">
            <v>A</v>
          </cell>
          <cell r="J55" t="str">
            <v>BASC</v>
          </cell>
          <cell r="K55">
            <v>7.5</v>
          </cell>
          <cell r="L55">
            <v>6624</v>
          </cell>
          <cell r="M55">
            <v>1008</v>
          </cell>
          <cell r="N55">
            <v>432</v>
          </cell>
          <cell r="O55">
            <v>576</v>
          </cell>
          <cell r="P55">
            <v>432</v>
          </cell>
          <cell r="Q55">
            <v>432</v>
          </cell>
          <cell r="R55">
            <v>576</v>
          </cell>
          <cell r="S55">
            <v>720</v>
          </cell>
          <cell r="T55">
            <v>432</v>
          </cell>
          <cell r="U55">
            <v>576</v>
          </cell>
          <cell r="V55">
            <v>576</v>
          </cell>
          <cell r="W55">
            <v>576</v>
          </cell>
          <cell r="X55">
            <v>288</v>
          </cell>
        </row>
        <row r="56">
          <cell r="E56">
            <v>1002280</v>
          </cell>
          <cell r="F56" t="str">
            <v>021</v>
          </cell>
          <cell r="G56" t="str">
            <v>3453 - JUVIA'S PLACE</v>
          </cell>
          <cell r="H56" t="str">
            <v>E</v>
          </cell>
          <cell r="I56" t="str">
            <v>A</v>
          </cell>
          <cell r="J56" t="str">
            <v>BASC</v>
          </cell>
          <cell r="K56">
            <v>6</v>
          </cell>
          <cell r="L56">
            <v>4752</v>
          </cell>
          <cell r="M56">
            <v>720</v>
          </cell>
          <cell r="N56">
            <v>144</v>
          </cell>
          <cell r="O56">
            <v>288</v>
          </cell>
          <cell r="P56">
            <v>576</v>
          </cell>
          <cell r="Q56">
            <v>144</v>
          </cell>
          <cell r="R56">
            <v>576</v>
          </cell>
          <cell r="S56">
            <v>432</v>
          </cell>
          <cell r="T56">
            <v>288</v>
          </cell>
          <cell r="U56">
            <v>432</v>
          </cell>
          <cell r="V56">
            <v>576</v>
          </cell>
          <cell r="W56">
            <v>432</v>
          </cell>
          <cell r="X56">
            <v>144</v>
          </cell>
        </row>
        <row r="57">
          <cell r="E57">
            <v>1002386</v>
          </cell>
          <cell r="F57" t="str">
            <v>021</v>
          </cell>
          <cell r="G57" t="str">
            <v>3453 - JUVIA'S PLACE</v>
          </cell>
          <cell r="H57" t="str">
            <v>F</v>
          </cell>
          <cell r="I57" t="str">
            <v>A</v>
          </cell>
          <cell r="J57" t="str">
            <v>BASC</v>
          </cell>
          <cell r="K57">
            <v>7.5</v>
          </cell>
          <cell r="L57">
            <v>3744</v>
          </cell>
          <cell r="M57">
            <v>288</v>
          </cell>
          <cell r="N57">
            <v>432</v>
          </cell>
          <cell r="O57">
            <v>144</v>
          </cell>
          <cell r="P57">
            <v>144</v>
          </cell>
          <cell r="Q57">
            <v>432</v>
          </cell>
          <cell r="R57">
            <v>144</v>
          </cell>
          <cell r="S57">
            <v>288</v>
          </cell>
          <cell r="T57">
            <v>432</v>
          </cell>
          <cell r="U57">
            <v>288</v>
          </cell>
          <cell r="V57">
            <v>432</v>
          </cell>
          <cell r="W57">
            <v>576</v>
          </cell>
          <cell r="X57">
            <v>144</v>
          </cell>
        </row>
        <row r="58">
          <cell r="E58">
            <v>1002542</v>
          </cell>
          <cell r="F58" t="str">
            <v>021</v>
          </cell>
          <cell r="G58" t="str">
            <v>3453 - JUVIA'S PLACE</v>
          </cell>
          <cell r="H58" t="str">
            <v>F</v>
          </cell>
          <cell r="I58" t="str">
            <v>A</v>
          </cell>
          <cell r="J58" t="str">
            <v>BASC</v>
          </cell>
          <cell r="K58">
            <v>7.5</v>
          </cell>
          <cell r="L58">
            <v>3888</v>
          </cell>
          <cell r="M58">
            <v>144</v>
          </cell>
          <cell r="N58">
            <v>288</v>
          </cell>
          <cell r="O58">
            <v>288</v>
          </cell>
          <cell r="P58">
            <v>432</v>
          </cell>
          <cell r="Q58">
            <v>288</v>
          </cell>
          <cell r="R58">
            <v>0</v>
          </cell>
          <cell r="S58">
            <v>432</v>
          </cell>
          <cell r="T58">
            <v>288</v>
          </cell>
          <cell r="U58">
            <v>576</v>
          </cell>
          <cell r="V58">
            <v>432</v>
          </cell>
          <cell r="W58">
            <v>432</v>
          </cell>
          <cell r="X58">
            <v>288</v>
          </cell>
        </row>
        <row r="59">
          <cell r="E59">
            <v>1200169</v>
          </cell>
          <cell r="F59" t="str">
            <v>021</v>
          </cell>
          <cell r="G59" t="str">
            <v>3453 - JUVIA'S PLACE</v>
          </cell>
          <cell r="H59" t="str">
            <v>E</v>
          </cell>
          <cell r="I59" t="str">
            <v>A</v>
          </cell>
          <cell r="J59" t="str">
            <v>BASC</v>
          </cell>
          <cell r="K59">
            <v>7.5</v>
          </cell>
          <cell r="L59">
            <v>9504</v>
          </cell>
          <cell r="M59">
            <v>1152</v>
          </cell>
          <cell r="N59">
            <v>1152</v>
          </cell>
          <cell r="O59">
            <v>432</v>
          </cell>
          <cell r="P59">
            <v>720</v>
          </cell>
          <cell r="Q59">
            <v>576</v>
          </cell>
          <cell r="R59">
            <v>1008</v>
          </cell>
          <cell r="S59">
            <v>864</v>
          </cell>
          <cell r="T59">
            <v>576</v>
          </cell>
          <cell r="U59">
            <v>864</v>
          </cell>
          <cell r="V59">
            <v>864</v>
          </cell>
          <cell r="W59">
            <v>720</v>
          </cell>
          <cell r="X59">
            <v>576</v>
          </cell>
        </row>
        <row r="60">
          <cell r="E60">
            <v>1200228</v>
          </cell>
          <cell r="F60" t="str">
            <v>021</v>
          </cell>
          <cell r="G60" t="str">
            <v>3453 - JUVIA'S PLACE</v>
          </cell>
          <cell r="H60" t="str">
            <v>F</v>
          </cell>
          <cell r="I60" t="str">
            <v>A</v>
          </cell>
          <cell r="J60" t="str">
            <v>BASC</v>
          </cell>
          <cell r="K60">
            <v>7.5</v>
          </cell>
          <cell r="L60">
            <v>3312</v>
          </cell>
          <cell r="M60">
            <v>0</v>
          </cell>
          <cell r="N60">
            <v>0</v>
          </cell>
          <cell r="O60">
            <v>0</v>
          </cell>
          <cell r="P60">
            <v>576</v>
          </cell>
          <cell r="Q60">
            <v>432</v>
          </cell>
          <cell r="R60">
            <v>288</v>
          </cell>
          <cell r="S60">
            <v>288</v>
          </cell>
          <cell r="T60">
            <v>144</v>
          </cell>
          <cell r="U60">
            <v>432</v>
          </cell>
          <cell r="V60">
            <v>576</v>
          </cell>
          <cell r="W60">
            <v>288</v>
          </cell>
          <cell r="X60">
            <v>288</v>
          </cell>
        </row>
        <row r="61">
          <cell r="E61">
            <v>1200367</v>
          </cell>
          <cell r="F61" t="str">
            <v>021</v>
          </cell>
          <cell r="G61" t="str">
            <v>3453 - JUVIA'S PLACE</v>
          </cell>
          <cell r="H61" t="str">
            <v>F</v>
          </cell>
          <cell r="I61" t="str">
            <v>A</v>
          </cell>
          <cell r="J61" t="str">
            <v>BASC</v>
          </cell>
          <cell r="K61">
            <v>9</v>
          </cell>
          <cell r="L61">
            <v>2736</v>
          </cell>
          <cell r="M61">
            <v>144</v>
          </cell>
          <cell r="N61">
            <v>0</v>
          </cell>
          <cell r="O61">
            <v>144</v>
          </cell>
          <cell r="P61">
            <v>144</v>
          </cell>
          <cell r="Q61">
            <v>144</v>
          </cell>
          <cell r="R61">
            <v>144</v>
          </cell>
          <cell r="S61">
            <v>432</v>
          </cell>
          <cell r="T61">
            <v>144</v>
          </cell>
          <cell r="U61">
            <v>432</v>
          </cell>
          <cell r="V61">
            <v>432</v>
          </cell>
          <cell r="W61">
            <v>576</v>
          </cell>
          <cell r="X61">
            <v>0</v>
          </cell>
        </row>
        <row r="62">
          <cell r="E62">
            <v>1200496</v>
          </cell>
          <cell r="F62" t="str">
            <v>021</v>
          </cell>
          <cell r="G62" t="str">
            <v>3453 - JUVIA'S PLACE</v>
          </cell>
          <cell r="H62" t="str">
            <v>D</v>
          </cell>
          <cell r="I62" t="str">
            <v>A</v>
          </cell>
          <cell r="J62" t="str">
            <v>BASC</v>
          </cell>
          <cell r="K62">
            <v>6.5</v>
          </cell>
          <cell r="L62">
            <v>27648</v>
          </cell>
          <cell r="M62">
            <v>3600</v>
          </cell>
          <cell r="N62">
            <v>2016</v>
          </cell>
          <cell r="O62">
            <v>1872</v>
          </cell>
          <cell r="P62">
            <v>2880</v>
          </cell>
          <cell r="Q62">
            <v>2016</v>
          </cell>
          <cell r="R62">
            <v>2016</v>
          </cell>
          <cell r="S62">
            <v>2736</v>
          </cell>
          <cell r="T62">
            <v>2016</v>
          </cell>
          <cell r="U62">
            <v>1872</v>
          </cell>
          <cell r="V62">
            <v>3312</v>
          </cell>
          <cell r="W62">
            <v>2160</v>
          </cell>
          <cell r="X62">
            <v>1152</v>
          </cell>
        </row>
        <row r="63">
          <cell r="E63">
            <v>1200497</v>
          </cell>
          <cell r="F63" t="str">
            <v>021</v>
          </cell>
          <cell r="G63" t="str">
            <v>3453 - JUVIA'S PLACE</v>
          </cell>
          <cell r="H63" t="str">
            <v>D</v>
          </cell>
          <cell r="I63" t="str">
            <v>A</v>
          </cell>
          <cell r="J63" t="str">
            <v>BASC</v>
          </cell>
          <cell r="K63">
            <v>6.5</v>
          </cell>
          <cell r="L63">
            <v>28656</v>
          </cell>
          <cell r="M63">
            <v>3888</v>
          </cell>
          <cell r="N63">
            <v>2160</v>
          </cell>
          <cell r="O63">
            <v>2016</v>
          </cell>
          <cell r="P63">
            <v>2880</v>
          </cell>
          <cell r="Q63">
            <v>1872</v>
          </cell>
          <cell r="R63">
            <v>2160</v>
          </cell>
          <cell r="S63">
            <v>3024</v>
          </cell>
          <cell r="T63">
            <v>2160</v>
          </cell>
          <cell r="U63">
            <v>2016</v>
          </cell>
          <cell r="V63">
            <v>3024</v>
          </cell>
          <cell r="W63">
            <v>2304</v>
          </cell>
          <cell r="X63">
            <v>1152</v>
          </cell>
        </row>
        <row r="64">
          <cell r="E64">
            <v>1200522</v>
          </cell>
          <cell r="F64" t="str">
            <v>021</v>
          </cell>
          <cell r="G64" t="str">
            <v>3453 - JUVIA'S PLACE</v>
          </cell>
          <cell r="H64" t="str">
            <v>E</v>
          </cell>
          <cell r="I64" t="str">
            <v>A</v>
          </cell>
          <cell r="J64" t="str">
            <v>BASC</v>
          </cell>
          <cell r="K64">
            <v>6.5</v>
          </cell>
          <cell r="L64">
            <v>7632</v>
          </cell>
          <cell r="M64">
            <v>432</v>
          </cell>
          <cell r="N64">
            <v>720</v>
          </cell>
          <cell r="O64">
            <v>288</v>
          </cell>
          <cell r="P64">
            <v>864</v>
          </cell>
          <cell r="Q64">
            <v>576</v>
          </cell>
          <cell r="R64">
            <v>720</v>
          </cell>
          <cell r="S64">
            <v>720</v>
          </cell>
          <cell r="T64">
            <v>720</v>
          </cell>
          <cell r="U64">
            <v>576</v>
          </cell>
          <cell r="V64">
            <v>1008</v>
          </cell>
          <cell r="W64">
            <v>576</v>
          </cell>
          <cell r="X64">
            <v>432</v>
          </cell>
        </row>
        <row r="65">
          <cell r="E65">
            <v>1000127</v>
          </cell>
          <cell r="F65" t="str">
            <v>021</v>
          </cell>
          <cell r="G65" t="str">
            <v>3453 - JUVIA'S PLACE</v>
          </cell>
          <cell r="H65" t="str">
            <v>F</v>
          </cell>
          <cell r="I65" t="str">
            <v>A</v>
          </cell>
          <cell r="J65" t="str">
            <v>BASC</v>
          </cell>
          <cell r="K65">
            <v>14.4</v>
          </cell>
          <cell r="L65">
            <v>4140</v>
          </cell>
          <cell r="M65">
            <v>180</v>
          </cell>
          <cell r="N65">
            <v>270</v>
          </cell>
          <cell r="O65">
            <v>270</v>
          </cell>
          <cell r="P65">
            <v>450</v>
          </cell>
          <cell r="Q65">
            <v>360</v>
          </cell>
          <cell r="R65">
            <v>270</v>
          </cell>
          <cell r="S65">
            <v>450</v>
          </cell>
          <cell r="T65">
            <v>450</v>
          </cell>
          <cell r="U65">
            <v>360</v>
          </cell>
          <cell r="V65">
            <v>450</v>
          </cell>
          <cell r="W65">
            <v>360</v>
          </cell>
          <cell r="X65">
            <v>270</v>
          </cell>
        </row>
        <row r="66">
          <cell r="E66">
            <v>1000129</v>
          </cell>
          <cell r="F66" t="str">
            <v>021</v>
          </cell>
          <cell r="G66" t="str">
            <v>3453 - JUVIA'S PLACE</v>
          </cell>
          <cell r="H66" t="str">
            <v>F</v>
          </cell>
          <cell r="I66" t="str">
            <v>A</v>
          </cell>
          <cell r="J66" t="str">
            <v>BASC</v>
          </cell>
          <cell r="K66">
            <v>14.4</v>
          </cell>
          <cell r="L66">
            <v>2340</v>
          </cell>
          <cell r="M66">
            <v>90</v>
          </cell>
          <cell r="N66">
            <v>0</v>
          </cell>
          <cell r="O66">
            <v>180</v>
          </cell>
          <cell r="P66">
            <v>270</v>
          </cell>
          <cell r="Q66">
            <v>90</v>
          </cell>
          <cell r="R66">
            <v>180</v>
          </cell>
          <cell r="S66">
            <v>270</v>
          </cell>
          <cell r="T66">
            <v>270</v>
          </cell>
          <cell r="U66">
            <v>270</v>
          </cell>
          <cell r="V66">
            <v>270</v>
          </cell>
          <cell r="W66">
            <v>270</v>
          </cell>
          <cell r="X66">
            <v>180</v>
          </cell>
        </row>
        <row r="67">
          <cell r="E67">
            <v>1000126</v>
          </cell>
          <cell r="F67" t="str">
            <v>021</v>
          </cell>
          <cell r="G67" t="str">
            <v>3453 - JUVIA'S PLACE</v>
          </cell>
          <cell r="H67" t="str">
            <v>F</v>
          </cell>
          <cell r="I67" t="str">
            <v>A</v>
          </cell>
          <cell r="J67" t="str">
            <v>BASC</v>
          </cell>
          <cell r="K67">
            <v>14.4</v>
          </cell>
          <cell r="L67">
            <v>3870</v>
          </cell>
          <cell r="M67">
            <v>270</v>
          </cell>
          <cell r="N67">
            <v>270</v>
          </cell>
          <cell r="O67">
            <v>180</v>
          </cell>
          <cell r="P67">
            <v>270</v>
          </cell>
          <cell r="Q67">
            <v>360</v>
          </cell>
          <cell r="R67">
            <v>270</v>
          </cell>
          <cell r="S67">
            <v>360</v>
          </cell>
          <cell r="T67">
            <v>450</v>
          </cell>
          <cell r="U67">
            <v>450</v>
          </cell>
          <cell r="V67">
            <v>270</v>
          </cell>
          <cell r="W67">
            <v>450</v>
          </cell>
          <cell r="X67">
            <v>270</v>
          </cell>
        </row>
        <row r="68">
          <cell r="E68">
            <v>1000143</v>
          </cell>
          <cell r="F68" t="str">
            <v>021</v>
          </cell>
          <cell r="G68" t="str">
            <v>3453 - JUVIA'S PLACE</v>
          </cell>
          <cell r="H68" t="str">
            <v>F</v>
          </cell>
          <cell r="I68" t="str">
            <v>A</v>
          </cell>
          <cell r="J68" t="str">
            <v>BASC</v>
          </cell>
          <cell r="K68">
            <v>14.4</v>
          </cell>
          <cell r="L68">
            <v>3060</v>
          </cell>
          <cell r="M68">
            <v>90</v>
          </cell>
          <cell r="N68">
            <v>270</v>
          </cell>
          <cell r="O68">
            <v>180</v>
          </cell>
          <cell r="P68">
            <v>180</v>
          </cell>
          <cell r="Q68">
            <v>360</v>
          </cell>
          <cell r="R68">
            <v>270</v>
          </cell>
          <cell r="S68">
            <v>360</v>
          </cell>
          <cell r="T68">
            <v>270</v>
          </cell>
          <cell r="U68">
            <v>360</v>
          </cell>
          <cell r="V68">
            <v>270</v>
          </cell>
          <cell r="W68">
            <v>270</v>
          </cell>
          <cell r="X68">
            <v>180</v>
          </cell>
        </row>
        <row r="69">
          <cell r="E69">
            <v>1000149</v>
          </cell>
          <cell r="F69" t="str">
            <v>021</v>
          </cell>
          <cell r="G69" t="str">
            <v>3453 - JUVIA'S PLACE</v>
          </cell>
          <cell r="H69" t="str">
            <v>F</v>
          </cell>
          <cell r="I69" t="str">
            <v>A</v>
          </cell>
          <cell r="J69" t="str">
            <v>BASC</v>
          </cell>
          <cell r="K69">
            <v>14.4</v>
          </cell>
          <cell r="L69">
            <v>2880</v>
          </cell>
          <cell r="M69">
            <v>90</v>
          </cell>
          <cell r="N69">
            <v>180</v>
          </cell>
          <cell r="O69">
            <v>180</v>
          </cell>
          <cell r="P69">
            <v>270</v>
          </cell>
          <cell r="Q69">
            <v>180</v>
          </cell>
          <cell r="R69">
            <v>270</v>
          </cell>
          <cell r="S69">
            <v>360</v>
          </cell>
          <cell r="T69">
            <v>180</v>
          </cell>
          <cell r="U69">
            <v>450</v>
          </cell>
          <cell r="V69">
            <v>270</v>
          </cell>
          <cell r="W69">
            <v>270</v>
          </cell>
          <cell r="X69">
            <v>180</v>
          </cell>
        </row>
        <row r="70">
          <cell r="E70">
            <v>1002328</v>
          </cell>
          <cell r="F70" t="str">
            <v>021</v>
          </cell>
          <cell r="G70" t="str">
            <v>3453 - JUVIA'S PLACE</v>
          </cell>
          <cell r="H70" t="str">
            <v>C</v>
          </cell>
          <cell r="I70" t="str">
            <v>A</v>
          </cell>
          <cell r="J70" t="str">
            <v>BASC</v>
          </cell>
          <cell r="K70">
            <v>10</v>
          </cell>
          <cell r="L70">
            <v>48120</v>
          </cell>
          <cell r="M70">
            <v>6840</v>
          </cell>
          <cell r="N70">
            <v>2760</v>
          </cell>
          <cell r="O70">
            <v>3000</v>
          </cell>
          <cell r="P70">
            <v>4800</v>
          </cell>
          <cell r="Q70">
            <v>3480</v>
          </cell>
          <cell r="R70">
            <v>3480</v>
          </cell>
          <cell r="S70">
            <v>4200</v>
          </cell>
          <cell r="T70">
            <v>4320</v>
          </cell>
          <cell r="U70">
            <v>4200</v>
          </cell>
          <cell r="V70">
            <v>4920</v>
          </cell>
          <cell r="W70">
            <v>4200</v>
          </cell>
          <cell r="X70">
            <v>1920</v>
          </cell>
        </row>
        <row r="71">
          <cell r="E71">
            <v>1000700</v>
          </cell>
          <cell r="F71" t="str">
            <v>021</v>
          </cell>
          <cell r="G71" t="str">
            <v>3453 - JUVIA'S PLACE</v>
          </cell>
          <cell r="H71" t="str">
            <v>E</v>
          </cell>
          <cell r="I71" t="str">
            <v>A</v>
          </cell>
          <cell r="J71" t="str">
            <v>BASC</v>
          </cell>
          <cell r="K71">
            <v>6.5</v>
          </cell>
          <cell r="L71">
            <v>12384</v>
          </cell>
          <cell r="M71">
            <v>1152</v>
          </cell>
          <cell r="N71">
            <v>1152</v>
          </cell>
          <cell r="O71">
            <v>720</v>
          </cell>
          <cell r="P71">
            <v>1440</v>
          </cell>
          <cell r="Q71">
            <v>1008</v>
          </cell>
          <cell r="R71">
            <v>864</v>
          </cell>
          <cell r="S71">
            <v>1296</v>
          </cell>
          <cell r="T71">
            <v>1152</v>
          </cell>
          <cell r="U71">
            <v>576</v>
          </cell>
          <cell r="V71">
            <v>1296</v>
          </cell>
          <cell r="W71">
            <v>1296</v>
          </cell>
          <cell r="X71">
            <v>432</v>
          </cell>
        </row>
        <row r="72">
          <cell r="E72">
            <v>1000667</v>
          </cell>
          <cell r="F72" t="str">
            <v>021</v>
          </cell>
          <cell r="G72" t="str">
            <v>3453 - JUVIA'S PLACE</v>
          </cell>
          <cell r="H72" t="str">
            <v>E</v>
          </cell>
          <cell r="I72" t="str">
            <v>A</v>
          </cell>
          <cell r="J72" t="str">
            <v>BASC</v>
          </cell>
          <cell r="K72">
            <v>7.5</v>
          </cell>
          <cell r="L72">
            <v>7488</v>
          </cell>
          <cell r="M72">
            <v>864</v>
          </cell>
          <cell r="N72">
            <v>720</v>
          </cell>
          <cell r="O72">
            <v>576</v>
          </cell>
          <cell r="P72">
            <v>432</v>
          </cell>
          <cell r="Q72">
            <v>720</v>
          </cell>
          <cell r="R72">
            <v>576</v>
          </cell>
          <cell r="S72">
            <v>576</v>
          </cell>
          <cell r="T72">
            <v>576</v>
          </cell>
          <cell r="U72">
            <v>720</v>
          </cell>
          <cell r="V72">
            <v>864</v>
          </cell>
          <cell r="W72">
            <v>720</v>
          </cell>
          <cell r="X72">
            <v>144</v>
          </cell>
        </row>
        <row r="73">
          <cell r="E73">
            <v>1000772</v>
          </cell>
          <cell r="F73" t="str">
            <v>021</v>
          </cell>
          <cell r="G73" t="str">
            <v>3453 - JUVIA'S PLACE</v>
          </cell>
          <cell r="H73" t="str">
            <v>F</v>
          </cell>
          <cell r="I73" t="str">
            <v>A</v>
          </cell>
          <cell r="J73" t="str">
            <v>BASC</v>
          </cell>
          <cell r="K73">
            <v>7.5</v>
          </cell>
          <cell r="L73">
            <v>4464</v>
          </cell>
          <cell r="M73">
            <v>144</v>
          </cell>
          <cell r="N73">
            <v>576</v>
          </cell>
          <cell r="O73">
            <v>288</v>
          </cell>
          <cell r="P73">
            <v>576</v>
          </cell>
          <cell r="Q73">
            <v>288</v>
          </cell>
          <cell r="R73">
            <v>288</v>
          </cell>
          <cell r="S73">
            <v>288</v>
          </cell>
          <cell r="T73">
            <v>432</v>
          </cell>
          <cell r="U73">
            <v>144</v>
          </cell>
          <cell r="V73">
            <v>720</v>
          </cell>
          <cell r="W73">
            <v>720</v>
          </cell>
          <cell r="X73">
            <v>0</v>
          </cell>
        </row>
        <row r="74">
          <cell r="E74">
            <v>1000742</v>
          </cell>
          <cell r="F74" t="str">
            <v>021</v>
          </cell>
          <cell r="G74" t="str">
            <v>3453 - JUVIA'S PLACE</v>
          </cell>
          <cell r="H74" t="str">
            <v>F</v>
          </cell>
          <cell r="I74" t="str">
            <v>A</v>
          </cell>
          <cell r="J74" t="str">
            <v>BASC</v>
          </cell>
          <cell r="K74">
            <v>7.5</v>
          </cell>
          <cell r="L74">
            <v>4320</v>
          </cell>
          <cell r="M74">
            <v>288</v>
          </cell>
          <cell r="N74">
            <v>432</v>
          </cell>
          <cell r="O74">
            <v>432</v>
          </cell>
          <cell r="P74">
            <v>288</v>
          </cell>
          <cell r="Q74">
            <v>432</v>
          </cell>
          <cell r="R74">
            <v>432</v>
          </cell>
          <cell r="S74">
            <v>288</v>
          </cell>
          <cell r="T74">
            <v>288</v>
          </cell>
          <cell r="U74">
            <v>288</v>
          </cell>
          <cell r="V74">
            <v>720</v>
          </cell>
          <cell r="W74">
            <v>432</v>
          </cell>
          <cell r="X74">
            <v>0</v>
          </cell>
        </row>
        <row r="75">
          <cell r="E75">
            <v>1001056</v>
          </cell>
          <cell r="F75" t="str">
            <v>021</v>
          </cell>
          <cell r="G75" t="str">
            <v>3453 - JUVIA'S PLACE</v>
          </cell>
          <cell r="H75" t="str">
            <v>F</v>
          </cell>
          <cell r="I75" t="str">
            <v>A</v>
          </cell>
          <cell r="J75" t="str">
            <v>BASC</v>
          </cell>
          <cell r="K75">
            <v>7</v>
          </cell>
          <cell r="L75">
            <v>3888</v>
          </cell>
          <cell r="M75">
            <v>288</v>
          </cell>
          <cell r="N75">
            <v>288</v>
          </cell>
          <cell r="O75">
            <v>576</v>
          </cell>
          <cell r="P75">
            <v>144</v>
          </cell>
          <cell r="Q75">
            <v>432</v>
          </cell>
          <cell r="R75">
            <v>144</v>
          </cell>
          <cell r="S75">
            <v>432</v>
          </cell>
          <cell r="T75">
            <v>288</v>
          </cell>
          <cell r="U75">
            <v>432</v>
          </cell>
          <cell r="V75">
            <v>288</v>
          </cell>
          <cell r="W75">
            <v>576</v>
          </cell>
          <cell r="X75">
            <v>0</v>
          </cell>
        </row>
        <row r="76">
          <cell r="E76">
            <v>1001990</v>
          </cell>
          <cell r="F76" t="str">
            <v>021</v>
          </cell>
          <cell r="G76" t="str">
            <v>3453 - JUVIA'S PLACE</v>
          </cell>
          <cell r="H76" t="str">
            <v>F</v>
          </cell>
          <cell r="I76" t="str">
            <v>A</v>
          </cell>
          <cell r="J76" t="str">
            <v>BASC</v>
          </cell>
          <cell r="K76">
            <v>7.5</v>
          </cell>
          <cell r="L76">
            <v>3168</v>
          </cell>
          <cell r="M76">
            <v>432</v>
          </cell>
          <cell r="N76">
            <v>144</v>
          </cell>
          <cell r="O76">
            <v>288</v>
          </cell>
          <cell r="P76">
            <v>288</v>
          </cell>
          <cell r="Q76">
            <v>144</v>
          </cell>
          <cell r="R76">
            <v>432</v>
          </cell>
          <cell r="S76">
            <v>144</v>
          </cell>
          <cell r="T76">
            <v>288</v>
          </cell>
          <cell r="U76">
            <v>288</v>
          </cell>
          <cell r="V76">
            <v>432</v>
          </cell>
          <cell r="W76">
            <v>288</v>
          </cell>
          <cell r="X76">
            <v>0</v>
          </cell>
        </row>
        <row r="77">
          <cell r="E77">
            <v>1002278</v>
          </cell>
          <cell r="F77" t="str">
            <v>021</v>
          </cell>
          <cell r="G77" t="str">
            <v>3453 - JUVIA'S PLACE</v>
          </cell>
          <cell r="H77" t="str">
            <v>E</v>
          </cell>
          <cell r="I77" t="str">
            <v>A</v>
          </cell>
          <cell r="J77" t="str">
            <v>BASC</v>
          </cell>
          <cell r="K77">
            <v>7.5</v>
          </cell>
          <cell r="L77">
            <v>7632</v>
          </cell>
          <cell r="M77">
            <v>1008</v>
          </cell>
          <cell r="N77">
            <v>432</v>
          </cell>
          <cell r="O77">
            <v>720</v>
          </cell>
          <cell r="P77">
            <v>576</v>
          </cell>
          <cell r="Q77">
            <v>432</v>
          </cell>
          <cell r="R77">
            <v>576</v>
          </cell>
          <cell r="S77">
            <v>1008</v>
          </cell>
          <cell r="T77">
            <v>432</v>
          </cell>
          <cell r="U77">
            <v>720</v>
          </cell>
          <cell r="V77">
            <v>720</v>
          </cell>
          <cell r="W77">
            <v>720</v>
          </cell>
          <cell r="X77">
            <v>288</v>
          </cell>
        </row>
        <row r="78">
          <cell r="E78">
            <v>1002385</v>
          </cell>
          <cell r="F78" t="str">
            <v>021</v>
          </cell>
          <cell r="G78" t="str">
            <v>3453 - JUVIA'S PLACE</v>
          </cell>
          <cell r="H78" t="str">
            <v>F</v>
          </cell>
          <cell r="I78" t="str">
            <v>A</v>
          </cell>
          <cell r="J78" t="str">
            <v>BASC</v>
          </cell>
          <cell r="K78">
            <v>7.5</v>
          </cell>
          <cell r="L78">
            <v>3312</v>
          </cell>
          <cell r="M78">
            <v>288</v>
          </cell>
          <cell r="N78">
            <v>288</v>
          </cell>
          <cell r="O78">
            <v>288</v>
          </cell>
          <cell r="P78">
            <v>0</v>
          </cell>
          <cell r="Q78">
            <v>288</v>
          </cell>
          <cell r="R78">
            <v>144</v>
          </cell>
          <cell r="S78">
            <v>144</v>
          </cell>
          <cell r="T78">
            <v>288</v>
          </cell>
          <cell r="U78">
            <v>576</v>
          </cell>
          <cell r="V78">
            <v>432</v>
          </cell>
          <cell r="W78">
            <v>288</v>
          </cell>
          <cell r="X78">
            <v>288</v>
          </cell>
        </row>
        <row r="79">
          <cell r="E79">
            <v>1002394</v>
          </cell>
          <cell r="F79" t="str">
            <v>021</v>
          </cell>
          <cell r="G79" t="str">
            <v>3453 - JUVIA'S PLACE</v>
          </cell>
          <cell r="H79" t="str">
            <v>F</v>
          </cell>
          <cell r="I79" t="str">
            <v>A</v>
          </cell>
          <cell r="J79" t="str">
            <v>BASC</v>
          </cell>
          <cell r="K79">
            <v>7.5</v>
          </cell>
          <cell r="L79">
            <v>1584</v>
          </cell>
          <cell r="M79">
            <v>0</v>
          </cell>
          <cell r="N79">
            <v>0</v>
          </cell>
          <cell r="O79">
            <v>288</v>
          </cell>
          <cell r="P79">
            <v>144</v>
          </cell>
          <cell r="Q79">
            <v>0</v>
          </cell>
          <cell r="R79">
            <v>144</v>
          </cell>
          <cell r="S79">
            <v>0</v>
          </cell>
          <cell r="T79">
            <v>0</v>
          </cell>
          <cell r="U79">
            <v>432</v>
          </cell>
          <cell r="V79">
            <v>144</v>
          </cell>
          <cell r="W79">
            <v>288</v>
          </cell>
          <cell r="X79">
            <v>144</v>
          </cell>
        </row>
        <row r="80">
          <cell r="E80">
            <v>1002531</v>
          </cell>
          <cell r="F80" t="str">
            <v>021</v>
          </cell>
          <cell r="G80" t="str">
            <v>3453 - JUVIA'S PLACE</v>
          </cell>
          <cell r="H80" t="str">
            <v>E</v>
          </cell>
          <cell r="I80" t="str">
            <v>A</v>
          </cell>
          <cell r="J80" t="str">
            <v>BASC</v>
          </cell>
          <cell r="K80">
            <v>10</v>
          </cell>
          <cell r="L80">
            <v>4032</v>
          </cell>
          <cell r="M80">
            <v>288</v>
          </cell>
          <cell r="N80">
            <v>720</v>
          </cell>
          <cell r="O80">
            <v>0</v>
          </cell>
          <cell r="P80">
            <v>432</v>
          </cell>
          <cell r="Q80">
            <v>144</v>
          </cell>
          <cell r="R80">
            <v>288</v>
          </cell>
          <cell r="S80">
            <v>288</v>
          </cell>
          <cell r="T80">
            <v>432</v>
          </cell>
          <cell r="U80">
            <v>432</v>
          </cell>
          <cell r="V80">
            <v>288</v>
          </cell>
          <cell r="W80">
            <v>576</v>
          </cell>
          <cell r="X80">
            <v>144</v>
          </cell>
        </row>
        <row r="81">
          <cell r="E81">
            <v>1002631</v>
          </cell>
          <cell r="F81" t="str">
            <v>021</v>
          </cell>
          <cell r="G81" t="str">
            <v>3453 - JUVIA'S PLACE</v>
          </cell>
          <cell r="H81" t="str">
            <v>F</v>
          </cell>
          <cell r="I81" t="str">
            <v>A</v>
          </cell>
          <cell r="J81" t="str">
            <v>BASC</v>
          </cell>
          <cell r="K81">
            <v>10</v>
          </cell>
          <cell r="L81">
            <v>2160</v>
          </cell>
          <cell r="M81">
            <v>0</v>
          </cell>
          <cell r="N81">
            <v>0</v>
          </cell>
          <cell r="O81">
            <v>288</v>
          </cell>
          <cell r="P81">
            <v>0</v>
          </cell>
          <cell r="Q81">
            <v>288</v>
          </cell>
          <cell r="R81">
            <v>0</v>
          </cell>
          <cell r="S81">
            <v>432</v>
          </cell>
          <cell r="T81">
            <v>144</v>
          </cell>
          <cell r="U81">
            <v>144</v>
          </cell>
          <cell r="V81">
            <v>432</v>
          </cell>
          <cell r="W81">
            <v>0</v>
          </cell>
          <cell r="X81">
            <v>432</v>
          </cell>
        </row>
        <row r="82">
          <cell r="E82">
            <v>1200053</v>
          </cell>
          <cell r="F82" t="str">
            <v>021</v>
          </cell>
          <cell r="G82" t="str">
            <v>3453 - JUVIA'S PLACE</v>
          </cell>
          <cell r="H82" t="str">
            <v>F</v>
          </cell>
          <cell r="I82" t="str">
            <v>A</v>
          </cell>
          <cell r="J82" t="str">
            <v>BASC</v>
          </cell>
          <cell r="K82">
            <v>7.5</v>
          </cell>
          <cell r="L82">
            <v>5184</v>
          </cell>
          <cell r="M82">
            <v>144</v>
          </cell>
          <cell r="N82">
            <v>720</v>
          </cell>
          <cell r="O82">
            <v>432</v>
          </cell>
          <cell r="P82">
            <v>288</v>
          </cell>
          <cell r="Q82">
            <v>432</v>
          </cell>
          <cell r="R82">
            <v>288</v>
          </cell>
          <cell r="S82">
            <v>576</v>
          </cell>
          <cell r="T82">
            <v>432</v>
          </cell>
          <cell r="U82">
            <v>432</v>
          </cell>
          <cell r="V82">
            <v>432</v>
          </cell>
          <cell r="W82">
            <v>432</v>
          </cell>
          <cell r="X82">
            <v>576</v>
          </cell>
        </row>
        <row r="83">
          <cell r="E83">
            <v>1200061</v>
          </cell>
          <cell r="F83" t="str">
            <v>021</v>
          </cell>
          <cell r="G83" t="str">
            <v>3453 - JUVIA'S PLACE</v>
          </cell>
          <cell r="H83" t="str">
            <v>F</v>
          </cell>
          <cell r="I83" t="str">
            <v>A</v>
          </cell>
          <cell r="J83" t="str">
            <v>BASC</v>
          </cell>
          <cell r="K83">
            <v>7.5</v>
          </cell>
          <cell r="L83">
            <v>2160</v>
          </cell>
          <cell r="M83">
            <v>0</v>
          </cell>
          <cell r="N83">
            <v>0</v>
          </cell>
          <cell r="O83">
            <v>288</v>
          </cell>
          <cell r="P83">
            <v>0</v>
          </cell>
          <cell r="Q83">
            <v>144</v>
          </cell>
          <cell r="R83">
            <v>288</v>
          </cell>
          <cell r="S83">
            <v>144</v>
          </cell>
          <cell r="T83">
            <v>144</v>
          </cell>
          <cell r="U83">
            <v>432</v>
          </cell>
          <cell r="V83">
            <v>144</v>
          </cell>
          <cell r="W83">
            <v>432</v>
          </cell>
          <cell r="X83">
            <v>144</v>
          </cell>
        </row>
        <row r="84">
          <cell r="E84">
            <v>1200063</v>
          </cell>
          <cell r="F84" t="str">
            <v>021</v>
          </cell>
          <cell r="G84" t="str">
            <v>3453 - JUVIA'S PLACE</v>
          </cell>
          <cell r="H84" t="str">
            <v>F</v>
          </cell>
          <cell r="I84" t="str">
            <v>A</v>
          </cell>
          <cell r="J84" t="str">
            <v>BASC</v>
          </cell>
          <cell r="K84">
            <v>7.5</v>
          </cell>
          <cell r="L84">
            <v>4320</v>
          </cell>
          <cell r="M84">
            <v>288</v>
          </cell>
          <cell r="N84">
            <v>576</v>
          </cell>
          <cell r="O84">
            <v>0</v>
          </cell>
          <cell r="P84">
            <v>576</v>
          </cell>
          <cell r="Q84">
            <v>288</v>
          </cell>
          <cell r="R84">
            <v>432</v>
          </cell>
          <cell r="S84">
            <v>288</v>
          </cell>
          <cell r="T84">
            <v>432</v>
          </cell>
          <cell r="U84">
            <v>288</v>
          </cell>
          <cell r="V84">
            <v>576</v>
          </cell>
          <cell r="W84">
            <v>432</v>
          </cell>
          <cell r="X84">
            <v>144</v>
          </cell>
        </row>
        <row r="85">
          <cell r="E85">
            <v>1200168</v>
          </cell>
          <cell r="F85" t="str">
            <v>021</v>
          </cell>
          <cell r="G85" t="str">
            <v>3453 - JUVIA'S PLACE</v>
          </cell>
          <cell r="H85" t="str">
            <v>D</v>
          </cell>
          <cell r="I85" t="str">
            <v>A</v>
          </cell>
          <cell r="J85" t="str">
            <v>BASC</v>
          </cell>
          <cell r="K85">
            <v>7.5</v>
          </cell>
          <cell r="L85">
            <v>12816</v>
          </cell>
          <cell r="M85">
            <v>1584</v>
          </cell>
          <cell r="N85">
            <v>1728</v>
          </cell>
          <cell r="O85">
            <v>576</v>
          </cell>
          <cell r="P85">
            <v>1008</v>
          </cell>
          <cell r="Q85">
            <v>1008</v>
          </cell>
          <cell r="R85">
            <v>864</v>
          </cell>
          <cell r="S85">
            <v>1296</v>
          </cell>
          <cell r="T85">
            <v>1008</v>
          </cell>
          <cell r="U85">
            <v>1008</v>
          </cell>
          <cell r="V85">
            <v>1152</v>
          </cell>
          <cell r="W85">
            <v>1152</v>
          </cell>
          <cell r="X85">
            <v>432</v>
          </cell>
        </row>
        <row r="86">
          <cell r="E86">
            <v>1200206</v>
          </cell>
          <cell r="F86" t="str">
            <v>021</v>
          </cell>
          <cell r="G86" t="str">
            <v>3453 - JUVIA'S PLACE</v>
          </cell>
          <cell r="H86" t="str">
            <v>F</v>
          </cell>
          <cell r="I86" t="str">
            <v>A</v>
          </cell>
          <cell r="J86" t="str">
            <v>BASC</v>
          </cell>
          <cell r="K86">
            <v>7.5</v>
          </cell>
          <cell r="L86">
            <v>288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144</v>
          </cell>
          <cell r="X86">
            <v>144</v>
          </cell>
        </row>
        <row r="87">
          <cell r="E87">
            <v>1200208</v>
          </cell>
          <cell r="F87" t="str">
            <v>021</v>
          </cell>
          <cell r="G87" t="str">
            <v>3453 - JUVIA'S PLACE</v>
          </cell>
          <cell r="H87" t="str">
            <v>F</v>
          </cell>
          <cell r="I87" t="str">
            <v>A</v>
          </cell>
          <cell r="J87" t="str">
            <v>BASC</v>
          </cell>
          <cell r="K87">
            <v>7.5</v>
          </cell>
          <cell r="L87">
            <v>576</v>
          </cell>
          <cell r="M87">
            <v>0</v>
          </cell>
          <cell r="N87">
            <v>0</v>
          </cell>
          <cell r="O87">
            <v>0</v>
          </cell>
          <cell r="P87">
            <v>144</v>
          </cell>
          <cell r="Q87">
            <v>0</v>
          </cell>
          <cell r="R87">
            <v>0</v>
          </cell>
          <cell r="S87">
            <v>0</v>
          </cell>
          <cell r="T87">
            <v>144</v>
          </cell>
          <cell r="U87">
            <v>0</v>
          </cell>
          <cell r="V87">
            <v>0</v>
          </cell>
          <cell r="W87">
            <v>288</v>
          </cell>
          <cell r="X87">
            <v>0</v>
          </cell>
        </row>
        <row r="88">
          <cell r="E88">
            <v>1200435</v>
          </cell>
          <cell r="F88" t="str">
            <v>021</v>
          </cell>
          <cell r="G88" t="str">
            <v>3453 - JUVIA'S PLACE</v>
          </cell>
          <cell r="H88" t="str">
            <v>F</v>
          </cell>
          <cell r="I88" t="str">
            <v>A</v>
          </cell>
          <cell r="J88" t="str">
            <v>BASC</v>
          </cell>
          <cell r="K88">
            <v>10</v>
          </cell>
          <cell r="L88">
            <v>432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144</v>
          </cell>
          <cell r="W88">
            <v>144</v>
          </cell>
          <cell r="X88">
            <v>144</v>
          </cell>
        </row>
        <row r="89">
          <cell r="E89">
            <v>1200436</v>
          </cell>
          <cell r="F89" t="str">
            <v>021</v>
          </cell>
          <cell r="G89" t="str">
            <v>3453 - JUVIA'S PLACE</v>
          </cell>
          <cell r="H89" t="str">
            <v>F</v>
          </cell>
          <cell r="I89" t="str">
            <v>A</v>
          </cell>
          <cell r="J89" t="str">
            <v>BASC</v>
          </cell>
          <cell r="K89">
            <v>10</v>
          </cell>
          <cell r="L89">
            <v>1296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288</v>
          </cell>
          <cell r="T89">
            <v>144</v>
          </cell>
          <cell r="U89">
            <v>144</v>
          </cell>
          <cell r="V89">
            <v>288</v>
          </cell>
          <cell r="W89">
            <v>288</v>
          </cell>
          <cell r="X89">
            <v>144</v>
          </cell>
        </row>
        <row r="90">
          <cell r="E90">
            <v>1200593</v>
          </cell>
          <cell r="F90" t="str">
            <v>021</v>
          </cell>
          <cell r="G90" t="str">
            <v>3453 - JUVIA'S PLACE</v>
          </cell>
          <cell r="H90" t="str">
            <v>D</v>
          </cell>
          <cell r="I90" t="str">
            <v>A</v>
          </cell>
          <cell r="J90" t="str">
            <v>BASC</v>
          </cell>
          <cell r="K90">
            <v>7.5</v>
          </cell>
          <cell r="L90">
            <v>11232</v>
          </cell>
          <cell r="M90">
            <v>1008</v>
          </cell>
          <cell r="N90">
            <v>1296</v>
          </cell>
          <cell r="O90">
            <v>288</v>
          </cell>
          <cell r="P90">
            <v>1152</v>
          </cell>
          <cell r="Q90">
            <v>1152</v>
          </cell>
          <cell r="R90">
            <v>576</v>
          </cell>
          <cell r="S90">
            <v>1296</v>
          </cell>
          <cell r="T90">
            <v>1008</v>
          </cell>
          <cell r="U90">
            <v>864</v>
          </cell>
          <cell r="V90">
            <v>1296</v>
          </cell>
          <cell r="W90">
            <v>1008</v>
          </cell>
          <cell r="X90">
            <v>288</v>
          </cell>
        </row>
        <row r="91">
          <cell r="E91">
            <v>1200499</v>
          </cell>
          <cell r="F91" t="str">
            <v>021</v>
          </cell>
          <cell r="G91" t="str">
            <v>3453 - JUVIA'S PLACE</v>
          </cell>
          <cell r="H91" t="str">
            <v>F</v>
          </cell>
          <cell r="I91" t="str">
            <v>A</v>
          </cell>
          <cell r="J91" t="str">
            <v>BASC</v>
          </cell>
          <cell r="K91">
            <v>6.5</v>
          </cell>
          <cell r="L91">
            <v>8496</v>
          </cell>
          <cell r="M91">
            <v>1008</v>
          </cell>
          <cell r="N91">
            <v>720</v>
          </cell>
          <cell r="O91">
            <v>576</v>
          </cell>
          <cell r="P91">
            <v>720</v>
          </cell>
          <cell r="Q91">
            <v>720</v>
          </cell>
          <cell r="R91">
            <v>432</v>
          </cell>
          <cell r="S91">
            <v>720</v>
          </cell>
          <cell r="T91">
            <v>720</v>
          </cell>
          <cell r="U91">
            <v>864</v>
          </cell>
          <cell r="V91">
            <v>864</v>
          </cell>
          <cell r="W91">
            <v>864</v>
          </cell>
          <cell r="X91">
            <v>288</v>
          </cell>
        </row>
        <row r="92">
          <cell r="E92">
            <v>1200502</v>
          </cell>
          <cell r="F92" t="str">
            <v>021</v>
          </cell>
          <cell r="G92" t="str">
            <v>3453 - JUVIA'S PLACE</v>
          </cell>
          <cell r="H92" t="str">
            <v>F</v>
          </cell>
          <cell r="I92" t="str">
            <v>A</v>
          </cell>
          <cell r="J92" t="str">
            <v>BASC</v>
          </cell>
          <cell r="K92">
            <v>6.5</v>
          </cell>
          <cell r="L92">
            <v>3456</v>
          </cell>
          <cell r="M92">
            <v>0</v>
          </cell>
          <cell r="N92">
            <v>0</v>
          </cell>
          <cell r="O92">
            <v>144</v>
          </cell>
          <cell r="P92">
            <v>288</v>
          </cell>
          <cell r="Q92">
            <v>288</v>
          </cell>
          <cell r="R92">
            <v>288</v>
          </cell>
          <cell r="S92">
            <v>576</v>
          </cell>
          <cell r="T92">
            <v>144</v>
          </cell>
          <cell r="U92">
            <v>432</v>
          </cell>
          <cell r="V92">
            <v>720</v>
          </cell>
          <cell r="W92">
            <v>576</v>
          </cell>
          <cell r="X92">
            <v>0</v>
          </cell>
        </row>
        <row r="93">
          <cell r="E93">
            <v>1200548</v>
          </cell>
          <cell r="F93" t="str">
            <v>021</v>
          </cell>
          <cell r="G93" t="str">
            <v>3453 - JUVIA'S PLACE</v>
          </cell>
          <cell r="H93" t="str">
            <v>F</v>
          </cell>
          <cell r="I93" t="str">
            <v>A</v>
          </cell>
          <cell r="J93" t="str">
            <v>BASC</v>
          </cell>
          <cell r="K93">
            <v>6.5</v>
          </cell>
          <cell r="L93">
            <v>4896</v>
          </cell>
          <cell r="M93">
            <v>432</v>
          </cell>
          <cell r="N93">
            <v>432</v>
          </cell>
          <cell r="O93">
            <v>288</v>
          </cell>
          <cell r="P93">
            <v>576</v>
          </cell>
          <cell r="Q93">
            <v>288</v>
          </cell>
          <cell r="R93">
            <v>432</v>
          </cell>
          <cell r="S93">
            <v>432</v>
          </cell>
          <cell r="T93">
            <v>432</v>
          </cell>
          <cell r="U93">
            <v>576</v>
          </cell>
          <cell r="V93">
            <v>432</v>
          </cell>
          <cell r="W93">
            <v>432</v>
          </cell>
          <cell r="X93">
            <v>144</v>
          </cell>
        </row>
        <row r="94">
          <cell r="E94">
            <v>1200512</v>
          </cell>
          <cell r="F94" t="str">
            <v>021</v>
          </cell>
          <cell r="G94" t="str">
            <v>3453 - JUVIA'S PLACE</v>
          </cell>
          <cell r="H94" t="str">
            <v>F</v>
          </cell>
          <cell r="I94" t="str">
            <v>A</v>
          </cell>
          <cell r="J94" t="str">
            <v>BASC</v>
          </cell>
          <cell r="K94">
            <v>7</v>
          </cell>
          <cell r="L94">
            <v>4176</v>
          </cell>
          <cell r="M94">
            <v>144</v>
          </cell>
          <cell r="N94">
            <v>288</v>
          </cell>
          <cell r="O94">
            <v>288</v>
          </cell>
          <cell r="P94">
            <v>144</v>
          </cell>
          <cell r="Q94">
            <v>432</v>
          </cell>
          <cell r="R94">
            <v>144</v>
          </cell>
          <cell r="S94">
            <v>576</v>
          </cell>
          <cell r="T94">
            <v>432</v>
          </cell>
          <cell r="U94">
            <v>576</v>
          </cell>
          <cell r="V94">
            <v>432</v>
          </cell>
          <cell r="W94">
            <v>288</v>
          </cell>
          <cell r="X94">
            <v>432</v>
          </cell>
        </row>
        <row r="95">
          <cell r="E95">
            <v>1200523</v>
          </cell>
          <cell r="F95" t="str">
            <v>021</v>
          </cell>
          <cell r="G95" t="str">
            <v>3453 - JUVIA'S PLACE</v>
          </cell>
          <cell r="H95" t="str">
            <v>E</v>
          </cell>
          <cell r="I95" t="str">
            <v>A</v>
          </cell>
          <cell r="J95" t="str">
            <v>BASC</v>
          </cell>
          <cell r="K95">
            <v>6.5</v>
          </cell>
          <cell r="L95">
            <v>9648</v>
          </cell>
          <cell r="M95">
            <v>864</v>
          </cell>
          <cell r="N95">
            <v>1008</v>
          </cell>
          <cell r="O95">
            <v>576</v>
          </cell>
          <cell r="P95">
            <v>864</v>
          </cell>
          <cell r="Q95">
            <v>1008</v>
          </cell>
          <cell r="R95">
            <v>576</v>
          </cell>
          <cell r="S95">
            <v>864</v>
          </cell>
          <cell r="T95">
            <v>864</v>
          </cell>
          <cell r="U95">
            <v>720</v>
          </cell>
          <cell r="V95">
            <v>864</v>
          </cell>
          <cell r="W95">
            <v>864</v>
          </cell>
          <cell r="X95">
            <v>576</v>
          </cell>
        </row>
        <row r="96">
          <cell r="E96">
            <v>1000117</v>
          </cell>
          <cell r="F96" t="str">
            <v>021</v>
          </cell>
          <cell r="G96" t="str">
            <v>3453 - JUVIA'S PLACE</v>
          </cell>
          <cell r="H96" t="str">
            <v>F</v>
          </cell>
          <cell r="I96" t="str">
            <v>A</v>
          </cell>
          <cell r="J96" t="str">
            <v>BASC</v>
          </cell>
          <cell r="K96">
            <v>14.4</v>
          </cell>
          <cell r="L96">
            <v>1710</v>
          </cell>
          <cell r="M96">
            <v>0</v>
          </cell>
          <cell r="N96">
            <v>90</v>
          </cell>
          <cell r="O96">
            <v>90</v>
          </cell>
          <cell r="P96">
            <v>360</v>
          </cell>
          <cell r="Q96">
            <v>0</v>
          </cell>
          <cell r="R96">
            <v>180</v>
          </cell>
          <cell r="S96">
            <v>360</v>
          </cell>
          <cell r="T96">
            <v>90</v>
          </cell>
          <cell r="U96">
            <v>90</v>
          </cell>
          <cell r="V96">
            <v>180</v>
          </cell>
          <cell r="W96">
            <v>270</v>
          </cell>
          <cell r="X96">
            <v>0</v>
          </cell>
        </row>
        <row r="97">
          <cell r="E97">
            <v>1000128</v>
          </cell>
          <cell r="F97" t="str">
            <v>021</v>
          </cell>
          <cell r="G97" t="str">
            <v>3453 - JUVIA'S PLACE</v>
          </cell>
          <cell r="H97" t="str">
            <v>F</v>
          </cell>
          <cell r="I97" t="str">
            <v>A</v>
          </cell>
          <cell r="J97" t="str">
            <v>BASC</v>
          </cell>
          <cell r="K97">
            <v>14.4</v>
          </cell>
          <cell r="L97">
            <v>2970</v>
          </cell>
          <cell r="M97">
            <v>270</v>
          </cell>
          <cell r="N97">
            <v>90</v>
          </cell>
          <cell r="O97">
            <v>270</v>
          </cell>
          <cell r="P97">
            <v>360</v>
          </cell>
          <cell r="Q97">
            <v>180</v>
          </cell>
          <cell r="R97">
            <v>270</v>
          </cell>
          <cell r="S97">
            <v>270</v>
          </cell>
          <cell r="T97">
            <v>270</v>
          </cell>
          <cell r="U97">
            <v>360</v>
          </cell>
          <cell r="V97">
            <v>180</v>
          </cell>
          <cell r="W97">
            <v>360</v>
          </cell>
          <cell r="X97">
            <v>90</v>
          </cell>
        </row>
        <row r="98">
          <cell r="E98">
            <v>1000132</v>
          </cell>
          <cell r="F98" t="str">
            <v>021</v>
          </cell>
          <cell r="G98" t="str">
            <v>3453 - JUVIA'S PLACE</v>
          </cell>
          <cell r="H98" t="str">
            <v>F</v>
          </cell>
          <cell r="I98" t="str">
            <v>A</v>
          </cell>
          <cell r="J98" t="str">
            <v>BASC</v>
          </cell>
          <cell r="K98">
            <v>14.4</v>
          </cell>
          <cell r="L98">
            <v>2250</v>
          </cell>
          <cell r="M98">
            <v>90</v>
          </cell>
          <cell r="N98">
            <v>90</v>
          </cell>
          <cell r="O98">
            <v>180</v>
          </cell>
          <cell r="P98">
            <v>180</v>
          </cell>
          <cell r="Q98">
            <v>180</v>
          </cell>
          <cell r="R98">
            <v>180</v>
          </cell>
          <cell r="S98">
            <v>360</v>
          </cell>
          <cell r="T98">
            <v>180</v>
          </cell>
          <cell r="U98">
            <v>180</v>
          </cell>
          <cell r="V98">
            <v>270</v>
          </cell>
          <cell r="W98">
            <v>270</v>
          </cell>
          <cell r="X98">
            <v>90</v>
          </cell>
        </row>
        <row r="99">
          <cell r="E99">
            <v>1000367</v>
          </cell>
          <cell r="F99" t="str">
            <v>021</v>
          </cell>
          <cell r="G99" t="str">
            <v>3453 - JUVIA'S PLACE</v>
          </cell>
          <cell r="H99" t="str">
            <v>D</v>
          </cell>
          <cell r="I99" t="str">
            <v>A</v>
          </cell>
          <cell r="J99" t="str">
            <v>BASC</v>
          </cell>
          <cell r="K99">
            <v>12.5</v>
          </cell>
          <cell r="L99">
            <v>21312</v>
          </cell>
          <cell r="M99">
            <v>4320</v>
          </cell>
          <cell r="N99">
            <v>1728</v>
          </cell>
          <cell r="O99">
            <v>1080</v>
          </cell>
          <cell r="P99">
            <v>2088</v>
          </cell>
          <cell r="Q99">
            <v>1296</v>
          </cell>
          <cell r="R99">
            <v>1584</v>
          </cell>
          <cell r="S99">
            <v>1800</v>
          </cell>
          <cell r="T99">
            <v>1584</v>
          </cell>
          <cell r="U99">
            <v>1368</v>
          </cell>
          <cell r="V99">
            <v>1872</v>
          </cell>
          <cell r="W99">
            <v>1872</v>
          </cell>
          <cell r="X99">
            <v>720</v>
          </cell>
        </row>
        <row r="100">
          <cell r="E100">
            <v>1002317</v>
          </cell>
          <cell r="F100" t="str">
            <v>021</v>
          </cell>
          <cell r="G100" t="str">
            <v>3453 - JUVIA'S PLACE</v>
          </cell>
          <cell r="H100" t="str">
            <v>F</v>
          </cell>
          <cell r="I100" t="str">
            <v>A</v>
          </cell>
          <cell r="J100" t="str">
            <v>BASC</v>
          </cell>
          <cell r="K100">
            <v>12</v>
          </cell>
          <cell r="L100">
            <v>2808</v>
          </cell>
          <cell r="M100">
            <v>144</v>
          </cell>
          <cell r="N100">
            <v>216</v>
          </cell>
          <cell r="O100">
            <v>216</v>
          </cell>
          <cell r="P100">
            <v>216</v>
          </cell>
          <cell r="Q100">
            <v>288</v>
          </cell>
          <cell r="R100">
            <v>216</v>
          </cell>
          <cell r="S100">
            <v>288</v>
          </cell>
          <cell r="T100">
            <v>288</v>
          </cell>
          <cell r="U100">
            <v>216</v>
          </cell>
          <cell r="V100">
            <v>288</v>
          </cell>
          <cell r="W100">
            <v>288</v>
          </cell>
          <cell r="X100">
            <v>144</v>
          </cell>
        </row>
        <row r="101">
          <cell r="E101">
            <v>1002241</v>
          </cell>
          <cell r="F101" t="str">
            <v>021</v>
          </cell>
          <cell r="G101" t="str">
            <v>3453 - JUVIA'S PLACE</v>
          </cell>
          <cell r="H101" t="str">
            <v>F</v>
          </cell>
          <cell r="I101" t="str">
            <v>A</v>
          </cell>
          <cell r="J101" t="str">
            <v>BASC</v>
          </cell>
          <cell r="K101">
            <v>12</v>
          </cell>
          <cell r="L101">
            <v>2520</v>
          </cell>
          <cell r="M101">
            <v>144</v>
          </cell>
          <cell r="N101">
            <v>288</v>
          </cell>
          <cell r="O101">
            <v>144</v>
          </cell>
          <cell r="P101">
            <v>144</v>
          </cell>
          <cell r="Q101">
            <v>288</v>
          </cell>
          <cell r="R101">
            <v>216</v>
          </cell>
          <cell r="S101">
            <v>360</v>
          </cell>
          <cell r="T101">
            <v>216</v>
          </cell>
          <cell r="U101">
            <v>144</v>
          </cell>
          <cell r="V101">
            <v>216</v>
          </cell>
          <cell r="W101">
            <v>288</v>
          </cell>
          <cell r="X101">
            <v>72</v>
          </cell>
        </row>
        <row r="102">
          <cell r="E102">
            <v>1001873</v>
          </cell>
          <cell r="F102" t="str">
            <v>021</v>
          </cell>
          <cell r="G102" t="str">
            <v>3453 - JUVIA'S PLACE</v>
          </cell>
          <cell r="H102" t="str">
            <v>F</v>
          </cell>
          <cell r="I102" t="str">
            <v>A</v>
          </cell>
          <cell r="J102" t="str">
            <v>BASC</v>
          </cell>
          <cell r="K102">
            <v>14.4</v>
          </cell>
          <cell r="L102">
            <v>1296</v>
          </cell>
          <cell r="M102">
            <v>72</v>
          </cell>
          <cell r="N102">
            <v>0</v>
          </cell>
          <cell r="O102">
            <v>144</v>
          </cell>
          <cell r="P102">
            <v>72</v>
          </cell>
          <cell r="Q102">
            <v>144</v>
          </cell>
          <cell r="R102">
            <v>72</v>
          </cell>
          <cell r="S102">
            <v>144</v>
          </cell>
          <cell r="T102">
            <v>72</v>
          </cell>
          <cell r="U102">
            <v>216</v>
          </cell>
          <cell r="V102">
            <v>72</v>
          </cell>
          <cell r="W102">
            <v>72</v>
          </cell>
          <cell r="X102">
            <v>216</v>
          </cell>
        </row>
        <row r="103">
          <cell r="E103">
            <v>1001863</v>
          </cell>
          <cell r="F103" t="str">
            <v>021</v>
          </cell>
          <cell r="G103" t="str">
            <v>3453 - JUVIA'S PLACE</v>
          </cell>
          <cell r="H103" t="str">
            <v>F</v>
          </cell>
          <cell r="I103" t="str">
            <v>A</v>
          </cell>
          <cell r="J103" t="str">
            <v>BASC</v>
          </cell>
          <cell r="K103">
            <v>14.4</v>
          </cell>
          <cell r="L103">
            <v>1584</v>
          </cell>
          <cell r="M103">
            <v>0</v>
          </cell>
          <cell r="N103">
            <v>72</v>
          </cell>
          <cell r="O103">
            <v>72</v>
          </cell>
          <cell r="P103">
            <v>144</v>
          </cell>
          <cell r="Q103">
            <v>216</v>
          </cell>
          <cell r="R103">
            <v>72</v>
          </cell>
          <cell r="S103">
            <v>216</v>
          </cell>
          <cell r="T103">
            <v>288</v>
          </cell>
          <cell r="U103">
            <v>72</v>
          </cell>
          <cell r="V103">
            <v>144</v>
          </cell>
          <cell r="W103">
            <v>72</v>
          </cell>
          <cell r="X103">
            <v>216</v>
          </cell>
        </row>
        <row r="104">
          <cell r="E104">
            <v>1200372</v>
          </cell>
          <cell r="F104" t="str">
            <v>021</v>
          </cell>
          <cell r="G104" t="str">
            <v>3453 - JUVIA'S PLACE</v>
          </cell>
          <cell r="H104" t="str">
            <v>F</v>
          </cell>
          <cell r="I104" t="str">
            <v>A</v>
          </cell>
          <cell r="J104" t="str">
            <v>BASC</v>
          </cell>
          <cell r="K104">
            <v>5</v>
          </cell>
          <cell r="L104">
            <v>1944</v>
          </cell>
          <cell r="M104">
            <v>0</v>
          </cell>
          <cell r="N104">
            <v>216</v>
          </cell>
          <cell r="O104">
            <v>72</v>
          </cell>
          <cell r="P104">
            <v>72</v>
          </cell>
          <cell r="Q104">
            <v>216</v>
          </cell>
          <cell r="R104">
            <v>144</v>
          </cell>
          <cell r="S104">
            <v>216</v>
          </cell>
          <cell r="T104">
            <v>144</v>
          </cell>
          <cell r="U104">
            <v>216</v>
          </cell>
          <cell r="V104">
            <v>216</v>
          </cell>
          <cell r="W104">
            <v>216</v>
          </cell>
          <cell r="X104">
            <v>216</v>
          </cell>
        </row>
        <row r="105">
          <cell r="E105">
            <v>1000114</v>
          </cell>
          <cell r="F105" t="str">
            <v>021</v>
          </cell>
          <cell r="G105" t="str">
            <v>3453 - JUVIA'S PLACE</v>
          </cell>
          <cell r="H105" t="str">
            <v>F</v>
          </cell>
          <cell r="I105" t="str">
            <v>A</v>
          </cell>
          <cell r="J105" t="str">
            <v>BASC</v>
          </cell>
          <cell r="K105">
            <v>14.4</v>
          </cell>
          <cell r="L105">
            <v>1530</v>
          </cell>
          <cell r="M105">
            <v>0</v>
          </cell>
          <cell r="N105">
            <v>90</v>
          </cell>
          <cell r="O105">
            <v>90</v>
          </cell>
          <cell r="P105">
            <v>270</v>
          </cell>
          <cell r="Q105">
            <v>90</v>
          </cell>
          <cell r="R105">
            <v>180</v>
          </cell>
          <cell r="S105">
            <v>180</v>
          </cell>
          <cell r="T105">
            <v>180</v>
          </cell>
          <cell r="U105">
            <v>0</v>
          </cell>
          <cell r="V105">
            <v>270</v>
          </cell>
          <cell r="W105">
            <v>180</v>
          </cell>
          <cell r="X105">
            <v>0</v>
          </cell>
        </row>
        <row r="106">
          <cell r="E106">
            <v>1000141</v>
          </cell>
          <cell r="F106" t="str">
            <v>021</v>
          </cell>
          <cell r="G106" t="str">
            <v>3453 - JUVIA'S PLACE</v>
          </cell>
          <cell r="H106" t="str">
            <v>F</v>
          </cell>
          <cell r="I106" t="str">
            <v>A</v>
          </cell>
          <cell r="J106" t="str">
            <v>BASC</v>
          </cell>
          <cell r="K106">
            <v>14.4</v>
          </cell>
          <cell r="L106">
            <v>3150</v>
          </cell>
          <cell r="M106">
            <v>0</v>
          </cell>
          <cell r="N106">
            <v>360</v>
          </cell>
          <cell r="O106">
            <v>90</v>
          </cell>
          <cell r="P106">
            <v>450</v>
          </cell>
          <cell r="Q106">
            <v>270</v>
          </cell>
          <cell r="R106">
            <v>180</v>
          </cell>
          <cell r="S106">
            <v>360</v>
          </cell>
          <cell r="T106">
            <v>270</v>
          </cell>
          <cell r="U106">
            <v>270</v>
          </cell>
          <cell r="V106">
            <v>450</v>
          </cell>
          <cell r="W106">
            <v>270</v>
          </cell>
          <cell r="X106">
            <v>180</v>
          </cell>
        </row>
        <row r="107">
          <cell r="E107">
            <v>1000147</v>
          </cell>
          <cell r="F107" t="str">
            <v>021</v>
          </cell>
          <cell r="G107" t="str">
            <v>3453 - JUVIA'S PLACE</v>
          </cell>
          <cell r="H107" t="str">
            <v>F</v>
          </cell>
          <cell r="I107" t="str">
            <v>A</v>
          </cell>
          <cell r="J107" t="str">
            <v>BASC</v>
          </cell>
          <cell r="K107">
            <v>14.4</v>
          </cell>
          <cell r="L107">
            <v>2880</v>
          </cell>
          <cell r="M107">
            <v>90</v>
          </cell>
          <cell r="N107">
            <v>90</v>
          </cell>
          <cell r="O107">
            <v>180</v>
          </cell>
          <cell r="P107">
            <v>450</v>
          </cell>
          <cell r="Q107">
            <v>270</v>
          </cell>
          <cell r="R107">
            <v>90</v>
          </cell>
          <cell r="S107">
            <v>360</v>
          </cell>
          <cell r="T107">
            <v>270</v>
          </cell>
          <cell r="U107">
            <v>360</v>
          </cell>
          <cell r="V107">
            <v>270</v>
          </cell>
          <cell r="W107">
            <v>270</v>
          </cell>
          <cell r="X107">
            <v>180</v>
          </cell>
        </row>
        <row r="108">
          <cell r="E108">
            <v>1000138</v>
          </cell>
          <cell r="F108" t="str">
            <v>021</v>
          </cell>
          <cell r="G108" t="str">
            <v>3453 - JUVIA'S PLACE</v>
          </cell>
          <cell r="H108" t="str">
            <v>F</v>
          </cell>
          <cell r="I108" t="str">
            <v>A</v>
          </cell>
          <cell r="J108" t="str">
            <v>BASC</v>
          </cell>
          <cell r="K108">
            <v>14.4</v>
          </cell>
          <cell r="L108">
            <v>3240</v>
          </cell>
          <cell r="M108">
            <v>0</v>
          </cell>
          <cell r="N108">
            <v>180</v>
          </cell>
          <cell r="O108">
            <v>270</v>
          </cell>
          <cell r="P108">
            <v>270</v>
          </cell>
          <cell r="Q108">
            <v>360</v>
          </cell>
          <cell r="R108">
            <v>270</v>
          </cell>
          <cell r="S108">
            <v>270</v>
          </cell>
          <cell r="T108">
            <v>450</v>
          </cell>
          <cell r="U108">
            <v>270</v>
          </cell>
          <cell r="V108">
            <v>360</v>
          </cell>
          <cell r="W108">
            <v>450</v>
          </cell>
          <cell r="X108">
            <v>90</v>
          </cell>
        </row>
        <row r="109">
          <cell r="E109">
            <v>1000144</v>
          </cell>
          <cell r="F109" t="str">
            <v>021</v>
          </cell>
          <cell r="G109" t="str">
            <v>3453 - JUVIA'S PLACE</v>
          </cell>
          <cell r="H109" t="str">
            <v>F</v>
          </cell>
          <cell r="I109" t="str">
            <v>A</v>
          </cell>
          <cell r="J109" t="str">
            <v>BASC</v>
          </cell>
          <cell r="K109">
            <v>14.4</v>
          </cell>
          <cell r="L109">
            <v>2610</v>
          </cell>
          <cell r="M109">
            <v>90</v>
          </cell>
          <cell r="N109">
            <v>270</v>
          </cell>
          <cell r="O109">
            <v>90</v>
          </cell>
          <cell r="P109">
            <v>270</v>
          </cell>
          <cell r="Q109">
            <v>360</v>
          </cell>
          <cell r="R109">
            <v>90</v>
          </cell>
          <cell r="S109">
            <v>270</v>
          </cell>
          <cell r="T109">
            <v>360</v>
          </cell>
          <cell r="U109">
            <v>90</v>
          </cell>
          <cell r="V109">
            <v>360</v>
          </cell>
          <cell r="W109">
            <v>180</v>
          </cell>
          <cell r="X109">
            <v>180</v>
          </cell>
        </row>
        <row r="110">
          <cell r="E110">
            <v>1200166</v>
          </cell>
          <cell r="F110" t="str">
            <v>021</v>
          </cell>
          <cell r="G110" t="str">
            <v>3453 - JUVIA'S PLACE</v>
          </cell>
          <cell r="H110" t="str">
            <v>F</v>
          </cell>
          <cell r="I110" t="str">
            <v>A</v>
          </cell>
          <cell r="J110" t="str">
            <v>BASC</v>
          </cell>
          <cell r="K110">
            <v>10</v>
          </cell>
          <cell r="L110">
            <v>2900</v>
          </cell>
          <cell r="M110">
            <v>50</v>
          </cell>
          <cell r="N110">
            <v>300</v>
          </cell>
          <cell r="O110">
            <v>250</v>
          </cell>
          <cell r="P110">
            <v>300</v>
          </cell>
          <cell r="Q110">
            <v>200</v>
          </cell>
          <cell r="R110">
            <v>350</v>
          </cell>
          <cell r="S110">
            <v>250</v>
          </cell>
          <cell r="T110">
            <v>250</v>
          </cell>
          <cell r="U110">
            <v>250</v>
          </cell>
          <cell r="V110">
            <v>350</v>
          </cell>
          <cell r="W110">
            <v>300</v>
          </cell>
          <cell r="X110">
            <v>50</v>
          </cell>
        </row>
        <row r="111">
          <cell r="E111">
            <v>1000585</v>
          </cell>
          <cell r="F111" t="str">
            <v>021</v>
          </cell>
          <cell r="G111" t="str">
            <v>3453 - JUVIA'S PLACE</v>
          </cell>
          <cell r="H111" t="str">
            <v>E</v>
          </cell>
          <cell r="I111" t="str">
            <v>A</v>
          </cell>
          <cell r="J111" t="str">
            <v>BASC</v>
          </cell>
          <cell r="K111">
            <v>9</v>
          </cell>
          <cell r="L111">
            <v>13680</v>
          </cell>
          <cell r="M111">
            <v>1296</v>
          </cell>
          <cell r="N111">
            <v>1296</v>
          </cell>
          <cell r="O111">
            <v>1008</v>
          </cell>
          <cell r="P111">
            <v>1296</v>
          </cell>
          <cell r="Q111">
            <v>1152</v>
          </cell>
          <cell r="R111">
            <v>864</v>
          </cell>
          <cell r="S111">
            <v>1584</v>
          </cell>
          <cell r="T111">
            <v>1152</v>
          </cell>
          <cell r="U111">
            <v>1152</v>
          </cell>
          <cell r="V111">
            <v>1440</v>
          </cell>
          <cell r="W111">
            <v>864</v>
          </cell>
          <cell r="X111">
            <v>576</v>
          </cell>
        </row>
        <row r="112">
          <cell r="E112">
            <v>1000701</v>
          </cell>
          <cell r="F112" t="str">
            <v>021</v>
          </cell>
          <cell r="G112" t="str">
            <v>3453 - JUVIA'S PLACE</v>
          </cell>
          <cell r="H112" t="str">
            <v>E</v>
          </cell>
          <cell r="I112" t="str">
            <v>A</v>
          </cell>
          <cell r="J112" t="str">
            <v>BASC</v>
          </cell>
          <cell r="K112">
            <v>6.5</v>
          </cell>
          <cell r="L112">
            <v>10512</v>
          </cell>
          <cell r="M112">
            <v>1008</v>
          </cell>
          <cell r="N112">
            <v>1008</v>
          </cell>
          <cell r="O112">
            <v>864</v>
          </cell>
          <cell r="P112">
            <v>864</v>
          </cell>
          <cell r="Q112">
            <v>720</v>
          </cell>
          <cell r="R112">
            <v>1008</v>
          </cell>
          <cell r="S112">
            <v>864</v>
          </cell>
          <cell r="T112">
            <v>864</v>
          </cell>
          <cell r="U112">
            <v>864</v>
          </cell>
          <cell r="V112">
            <v>1008</v>
          </cell>
          <cell r="W112">
            <v>1152</v>
          </cell>
          <cell r="X112">
            <v>288</v>
          </cell>
        </row>
        <row r="113">
          <cell r="E113">
            <v>1000670</v>
          </cell>
          <cell r="F113" t="str">
            <v>021</v>
          </cell>
          <cell r="G113" t="str">
            <v>3453 - JUVIA'S PLACE</v>
          </cell>
          <cell r="H113" t="str">
            <v>E</v>
          </cell>
          <cell r="I113" t="str">
            <v>A</v>
          </cell>
          <cell r="J113" t="str">
            <v>BASC</v>
          </cell>
          <cell r="K113">
            <v>7.5</v>
          </cell>
          <cell r="L113">
            <v>8784</v>
          </cell>
          <cell r="M113">
            <v>1440</v>
          </cell>
          <cell r="N113">
            <v>576</v>
          </cell>
          <cell r="O113">
            <v>720</v>
          </cell>
          <cell r="P113">
            <v>576</v>
          </cell>
          <cell r="Q113">
            <v>576</v>
          </cell>
          <cell r="R113">
            <v>720</v>
          </cell>
          <cell r="S113">
            <v>864</v>
          </cell>
          <cell r="T113">
            <v>720</v>
          </cell>
          <cell r="U113">
            <v>576</v>
          </cell>
          <cell r="V113">
            <v>1008</v>
          </cell>
          <cell r="W113">
            <v>576</v>
          </cell>
          <cell r="X113">
            <v>432</v>
          </cell>
        </row>
        <row r="114">
          <cell r="E114">
            <v>1000676</v>
          </cell>
          <cell r="F114" t="str">
            <v>021</v>
          </cell>
          <cell r="G114" t="str">
            <v>3453 - JUVIA'S PLACE</v>
          </cell>
          <cell r="H114" t="str">
            <v>E</v>
          </cell>
          <cell r="I114" t="str">
            <v>A</v>
          </cell>
          <cell r="J114" t="str">
            <v>BASC</v>
          </cell>
          <cell r="K114">
            <v>7.5</v>
          </cell>
          <cell r="L114">
            <v>7920</v>
          </cell>
          <cell r="M114">
            <v>1008</v>
          </cell>
          <cell r="N114">
            <v>864</v>
          </cell>
          <cell r="O114">
            <v>288</v>
          </cell>
          <cell r="P114">
            <v>864</v>
          </cell>
          <cell r="Q114">
            <v>576</v>
          </cell>
          <cell r="R114">
            <v>432</v>
          </cell>
          <cell r="S114">
            <v>864</v>
          </cell>
          <cell r="T114">
            <v>432</v>
          </cell>
          <cell r="U114">
            <v>720</v>
          </cell>
          <cell r="V114">
            <v>864</v>
          </cell>
          <cell r="W114">
            <v>576</v>
          </cell>
          <cell r="X114">
            <v>432</v>
          </cell>
        </row>
        <row r="115">
          <cell r="E115">
            <v>1001322</v>
          </cell>
          <cell r="F115" t="str">
            <v>021</v>
          </cell>
          <cell r="G115" t="str">
            <v>3453 - JUVIA'S PLACE</v>
          </cell>
          <cell r="H115" t="str">
            <v>F</v>
          </cell>
          <cell r="I115" t="str">
            <v>A</v>
          </cell>
          <cell r="J115" t="str">
            <v>BASC</v>
          </cell>
          <cell r="K115">
            <v>6.5</v>
          </cell>
          <cell r="L115">
            <v>4752</v>
          </cell>
          <cell r="M115">
            <v>432</v>
          </cell>
          <cell r="N115">
            <v>432</v>
          </cell>
          <cell r="O115">
            <v>288</v>
          </cell>
          <cell r="P115">
            <v>432</v>
          </cell>
          <cell r="Q115">
            <v>288</v>
          </cell>
          <cell r="R115">
            <v>432</v>
          </cell>
          <cell r="S115">
            <v>576</v>
          </cell>
          <cell r="T115">
            <v>288</v>
          </cell>
          <cell r="U115">
            <v>288</v>
          </cell>
          <cell r="V115">
            <v>576</v>
          </cell>
          <cell r="W115">
            <v>144</v>
          </cell>
          <cell r="X115">
            <v>576</v>
          </cell>
        </row>
        <row r="116">
          <cell r="E116">
            <v>1002009</v>
          </cell>
          <cell r="F116" t="str">
            <v>021</v>
          </cell>
          <cell r="G116" t="str">
            <v>3453 - JUVIA'S PLACE</v>
          </cell>
          <cell r="H116" t="str">
            <v>F</v>
          </cell>
          <cell r="I116" t="str">
            <v>A</v>
          </cell>
          <cell r="J116" t="str">
            <v>BASC</v>
          </cell>
          <cell r="K116">
            <v>7.5</v>
          </cell>
          <cell r="L116">
            <v>5760</v>
          </cell>
          <cell r="M116">
            <v>432</v>
          </cell>
          <cell r="N116">
            <v>576</v>
          </cell>
          <cell r="O116">
            <v>432</v>
          </cell>
          <cell r="P116">
            <v>432</v>
          </cell>
          <cell r="Q116">
            <v>288</v>
          </cell>
          <cell r="R116">
            <v>576</v>
          </cell>
          <cell r="S116">
            <v>432</v>
          </cell>
          <cell r="T116">
            <v>288</v>
          </cell>
          <cell r="U116">
            <v>720</v>
          </cell>
          <cell r="V116">
            <v>576</v>
          </cell>
          <cell r="W116">
            <v>864</v>
          </cell>
          <cell r="X116">
            <v>144</v>
          </cell>
        </row>
        <row r="117">
          <cell r="E117">
            <v>1002017</v>
          </cell>
          <cell r="F117" t="str">
            <v>021</v>
          </cell>
          <cell r="G117" t="str">
            <v>3453 - JUVIA'S PLACE</v>
          </cell>
          <cell r="H117" t="str">
            <v>F</v>
          </cell>
          <cell r="I117" t="str">
            <v>A</v>
          </cell>
          <cell r="J117" t="str">
            <v>BASC</v>
          </cell>
          <cell r="K117">
            <v>7.5</v>
          </cell>
          <cell r="L117">
            <v>4032</v>
          </cell>
          <cell r="M117">
            <v>288</v>
          </cell>
          <cell r="N117">
            <v>432</v>
          </cell>
          <cell r="O117">
            <v>288</v>
          </cell>
          <cell r="P117">
            <v>288</v>
          </cell>
          <cell r="Q117">
            <v>288</v>
          </cell>
          <cell r="R117">
            <v>432</v>
          </cell>
          <cell r="S117">
            <v>144</v>
          </cell>
          <cell r="T117">
            <v>432</v>
          </cell>
          <cell r="U117">
            <v>144</v>
          </cell>
          <cell r="V117">
            <v>720</v>
          </cell>
          <cell r="W117">
            <v>432</v>
          </cell>
          <cell r="X117">
            <v>144</v>
          </cell>
        </row>
        <row r="118">
          <cell r="E118">
            <v>1002193</v>
          </cell>
          <cell r="F118" t="str">
            <v>021</v>
          </cell>
          <cell r="G118" t="str">
            <v>3453 - JUVIA'S PLACE</v>
          </cell>
          <cell r="H118" t="str">
            <v>F</v>
          </cell>
          <cell r="I118" t="str">
            <v>A</v>
          </cell>
          <cell r="J118" t="str">
            <v>BASC</v>
          </cell>
          <cell r="K118">
            <v>7.5</v>
          </cell>
          <cell r="L118">
            <v>3600</v>
          </cell>
          <cell r="M118">
            <v>144</v>
          </cell>
          <cell r="N118">
            <v>288</v>
          </cell>
          <cell r="O118">
            <v>432</v>
          </cell>
          <cell r="P118">
            <v>288</v>
          </cell>
          <cell r="Q118">
            <v>432</v>
          </cell>
          <cell r="R118">
            <v>0</v>
          </cell>
          <cell r="S118">
            <v>576</v>
          </cell>
          <cell r="T118">
            <v>144</v>
          </cell>
          <cell r="U118">
            <v>576</v>
          </cell>
          <cell r="V118">
            <v>288</v>
          </cell>
          <cell r="W118">
            <v>432</v>
          </cell>
          <cell r="X118">
            <v>0</v>
          </cell>
        </row>
        <row r="119">
          <cell r="E119">
            <v>1002194</v>
          </cell>
          <cell r="F119" t="str">
            <v>021</v>
          </cell>
          <cell r="G119" t="str">
            <v>3453 - JUVIA'S PLACE</v>
          </cell>
          <cell r="H119" t="str">
            <v>F</v>
          </cell>
          <cell r="I119" t="str">
            <v>A</v>
          </cell>
          <cell r="J119" t="str">
            <v>BASC</v>
          </cell>
          <cell r="K119">
            <v>7.5</v>
          </cell>
          <cell r="L119">
            <v>2736</v>
          </cell>
          <cell r="M119">
            <v>0</v>
          </cell>
          <cell r="N119">
            <v>432</v>
          </cell>
          <cell r="O119">
            <v>144</v>
          </cell>
          <cell r="P119">
            <v>144</v>
          </cell>
          <cell r="Q119">
            <v>432</v>
          </cell>
          <cell r="R119">
            <v>0</v>
          </cell>
          <cell r="S119">
            <v>288</v>
          </cell>
          <cell r="T119">
            <v>144</v>
          </cell>
          <cell r="U119">
            <v>432</v>
          </cell>
          <cell r="V119">
            <v>288</v>
          </cell>
          <cell r="W119">
            <v>432</v>
          </cell>
          <cell r="X119">
            <v>0</v>
          </cell>
        </row>
        <row r="120">
          <cell r="E120">
            <v>1001991</v>
          </cell>
          <cell r="F120" t="str">
            <v>021</v>
          </cell>
          <cell r="G120" t="str">
            <v>3453 - JUVIA'S PLACE</v>
          </cell>
          <cell r="H120" t="str">
            <v>F</v>
          </cell>
          <cell r="I120" t="str">
            <v>A</v>
          </cell>
          <cell r="J120" t="str">
            <v>BASC</v>
          </cell>
          <cell r="K120">
            <v>7.5</v>
          </cell>
          <cell r="L120">
            <v>3744</v>
          </cell>
          <cell r="M120">
            <v>288</v>
          </cell>
          <cell r="N120">
            <v>288</v>
          </cell>
          <cell r="O120">
            <v>288</v>
          </cell>
          <cell r="P120">
            <v>288</v>
          </cell>
          <cell r="Q120">
            <v>432</v>
          </cell>
          <cell r="R120">
            <v>288</v>
          </cell>
          <cell r="S120">
            <v>288</v>
          </cell>
          <cell r="T120">
            <v>288</v>
          </cell>
          <cell r="U120">
            <v>432</v>
          </cell>
          <cell r="V120">
            <v>288</v>
          </cell>
          <cell r="W120">
            <v>432</v>
          </cell>
          <cell r="X120">
            <v>144</v>
          </cell>
        </row>
        <row r="121">
          <cell r="E121">
            <v>1002103</v>
          </cell>
          <cell r="F121" t="str">
            <v>021</v>
          </cell>
          <cell r="G121" t="str">
            <v>3453 - JUVIA'S PLACE</v>
          </cell>
          <cell r="H121" t="str">
            <v>F</v>
          </cell>
          <cell r="I121" t="str">
            <v>A</v>
          </cell>
          <cell r="J121" t="str">
            <v>BASC</v>
          </cell>
          <cell r="K121">
            <v>7.5</v>
          </cell>
          <cell r="L121">
            <v>2736</v>
          </cell>
          <cell r="M121">
            <v>144</v>
          </cell>
          <cell r="N121">
            <v>144</v>
          </cell>
          <cell r="O121">
            <v>288</v>
          </cell>
          <cell r="P121">
            <v>288</v>
          </cell>
          <cell r="Q121">
            <v>144</v>
          </cell>
          <cell r="R121">
            <v>288</v>
          </cell>
          <cell r="S121">
            <v>144</v>
          </cell>
          <cell r="T121">
            <v>288</v>
          </cell>
          <cell r="U121">
            <v>288</v>
          </cell>
          <cell r="V121">
            <v>288</v>
          </cell>
          <cell r="W121">
            <v>288</v>
          </cell>
          <cell r="X121">
            <v>144</v>
          </cell>
        </row>
        <row r="122">
          <cell r="E122">
            <v>1002105</v>
          </cell>
          <cell r="F122" t="str">
            <v>021</v>
          </cell>
          <cell r="G122" t="str">
            <v>3453 - JUVIA'S PLACE</v>
          </cell>
          <cell r="H122" t="str">
            <v>F</v>
          </cell>
          <cell r="I122" t="str">
            <v>A</v>
          </cell>
          <cell r="J122" t="str">
            <v>BASC</v>
          </cell>
          <cell r="K122">
            <v>7.5</v>
          </cell>
          <cell r="L122">
            <v>1872</v>
          </cell>
          <cell r="M122">
            <v>0</v>
          </cell>
          <cell r="N122">
            <v>144</v>
          </cell>
          <cell r="O122">
            <v>288</v>
          </cell>
          <cell r="P122">
            <v>144</v>
          </cell>
          <cell r="Q122">
            <v>144</v>
          </cell>
          <cell r="R122">
            <v>144</v>
          </cell>
          <cell r="S122">
            <v>288</v>
          </cell>
          <cell r="T122">
            <v>0</v>
          </cell>
          <cell r="U122">
            <v>288</v>
          </cell>
          <cell r="V122">
            <v>144</v>
          </cell>
          <cell r="W122">
            <v>288</v>
          </cell>
          <cell r="X122">
            <v>0</v>
          </cell>
        </row>
        <row r="123">
          <cell r="E123">
            <v>1002277</v>
          </cell>
          <cell r="F123" t="str">
            <v>021</v>
          </cell>
          <cell r="G123" t="str">
            <v>3453 - JUVIA'S PLACE</v>
          </cell>
          <cell r="H123" t="str">
            <v>F</v>
          </cell>
          <cell r="I123" t="str">
            <v>A</v>
          </cell>
          <cell r="J123" t="str">
            <v>BASC</v>
          </cell>
          <cell r="K123">
            <v>7.5</v>
          </cell>
          <cell r="L123">
            <v>5040</v>
          </cell>
          <cell r="M123">
            <v>576</v>
          </cell>
          <cell r="N123">
            <v>288</v>
          </cell>
          <cell r="O123">
            <v>288</v>
          </cell>
          <cell r="P123">
            <v>576</v>
          </cell>
          <cell r="Q123">
            <v>288</v>
          </cell>
          <cell r="R123">
            <v>432</v>
          </cell>
          <cell r="S123">
            <v>576</v>
          </cell>
          <cell r="T123">
            <v>288</v>
          </cell>
          <cell r="U123">
            <v>576</v>
          </cell>
          <cell r="V123">
            <v>576</v>
          </cell>
          <cell r="W123">
            <v>432</v>
          </cell>
          <cell r="X123">
            <v>144</v>
          </cell>
        </row>
        <row r="124">
          <cell r="E124">
            <v>1002388</v>
          </cell>
          <cell r="F124" t="str">
            <v>021</v>
          </cell>
          <cell r="G124" t="str">
            <v>3453 - JUVIA'S PLACE</v>
          </cell>
          <cell r="H124" t="str">
            <v>F</v>
          </cell>
          <cell r="I124" t="str">
            <v>A</v>
          </cell>
          <cell r="J124" t="str">
            <v>BASC</v>
          </cell>
          <cell r="K124">
            <v>7.5</v>
          </cell>
          <cell r="L124">
            <v>5760</v>
          </cell>
          <cell r="M124">
            <v>720</v>
          </cell>
          <cell r="N124">
            <v>288</v>
          </cell>
          <cell r="O124">
            <v>432</v>
          </cell>
          <cell r="P124">
            <v>288</v>
          </cell>
          <cell r="Q124">
            <v>576</v>
          </cell>
          <cell r="R124">
            <v>288</v>
          </cell>
          <cell r="S124">
            <v>432</v>
          </cell>
          <cell r="T124">
            <v>576</v>
          </cell>
          <cell r="U124">
            <v>288</v>
          </cell>
          <cell r="V124">
            <v>864</v>
          </cell>
          <cell r="W124">
            <v>576</v>
          </cell>
          <cell r="X124">
            <v>432</v>
          </cell>
        </row>
        <row r="125">
          <cell r="E125">
            <v>1002390</v>
          </cell>
          <cell r="F125" t="str">
            <v>021</v>
          </cell>
          <cell r="G125" t="str">
            <v>3453 - JUVIA'S PLACE</v>
          </cell>
          <cell r="H125" t="str">
            <v>F</v>
          </cell>
          <cell r="I125" t="str">
            <v>A</v>
          </cell>
          <cell r="J125" t="str">
            <v>BASC</v>
          </cell>
          <cell r="K125">
            <v>7.5</v>
          </cell>
          <cell r="L125">
            <v>4464</v>
          </cell>
          <cell r="M125">
            <v>576</v>
          </cell>
          <cell r="N125">
            <v>288</v>
          </cell>
          <cell r="O125">
            <v>0</v>
          </cell>
          <cell r="P125">
            <v>432</v>
          </cell>
          <cell r="Q125">
            <v>288</v>
          </cell>
          <cell r="R125">
            <v>432</v>
          </cell>
          <cell r="S125">
            <v>144</v>
          </cell>
          <cell r="T125">
            <v>576</v>
          </cell>
          <cell r="U125">
            <v>144</v>
          </cell>
          <cell r="V125">
            <v>720</v>
          </cell>
          <cell r="W125">
            <v>576</v>
          </cell>
          <cell r="X125">
            <v>288</v>
          </cell>
        </row>
        <row r="126">
          <cell r="E126">
            <v>1002396</v>
          </cell>
          <cell r="F126" t="str">
            <v>021</v>
          </cell>
          <cell r="G126" t="str">
            <v>3453 - JUVIA'S PLACE</v>
          </cell>
          <cell r="H126" t="str">
            <v>F</v>
          </cell>
          <cell r="I126" t="str">
            <v>A</v>
          </cell>
          <cell r="J126" t="str">
            <v>BASC</v>
          </cell>
          <cell r="K126">
            <v>7.5</v>
          </cell>
          <cell r="L126">
            <v>864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144</v>
          </cell>
          <cell r="R126">
            <v>0</v>
          </cell>
          <cell r="S126">
            <v>0</v>
          </cell>
          <cell r="T126">
            <v>144</v>
          </cell>
          <cell r="U126">
            <v>144</v>
          </cell>
          <cell r="V126">
            <v>144</v>
          </cell>
          <cell r="W126">
            <v>288</v>
          </cell>
          <cell r="X126">
            <v>0</v>
          </cell>
        </row>
        <row r="127">
          <cell r="E127">
            <v>1002319</v>
          </cell>
          <cell r="F127" t="str">
            <v>021</v>
          </cell>
          <cell r="G127" t="str">
            <v>3453 - JUVIA'S PLACE</v>
          </cell>
          <cell r="H127" t="str">
            <v>F</v>
          </cell>
          <cell r="I127" t="str">
            <v>A</v>
          </cell>
          <cell r="J127" t="str">
            <v>BASC</v>
          </cell>
          <cell r="K127">
            <v>12</v>
          </cell>
          <cell r="L127">
            <v>3816</v>
          </cell>
          <cell r="M127">
            <v>288</v>
          </cell>
          <cell r="N127">
            <v>144</v>
          </cell>
          <cell r="O127">
            <v>360</v>
          </cell>
          <cell r="P127">
            <v>432</v>
          </cell>
          <cell r="Q127">
            <v>288</v>
          </cell>
          <cell r="R127">
            <v>360</v>
          </cell>
          <cell r="S127">
            <v>360</v>
          </cell>
          <cell r="T127">
            <v>216</v>
          </cell>
          <cell r="U127">
            <v>360</v>
          </cell>
          <cell r="V127">
            <v>360</v>
          </cell>
          <cell r="W127">
            <v>360</v>
          </cell>
          <cell r="X127">
            <v>288</v>
          </cell>
        </row>
        <row r="128">
          <cell r="E128">
            <v>1001899</v>
          </cell>
          <cell r="F128" t="str">
            <v>021</v>
          </cell>
          <cell r="G128" t="str">
            <v>3453 - JUVIA'S PLACE</v>
          </cell>
          <cell r="H128" t="str">
            <v>F</v>
          </cell>
          <cell r="I128" t="str">
            <v>A</v>
          </cell>
          <cell r="J128" t="str">
            <v>BASC</v>
          </cell>
          <cell r="K128">
            <v>12</v>
          </cell>
          <cell r="L128">
            <v>2376</v>
          </cell>
          <cell r="M128">
            <v>72</v>
          </cell>
          <cell r="N128">
            <v>288</v>
          </cell>
          <cell r="O128">
            <v>144</v>
          </cell>
          <cell r="P128">
            <v>216</v>
          </cell>
          <cell r="Q128">
            <v>288</v>
          </cell>
          <cell r="R128">
            <v>144</v>
          </cell>
          <cell r="S128">
            <v>216</v>
          </cell>
          <cell r="T128">
            <v>288</v>
          </cell>
          <cell r="U128">
            <v>144</v>
          </cell>
          <cell r="V128">
            <v>288</v>
          </cell>
          <cell r="W128">
            <v>144</v>
          </cell>
          <cell r="X128">
            <v>144</v>
          </cell>
        </row>
        <row r="129">
          <cell r="E129">
            <v>1001900</v>
          </cell>
          <cell r="F129" t="str">
            <v>021</v>
          </cell>
          <cell r="G129" t="str">
            <v>3453 - JUVIA'S PLACE</v>
          </cell>
          <cell r="H129" t="str">
            <v>F</v>
          </cell>
          <cell r="I129" t="str">
            <v>A</v>
          </cell>
          <cell r="J129" t="str">
            <v>BASC</v>
          </cell>
          <cell r="K129">
            <v>12</v>
          </cell>
          <cell r="L129">
            <v>1800</v>
          </cell>
          <cell r="M129">
            <v>144</v>
          </cell>
          <cell r="N129">
            <v>216</v>
          </cell>
          <cell r="O129">
            <v>72</v>
          </cell>
          <cell r="P129">
            <v>144</v>
          </cell>
          <cell r="Q129">
            <v>216</v>
          </cell>
          <cell r="R129">
            <v>72</v>
          </cell>
          <cell r="S129">
            <v>288</v>
          </cell>
          <cell r="T129">
            <v>72</v>
          </cell>
          <cell r="U129">
            <v>144</v>
          </cell>
          <cell r="V129">
            <v>216</v>
          </cell>
          <cell r="W129">
            <v>216</v>
          </cell>
          <cell r="X129">
            <v>0</v>
          </cell>
        </row>
        <row r="130">
          <cell r="E130">
            <v>1001950</v>
          </cell>
          <cell r="F130" t="str">
            <v>021</v>
          </cell>
          <cell r="G130" t="str">
            <v>3453 - JUVIA'S PLACE</v>
          </cell>
          <cell r="H130" t="str">
            <v>F</v>
          </cell>
          <cell r="I130" t="str">
            <v>A</v>
          </cell>
          <cell r="J130" t="str">
            <v>BASC</v>
          </cell>
          <cell r="K130">
            <v>14.4</v>
          </cell>
          <cell r="L130">
            <v>2376</v>
          </cell>
          <cell r="M130">
            <v>144</v>
          </cell>
          <cell r="N130">
            <v>216</v>
          </cell>
          <cell r="O130">
            <v>72</v>
          </cell>
          <cell r="P130">
            <v>216</v>
          </cell>
          <cell r="Q130">
            <v>216</v>
          </cell>
          <cell r="R130">
            <v>216</v>
          </cell>
          <cell r="S130">
            <v>288</v>
          </cell>
          <cell r="T130">
            <v>216</v>
          </cell>
          <cell r="U130">
            <v>144</v>
          </cell>
          <cell r="V130">
            <v>288</v>
          </cell>
          <cell r="W130">
            <v>288</v>
          </cell>
          <cell r="X130">
            <v>72</v>
          </cell>
        </row>
        <row r="131">
          <cell r="E131">
            <v>1001958</v>
          </cell>
          <cell r="F131" t="str">
            <v>021</v>
          </cell>
          <cell r="G131" t="str">
            <v>3453 - JUVIA'S PLACE</v>
          </cell>
          <cell r="H131" t="str">
            <v>F</v>
          </cell>
          <cell r="I131" t="str">
            <v>A</v>
          </cell>
          <cell r="J131" t="str">
            <v>BASC</v>
          </cell>
          <cell r="K131">
            <v>14.4</v>
          </cell>
          <cell r="L131">
            <v>1584</v>
          </cell>
          <cell r="M131">
            <v>72</v>
          </cell>
          <cell r="N131">
            <v>72</v>
          </cell>
          <cell r="O131">
            <v>72</v>
          </cell>
          <cell r="P131">
            <v>144</v>
          </cell>
          <cell r="Q131">
            <v>216</v>
          </cell>
          <cell r="R131">
            <v>144</v>
          </cell>
          <cell r="S131">
            <v>144</v>
          </cell>
          <cell r="T131">
            <v>144</v>
          </cell>
          <cell r="U131">
            <v>72</v>
          </cell>
          <cell r="V131">
            <v>144</v>
          </cell>
          <cell r="W131">
            <v>216</v>
          </cell>
          <cell r="X131">
            <v>144</v>
          </cell>
        </row>
        <row r="132">
          <cell r="E132">
            <v>1001961</v>
          </cell>
          <cell r="F132" t="str">
            <v>021</v>
          </cell>
          <cell r="G132" t="str">
            <v>3453 - JUVIA'S PLACE</v>
          </cell>
          <cell r="H132" t="str">
            <v>F</v>
          </cell>
          <cell r="I132" t="str">
            <v>A</v>
          </cell>
          <cell r="J132" t="str">
            <v>BASC</v>
          </cell>
          <cell r="K132">
            <v>14.4</v>
          </cell>
          <cell r="L132">
            <v>1800</v>
          </cell>
          <cell r="M132">
            <v>72</v>
          </cell>
          <cell r="N132">
            <v>72</v>
          </cell>
          <cell r="O132">
            <v>216</v>
          </cell>
          <cell r="P132">
            <v>72</v>
          </cell>
          <cell r="Q132">
            <v>144</v>
          </cell>
          <cell r="R132">
            <v>288</v>
          </cell>
          <cell r="S132">
            <v>72</v>
          </cell>
          <cell r="T132">
            <v>216</v>
          </cell>
          <cell r="U132">
            <v>72</v>
          </cell>
          <cell r="V132">
            <v>216</v>
          </cell>
          <cell r="W132">
            <v>216</v>
          </cell>
          <cell r="X132">
            <v>144</v>
          </cell>
        </row>
        <row r="133">
          <cell r="E133">
            <v>1001870</v>
          </cell>
          <cell r="F133" t="str">
            <v>021</v>
          </cell>
          <cell r="G133" t="str">
            <v>3453 - JUVIA'S PLACE</v>
          </cell>
          <cell r="H133" t="str">
            <v>F</v>
          </cell>
          <cell r="I133" t="str">
            <v>A</v>
          </cell>
          <cell r="J133" t="str">
            <v>BASC</v>
          </cell>
          <cell r="K133">
            <v>14.4</v>
          </cell>
          <cell r="L133">
            <v>2232</v>
          </cell>
          <cell r="M133">
            <v>288</v>
          </cell>
          <cell r="N133">
            <v>72</v>
          </cell>
          <cell r="O133">
            <v>144</v>
          </cell>
          <cell r="P133">
            <v>216</v>
          </cell>
          <cell r="Q133">
            <v>216</v>
          </cell>
          <cell r="R133">
            <v>216</v>
          </cell>
          <cell r="S133">
            <v>144</v>
          </cell>
          <cell r="T133">
            <v>216</v>
          </cell>
          <cell r="U133">
            <v>144</v>
          </cell>
          <cell r="V133">
            <v>288</v>
          </cell>
          <cell r="W133">
            <v>288</v>
          </cell>
          <cell r="X133">
            <v>0</v>
          </cell>
        </row>
        <row r="134">
          <cell r="E134">
            <v>1002409</v>
          </cell>
          <cell r="F134" t="str">
            <v>021</v>
          </cell>
          <cell r="G134" t="str">
            <v>3453 - JUVIA'S PLACE</v>
          </cell>
          <cell r="H134" t="str">
            <v>F</v>
          </cell>
          <cell r="I134" t="str">
            <v>A</v>
          </cell>
          <cell r="J134" t="str">
            <v>BASC</v>
          </cell>
          <cell r="K134">
            <v>5</v>
          </cell>
          <cell r="L134">
            <v>2160</v>
          </cell>
          <cell r="M134">
            <v>144</v>
          </cell>
          <cell r="N134">
            <v>0</v>
          </cell>
          <cell r="O134">
            <v>288</v>
          </cell>
          <cell r="P134">
            <v>144</v>
          </cell>
          <cell r="Q134">
            <v>0</v>
          </cell>
          <cell r="R134">
            <v>288</v>
          </cell>
          <cell r="S134">
            <v>288</v>
          </cell>
          <cell r="T134">
            <v>144</v>
          </cell>
          <cell r="U134">
            <v>144</v>
          </cell>
          <cell r="V134">
            <v>432</v>
          </cell>
          <cell r="W134">
            <v>0</v>
          </cell>
          <cell r="X134">
            <v>288</v>
          </cell>
        </row>
        <row r="135">
          <cell r="E135">
            <v>1002639</v>
          </cell>
          <cell r="F135" t="str">
            <v>021</v>
          </cell>
          <cell r="G135" t="str">
            <v>3453 - JUVIA'S PLACE</v>
          </cell>
          <cell r="H135" t="str">
            <v>F</v>
          </cell>
          <cell r="I135" t="str">
            <v>A</v>
          </cell>
          <cell r="J135" t="str">
            <v>BASC</v>
          </cell>
          <cell r="K135">
            <v>6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E136">
            <v>1200055</v>
          </cell>
          <cell r="F136" t="str">
            <v>021</v>
          </cell>
          <cell r="G136" t="str">
            <v>3453 - JUVIA'S PLACE</v>
          </cell>
          <cell r="H136" t="str">
            <v>F</v>
          </cell>
          <cell r="I136" t="str">
            <v>A</v>
          </cell>
          <cell r="J136" t="str">
            <v>BASC</v>
          </cell>
          <cell r="K136">
            <v>7.5</v>
          </cell>
          <cell r="L136">
            <v>3600</v>
          </cell>
          <cell r="M136">
            <v>288</v>
          </cell>
          <cell r="N136">
            <v>144</v>
          </cell>
          <cell r="O136">
            <v>576</v>
          </cell>
          <cell r="P136">
            <v>0</v>
          </cell>
          <cell r="Q136">
            <v>576</v>
          </cell>
          <cell r="R136">
            <v>144</v>
          </cell>
          <cell r="S136">
            <v>288</v>
          </cell>
          <cell r="T136">
            <v>288</v>
          </cell>
          <cell r="U136">
            <v>432</v>
          </cell>
          <cell r="V136">
            <v>576</v>
          </cell>
          <cell r="W136">
            <v>0</v>
          </cell>
          <cell r="X136">
            <v>288</v>
          </cell>
        </row>
        <row r="137">
          <cell r="E137">
            <v>1200058</v>
          </cell>
          <cell r="F137" t="str">
            <v>021</v>
          </cell>
          <cell r="G137" t="str">
            <v>3453 - JUVIA'S PLACE</v>
          </cell>
          <cell r="H137" t="str">
            <v>E</v>
          </cell>
          <cell r="I137" t="str">
            <v>A</v>
          </cell>
          <cell r="J137" t="str">
            <v>BASC</v>
          </cell>
          <cell r="K137">
            <v>7.5</v>
          </cell>
          <cell r="L137">
            <v>6192</v>
          </cell>
          <cell r="M137">
            <v>288</v>
          </cell>
          <cell r="N137">
            <v>864</v>
          </cell>
          <cell r="O137">
            <v>432</v>
          </cell>
          <cell r="P137">
            <v>432</v>
          </cell>
          <cell r="Q137">
            <v>432</v>
          </cell>
          <cell r="R137">
            <v>576</v>
          </cell>
          <cell r="S137">
            <v>720</v>
          </cell>
          <cell r="T137">
            <v>144</v>
          </cell>
          <cell r="U137">
            <v>576</v>
          </cell>
          <cell r="V137">
            <v>720</v>
          </cell>
          <cell r="W137">
            <v>720</v>
          </cell>
          <cell r="X137">
            <v>288</v>
          </cell>
        </row>
        <row r="138">
          <cell r="E138">
            <v>1200059</v>
          </cell>
          <cell r="F138" t="str">
            <v>021</v>
          </cell>
          <cell r="G138" t="str">
            <v>3453 - JUVIA'S PLACE</v>
          </cell>
          <cell r="H138" t="str">
            <v>F</v>
          </cell>
          <cell r="I138" t="str">
            <v>A</v>
          </cell>
          <cell r="J138" t="str">
            <v>BASC</v>
          </cell>
          <cell r="K138">
            <v>7.5</v>
          </cell>
          <cell r="L138">
            <v>3024</v>
          </cell>
          <cell r="M138">
            <v>288</v>
          </cell>
          <cell r="N138">
            <v>144</v>
          </cell>
          <cell r="O138">
            <v>288</v>
          </cell>
          <cell r="P138">
            <v>288</v>
          </cell>
          <cell r="Q138">
            <v>288</v>
          </cell>
          <cell r="R138">
            <v>0</v>
          </cell>
          <cell r="S138">
            <v>576</v>
          </cell>
          <cell r="T138">
            <v>144</v>
          </cell>
          <cell r="U138">
            <v>288</v>
          </cell>
          <cell r="V138">
            <v>288</v>
          </cell>
          <cell r="W138">
            <v>432</v>
          </cell>
          <cell r="X138">
            <v>0</v>
          </cell>
        </row>
        <row r="139">
          <cell r="E139">
            <v>1200060</v>
          </cell>
          <cell r="F139" t="str">
            <v>021</v>
          </cell>
          <cell r="G139" t="str">
            <v>3453 - JUVIA'S PLACE</v>
          </cell>
          <cell r="H139" t="str">
            <v>F</v>
          </cell>
          <cell r="I139" t="str">
            <v>A</v>
          </cell>
          <cell r="J139" t="str">
            <v>BASC</v>
          </cell>
          <cell r="K139">
            <v>7.5</v>
          </cell>
          <cell r="L139">
            <v>1872</v>
          </cell>
          <cell r="M139">
            <v>144</v>
          </cell>
          <cell r="N139">
            <v>144</v>
          </cell>
          <cell r="O139">
            <v>144</v>
          </cell>
          <cell r="P139">
            <v>144</v>
          </cell>
          <cell r="Q139">
            <v>144</v>
          </cell>
          <cell r="R139">
            <v>144</v>
          </cell>
          <cell r="S139">
            <v>0</v>
          </cell>
          <cell r="T139">
            <v>144</v>
          </cell>
          <cell r="U139">
            <v>288</v>
          </cell>
          <cell r="V139">
            <v>0</v>
          </cell>
          <cell r="W139">
            <v>576</v>
          </cell>
          <cell r="X139">
            <v>0</v>
          </cell>
        </row>
        <row r="140">
          <cell r="E140">
            <v>1200065</v>
          </cell>
          <cell r="F140" t="str">
            <v>021</v>
          </cell>
          <cell r="G140" t="str">
            <v>3453 - JUVIA'S PLACE</v>
          </cell>
          <cell r="H140" t="str">
            <v>F</v>
          </cell>
          <cell r="I140" t="str">
            <v>A</v>
          </cell>
          <cell r="J140" t="str">
            <v>BASC</v>
          </cell>
          <cell r="K140">
            <v>7.5</v>
          </cell>
          <cell r="L140">
            <v>4608</v>
          </cell>
          <cell r="M140">
            <v>288</v>
          </cell>
          <cell r="N140">
            <v>432</v>
          </cell>
          <cell r="O140">
            <v>432</v>
          </cell>
          <cell r="P140">
            <v>432</v>
          </cell>
          <cell r="Q140">
            <v>288</v>
          </cell>
          <cell r="R140">
            <v>432</v>
          </cell>
          <cell r="S140">
            <v>432</v>
          </cell>
          <cell r="T140">
            <v>288</v>
          </cell>
          <cell r="U140">
            <v>288</v>
          </cell>
          <cell r="V140">
            <v>720</v>
          </cell>
          <cell r="W140">
            <v>576</v>
          </cell>
          <cell r="X140">
            <v>0</v>
          </cell>
        </row>
        <row r="141">
          <cell r="E141">
            <v>1002557</v>
          </cell>
          <cell r="F141" t="str">
            <v>021</v>
          </cell>
          <cell r="G141" t="str">
            <v>3453 - JUVIA'S PLACE</v>
          </cell>
          <cell r="H141" t="str">
            <v>F</v>
          </cell>
          <cell r="I141" t="str">
            <v>A</v>
          </cell>
          <cell r="J141" t="str">
            <v>SUMM</v>
          </cell>
          <cell r="K141">
            <v>7.5</v>
          </cell>
          <cell r="L141">
            <v>1728</v>
          </cell>
          <cell r="M141">
            <v>0</v>
          </cell>
          <cell r="N141">
            <v>0</v>
          </cell>
          <cell r="O141">
            <v>144</v>
          </cell>
          <cell r="P141">
            <v>0</v>
          </cell>
          <cell r="Q141">
            <v>288</v>
          </cell>
          <cell r="R141">
            <v>0</v>
          </cell>
          <cell r="S141">
            <v>144</v>
          </cell>
          <cell r="T141">
            <v>144</v>
          </cell>
          <cell r="U141">
            <v>288</v>
          </cell>
          <cell r="V141">
            <v>576</v>
          </cell>
          <cell r="W141">
            <v>144</v>
          </cell>
          <cell r="X141">
            <v>0</v>
          </cell>
        </row>
        <row r="142">
          <cell r="E142">
            <v>1200161</v>
          </cell>
          <cell r="F142" t="str">
            <v>021</v>
          </cell>
          <cell r="G142" t="str">
            <v>3453 - JUVIA'S PLACE</v>
          </cell>
          <cell r="H142" t="str">
            <v>F</v>
          </cell>
          <cell r="I142" t="str">
            <v>A</v>
          </cell>
          <cell r="J142" t="str">
            <v>BASC</v>
          </cell>
          <cell r="K142">
            <v>9</v>
          </cell>
          <cell r="L142">
            <v>4032</v>
          </cell>
          <cell r="M142">
            <v>144</v>
          </cell>
          <cell r="N142">
            <v>144</v>
          </cell>
          <cell r="O142">
            <v>288</v>
          </cell>
          <cell r="P142">
            <v>432</v>
          </cell>
          <cell r="Q142">
            <v>288</v>
          </cell>
          <cell r="R142">
            <v>144</v>
          </cell>
          <cell r="S142">
            <v>432</v>
          </cell>
          <cell r="T142">
            <v>720</v>
          </cell>
          <cell r="U142">
            <v>144</v>
          </cell>
          <cell r="V142">
            <v>576</v>
          </cell>
          <cell r="W142">
            <v>576</v>
          </cell>
          <cell r="X142">
            <v>144</v>
          </cell>
        </row>
        <row r="143">
          <cell r="E143">
            <v>1200162</v>
          </cell>
          <cell r="F143" t="str">
            <v>021</v>
          </cell>
          <cell r="G143" t="str">
            <v>3453 - JUVIA'S PLACE</v>
          </cell>
          <cell r="H143" t="str">
            <v>F</v>
          </cell>
          <cell r="I143" t="str">
            <v>A</v>
          </cell>
          <cell r="J143" t="str">
            <v>BASC</v>
          </cell>
          <cell r="K143">
            <v>9</v>
          </cell>
          <cell r="L143">
            <v>4464</v>
          </cell>
          <cell r="M143">
            <v>288</v>
          </cell>
          <cell r="N143">
            <v>432</v>
          </cell>
          <cell r="O143">
            <v>144</v>
          </cell>
          <cell r="P143">
            <v>432</v>
          </cell>
          <cell r="Q143">
            <v>432</v>
          </cell>
          <cell r="R143">
            <v>288</v>
          </cell>
          <cell r="S143">
            <v>288</v>
          </cell>
          <cell r="T143">
            <v>576</v>
          </cell>
          <cell r="U143">
            <v>432</v>
          </cell>
          <cell r="V143">
            <v>288</v>
          </cell>
          <cell r="W143">
            <v>576</v>
          </cell>
          <cell r="X143">
            <v>288</v>
          </cell>
        </row>
        <row r="144">
          <cell r="E144">
            <v>1200233</v>
          </cell>
          <cell r="F144" t="str">
            <v>021</v>
          </cell>
          <cell r="G144" t="str">
            <v>3453 - JUVIA'S PLACE</v>
          </cell>
          <cell r="H144" t="str">
            <v>E</v>
          </cell>
          <cell r="I144" t="str">
            <v>A</v>
          </cell>
          <cell r="J144" t="str">
            <v>BASC</v>
          </cell>
          <cell r="K144">
            <v>7.5</v>
          </cell>
          <cell r="L144">
            <v>15696</v>
          </cell>
          <cell r="M144">
            <v>1584</v>
          </cell>
          <cell r="N144">
            <v>1584</v>
          </cell>
          <cell r="O144">
            <v>1008</v>
          </cell>
          <cell r="P144">
            <v>1584</v>
          </cell>
          <cell r="Q144">
            <v>1008</v>
          </cell>
          <cell r="R144">
            <v>1296</v>
          </cell>
          <cell r="S144">
            <v>1296</v>
          </cell>
          <cell r="T144">
            <v>1296</v>
          </cell>
          <cell r="U144">
            <v>1296</v>
          </cell>
          <cell r="V144">
            <v>1584</v>
          </cell>
          <cell r="W144">
            <v>1296</v>
          </cell>
          <cell r="X144">
            <v>864</v>
          </cell>
        </row>
        <row r="145">
          <cell r="E145">
            <v>1200225</v>
          </cell>
          <cell r="F145" t="str">
            <v>021</v>
          </cell>
          <cell r="G145" t="str">
            <v>3453 - JUVIA'S PLACE</v>
          </cell>
          <cell r="H145" t="str">
            <v>F</v>
          </cell>
          <cell r="I145" t="str">
            <v>A</v>
          </cell>
          <cell r="J145" t="str">
            <v>BASC</v>
          </cell>
          <cell r="K145">
            <v>7.5</v>
          </cell>
          <cell r="L145">
            <v>2448</v>
          </cell>
          <cell r="M145">
            <v>0</v>
          </cell>
          <cell r="N145">
            <v>0</v>
          </cell>
          <cell r="O145">
            <v>144</v>
          </cell>
          <cell r="P145">
            <v>0</v>
          </cell>
          <cell r="Q145">
            <v>432</v>
          </cell>
          <cell r="R145">
            <v>144</v>
          </cell>
          <cell r="S145">
            <v>432</v>
          </cell>
          <cell r="T145">
            <v>0</v>
          </cell>
          <cell r="U145">
            <v>432</v>
          </cell>
          <cell r="V145">
            <v>432</v>
          </cell>
          <cell r="W145">
            <v>288</v>
          </cell>
          <cell r="X145">
            <v>144</v>
          </cell>
        </row>
        <row r="146">
          <cell r="E146">
            <v>1200366</v>
          </cell>
          <cell r="F146" t="str">
            <v>021</v>
          </cell>
          <cell r="G146" t="str">
            <v>3453 - JUVIA'S PLACE</v>
          </cell>
          <cell r="H146" t="str">
            <v>F</v>
          </cell>
          <cell r="I146" t="str">
            <v>A</v>
          </cell>
          <cell r="J146" t="str">
            <v>BASC</v>
          </cell>
          <cell r="K146">
            <v>9</v>
          </cell>
          <cell r="L146">
            <v>2016</v>
          </cell>
          <cell r="M146">
            <v>0</v>
          </cell>
          <cell r="N146">
            <v>144</v>
          </cell>
          <cell r="O146">
            <v>0</v>
          </cell>
          <cell r="P146">
            <v>144</v>
          </cell>
          <cell r="Q146">
            <v>144</v>
          </cell>
          <cell r="R146">
            <v>288</v>
          </cell>
          <cell r="S146">
            <v>288</v>
          </cell>
          <cell r="T146">
            <v>144</v>
          </cell>
          <cell r="U146">
            <v>144</v>
          </cell>
          <cell r="V146">
            <v>432</v>
          </cell>
          <cell r="W146">
            <v>144</v>
          </cell>
          <cell r="X146">
            <v>144</v>
          </cell>
        </row>
        <row r="147">
          <cell r="E147">
            <v>1200370</v>
          </cell>
          <cell r="F147" t="str">
            <v>021</v>
          </cell>
          <cell r="G147" t="str">
            <v>3453 - JUVIA'S PLACE</v>
          </cell>
          <cell r="H147" t="str">
            <v>F</v>
          </cell>
          <cell r="I147" t="str">
            <v>A</v>
          </cell>
          <cell r="J147" t="str">
            <v>BASC</v>
          </cell>
          <cell r="K147">
            <v>9</v>
          </cell>
          <cell r="L147">
            <v>3600</v>
          </cell>
          <cell r="M147">
            <v>432</v>
          </cell>
          <cell r="N147">
            <v>576</v>
          </cell>
          <cell r="O147">
            <v>144</v>
          </cell>
          <cell r="P147">
            <v>144</v>
          </cell>
          <cell r="Q147">
            <v>288</v>
          </cell>
          <cell r="R147">
            <v>144</v>
          </cell>
          <cell r="S147">
            <v>432</v>
          </cell>
          <cell r="T147">
            <v>288</v>
          </cell>
          <cell r="U147">
            <v>288</v>
          </cell>
          <cell r="V147">
            <v>288</v>
          </cell>
          <cell r="W147">
            <v>288</v>
          </cell>
          <cell r="X147">
            <v>288</v>
          </cell>
        </row>
        <row r="148">
          <cell r="E148">
            <v>1200368</v>
          </cell>
          <cell r="F148" t="str">
            <v>021</v>
          </cell>
          <cell r="G148" t="str">
            <v>3453 - JUVIA'S PLACE</v>
          </cell>
          <cell r="H148" t="str">
            <v>F</v>
          </cell>
          <cell r="I148" t="str">
            <v>A</v>
          </cell>
          <cell r="J148" t="str">
            <v>BASC</v>
          </cell>
          <cell r="K148">
            <v>9</v>
          </cell>
          <cell r="L148">
            <v>864</v>
          </cell>
          <cell r="M148">
            <v>0</v>
          </cell>
          <cell r="N148">
            <v>144</v>
          </cell>
          <cell r="O148">
            <v>0</v>
          </cell>
          <cell r="P148">
            <v>144</v>
          </cell>
          <cell r="Q148">
            <v>0</v>
          </cell>
          <cell r="R148">
            <v>0</v>
          </cell>
          <cell r="S148">
            <v>144</v>
          </cell>
          <cell r="T148">
            <v>0</v>
          </cell>
          <cell r="U148">
            <v>144</v>
          </cell>
          <cell r="V148">
            <v>0</v>
          </cell>
          <cell r="W148">
            <v>144</v>
          </cell>
          <cell r="X148">
            <v>144</v>
          </cell>
        </row>
        <row r="149">
          <cell r="E149">
            <v>1200448</v>
          </cell>
          <cell r="F149" t="str">
            <v>021</v>
          </cell>
          <cell r="G149" t="str">
            <v>3453 - JUVIA'S PLACE</v>
          </cell>
          <cell r="H149" t="str">
            <v>F</v>
          </cell>
          <cell r="I149" t="str">
            <v>A</v>
          </cell>
          <cell r="J149" t="str">
            <v>BASC</v>
          </cell>
          <cell r="K149">
            <v>7.5</v>
          </cell>
          <cell r="L149">
            <v>432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144</v>
          </cell>
          <cell r="S149">
            <v>0</v>
          </cell>
          <cell r="T149">
            <v>0</v>
          </cell>
          <cell r="U149">
            <v>144</v>
          </cell>
          <cell r="V149">
            <v>144</v>
          </cell>
          <cell r="W149">
            <v>0</v>
          </cell>
          <cell r="X149">
            <v>0</v>
          </cell>
        </row>
        <row r="150">
          <cell r="E150">
            <v>1200395</v>
          </cell>
          <cell r="F150" t="str">
            <v>021</v>
          </cell>
          <cell r="G150" t="str">
            <v>3453 - JUVIA'S PLACE</v>
          </cell>
          <cell r="H150" t="str">
            <v>E</v>
          </cell>
          <cell r="I150" t="str">
            <v>A</v>
          </cell>
          <cell r="J150" t="str">
            <v>BASC</v>
          </cell>
          <cell r="K150">
            <v>10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E151">
            <v>1200437</v>
          </cell>
          <cell r="F151" t="str">
            <v>021</v>
          </cell>
          <cell r="G151" t="str">
            <v>3453 - JUVIA'S PLACE</v>
          </cell>
          <cell r="H151" t="str">
            <v>F</v>
          </cell>
          <cell r="I151" t="str">
            <v>A</v>
          </cell>
          <cell r="J151" t="str">
            <v>BASC</v>
          </cell>
          <cell r="K151">
            <v>10</v>
          </cell>
          <cell r="L151">
            <v>144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144</v>
          </cell>
          <cell r="W151">
            <v>0</v>
          </cell>
          <cell r="X151">
            <v>0</v>
          </cell>
        </row>
        <row r="152">
          <cell r="E152">
            <v>1200441</v>
          </cell>
          <cell r="F152" t="str">
            <v>021</v>
          </cell>
          <cell r="G152" t="str">
            <v>3453 - JUVIA'S PLACE</v>
          </cell>
          <cell r="H152" t="str">
            <v>F</v>
          </cell>
          <cell r="I152" t="str">
            <v>A</v>
          </cell>
          <cell r="J152" t="str">
            <v>BASC</v>
          </cell>
          <cell r="K152">
            <v>10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E153">
            <v>1200513</v>
          </cell>
          <cell r="F153" t="str">
            <v>021</v>
          </cell>
          <cell r="G153" t="str">
            <v>3453 - JUVIA'S PLACE</v>
          </cell>
          <cell r="H153" t="str">
            <v>F</v>
          </cell>
          <cell r="I153" t="str">
            <v>A</v>
          </cell>
          <cell r="J153" t="str">
            <v>BASC</v>
          </cell>
          <cell r="K153">
            <v>7</v>
          </cell>
          <cell r="L153">
            <v>2880</v>
          </cell>
          <cell r="M153">
            <v>144</v>
          </cell>
          <cell r="N153">
            <v>144</v>
          </cell>
          <cell r="O153">
            <v>144</v>
          </cell>
          <cell r="P153">
            <v>144</v>
          </cell>
          <cell r="Q153">
            <v>288</v>
          </cell>
          <cell r="R153">
            <v>144</v>
          </cell>
          <cell r="S153">
            <v>288</v>
          </cell>
          <cell r="T153">
            <v>432</v>
          </cell>
          <cell r="U153">
            <v>288</v>
          </cell>
          <cell r="V153">
            <v>288</v>
          </cell>
          <cell r="W153">
            <v>288</v>
          </cell>
          <cell r="X153">
            <v>288</v>
          </cell>
        </row>
        <row r="154">
          <cell r="E154">
            <v>1200515</v>
          </cell>
          <cell r="F154" t="str">
            <v>021</v>
          </cell>
          <cell r="G154" t="str">
            <v>3453 - JUVIA'S PLACE</v>
          </cell>
          <cell r="H154" t="str">
            <v>E</v>
          </cell>
          <cell r="I154" t="str">
            <v>A</v>
          </cell>
          <cell r="J154" t="str">
            <v>BASC</v>
          </cell>
          <cell r="K154">
            <v>7</v>
          </cell>
          <cell r="L154">
            <v>4032</v>
          </cell>
          <cell r="M154">
            <v>144</v>
          </cell>
          <cell r="N154">
            <v>144</v>
          </cell>
          <cell r="O154">
            <v>144</v>
          </cell>
          <cell r="P154">
            <v>288</v>
          </cell>
          <cell r="Q154">
            <v>288</v>
          </cell>
          <cell r="R154">
            <v>432</v>
          </cell>
          <cell r="S154">
            <v>576</v>
          </cell>
          <cell r="T154">
            <v>144</v>
          </cell>
          <cell r="U154">
            <v>576</v>
          </cell>
          <cell r="V154">
            <v>576</v>
          </cell>
          <cell r="W154">
            <v>144</v>
          </cell>
          <cell r="X154">
            <v>576</v>
          </cell>
        </row>
        <row r="155">
          <cell r="E155">
            <v>1200516</v>
          </cell>
          <cell r="F155" t="str">
            <v>021</v>
          </cell>
          <cell r="G155" t="str">
            <v>3453 - JUVIA'S PLACE</v>
          </cell>
          <cell r="H155" t="str">
            <v>F</v>
          </cell>
          <cell r="I155" t="str">
            <v>A</v>
          </cell>
          <cell r="J155" t="str">
            <v>BASC</v>
          </cell>
          <cell r="K155">
            <v>7</v>
          </cell>
          <cell r="L155">
            <v>4320</v>
          </cell>
          <cell r="M155">
            <v>144</v>
          </cell>
          <cell r="N155">
            <v>288</v>
          </cell>
          <cell r="O155">
            <v>0</v>
          </cell>
          <cell r="P155">
            <v>576</v>
          </cell>
          <cell r="Q155">
            <v>576</v>
          </cell>
          <cell r="R155">
            <v>0</v>
          </cell>
          <cell r="S155">
            <v>576</v>
          </cell>
          <cell r="T155">
            <v>432</v>
          </cell>
          <cell r="U155">
            <v>576</v>
          </cell>
          <cell r="V155">
            <v>576</v>
          </cell>
          <cell r="W155">
            <v>432</v>
          </cell>
          <cell r="X155">
            <v>144</v>
          </cell>
        </row>
        <row r="156">
          <cell r="E156">
            <v>1200517</v>
          </cell>
          <cell r="F156" t="str">
            <v>021</v>
          </cell>
          <cell r="G156" t="str">
            <v>3453 - JUVIA'S PLACE</v>
          </cell>
          <cell r="H156" t="str">
            <v>F</v>
          </cell>
          <cell r="I156" t="str">
            <v>A</v>
          </cell>
          <cell r="J156" t="str">
            <v>BASC</v>
          </cell>
          <cell r="K156">
            <v>7</v>
          </cell>
          <cell r="L156">
            <v>2304</v>
          </cell>
          <cell r="M156">
            <v>0</v>
          </cell>
          <cell r="N156">
            <v>144</v>
          </cell>
          <cell r="O156">
            <v>144</v>
          </cell>
          <cell r="P156">
            <v>0</v>
          </cell>
          <cell r="Q156">
            <v>432</v>
          </cell>
          <cell r="R156">
            <v>0</v>
          </cell>
          <cell r="S156">
            <v>432</v>
          </cell>
          <cell r="T156">
            <v>288</v>
          </cell>
          <cell r="U156">
            <v>144</v>
          </cell>
          <cell r="V156">
            <v>432</v>
          </cell>
          <cell r="W156">
            <v>144</v>
          </cell>
          <cell r="X156">
            <v>144</v>
          </cell>
        </row>
        <row r="157">
          <cell r="E157">
            <v>1200508</v>
          </cell>
          <cell r="F157" t="str">
            <v>021</v>
          </cell>
          <cell r="G157" t="str">
            <v>3453 - JUVIA'S PLACE</v>
          </cell>
          <cell r="H157" t="str">
            <v>D</v>
          </cell>
          <cell r="I157" t="str">
            <v>A</v>
          </cell>
          <cell r="J157" t="str">
            <v>BASC</v>
          </cell>
          <cell r="K157">
            <v>8.5</v>
          </cell>
          <cell r="L157">
            <v>5904</v>
          </cell>
          <cell r="M157">
            <v>0</v>
          </cell>
          <cell r="N157">
            <v>0</v>
          </cell>
          <cell r="O157">
            <v>0</v>
          </cell>
          <cell r="P157">
            <v>288</v>
          </cell>
          <cell r="Q157">
            <v>432</v>
          </cell>
          <cell r="R157">
            <v>432</v>
          </cell>
          <cell r="S157">
            <v>720</v>
          </cell>
          <cell r="T157">
            <v>576</v>
          </cell>
          <cell r="U157">
            <v>720</v>
          </cell>
          <cell r="V157">
            <v>1152</v>
          </cell>
          <cell r="W157">
            <v>1008</v>
          </cell>
          <cell r="X157">
            <v>576</v>
          </cell>
        </row>
        <row r="158">
          <cell r="E158">
            <v>1200594</v>
          </cell>
          <cell r="F158" t="str">
            <v>021</v>
          </cell>
          <cell r="G158" t="str">
            <v>3453 - JUVIA'S PLACE</v>
          </cell>
          <cell r="H158" t="str">
            <v>E</v>
          </cell>
          <cell r="I158" t="str">
            <v>A</v>
          </cell>
          <cell r="J158" t="str">
            <v>BASC</v>
          </cell>
          <cell r="K158">
            <v>7.5</v>
          </cell>
          <cell r="L158">
            <v>2736</v>
          </cell>
          <cell r="M158">
            <v>0</v>
          </cell>
          <cell r="N158">
            <v>0</v>
          </cell>
          <cell r="O158">
            <v>144</v>
          </cell>
          <cell r="P158">
            <v>144</v>
          </cell>
          <cell r="Q158">
            <v>144</v>
          </cell>
          <cell r="R158">
            <v>288</v>
          </cell>
          <cell r="S158">
            <v>288</v>
          </cell>
          <cell r="T158">
            <v>432</v>
          </cell>
          <cell r="U158">
            <v>288</v>
          </cell>
          <cell r="V158">
            <v>432</v>
          </cell>
          <cell r="W158">
            <v>288</v>
          </cell>
          <cell r="X158">
            <v>288</v>
          </cell>
        </row>
        <row r="159">
          <cell r="E159">
            <v>1200595</v>
          </cell>
          <cell r="F159" t="str">
            <v>021</v>
          </cell>
          <cell r="G159" t="str">
            <v>3453 - JUVIA'S PLACE</v>
          </cell>
          <cell r="H159" t="str">
            <v>E</v>
          </cell>
          <cell r="I159" t="str">
            <v>A</v>
          </cell>
          <cell r="J159" t="str">
            <v>BASC</v>
          </cell>
          <cell r="K159">
            <v>7.5</v>
          </cell>
          <cell r="L159">
            <v>2880</v>
          </cell>
          <cell r="M159">
            <v>144</v>
          </cell>
          <cell r="N159">
            <v>144</v>
          </cell>
          <cell r="O159">
            <v>144</v>
          </cell>
          <cell r="P159">
            <v>144</v>
          </cell>
          <cell r="Q159">
            <v>144</v>
          </cell>
          <cell r="R159">
            <v>288</v>
          </cell>
          <cell r="S159">
            <v>288</v>
          </cell>
          <cell r="T159">
            <v>144</v>
          </cell>
          <cell r="U159">
            <v>432</v>
          </cell>
          <cell r="V159">
            <v>288</v>
          </cell>
          <cell r="W159">
            <v>432</v>
          </cell>
          <cell r="X159">
            <v>288</v>
          </cell>
        </row>
        <row r="160">
          <cell r="E160">
            <v>1200428</v>
          </cell>
          <cell r="F160" t="str">
            <v>021</v>
          </cell>
          <cell r="G160" t="str">
            <v>3453 - JUVIA'S PLACE</v>
          </cell>
          <cell r="H160" t="str">
            <v>E</v>
          </cell>
          <cell r="I160" t="str">
            <v>A</v>
          </cell>
          <cell r="J160" t="str">
            <v>BASC</v>
          </cell>
          <cell r="K160">
            <v>6.5</v>
          </cell>
          <cell r="L160">
            <v>8784</v>
          </cell>
          <cell r="M160">
            <v>144</v>
          </cell>
          <cell r="N160">
            <v>288</v>
          </cell>
          <cell r="O160">
            <v>288</v>
          </cell>
          <cell r="P160">
            <v>864</v>
          </cell>
          <cell r="Q160">
            <v>576</v>
          </cell>
          <cell r="R160">
            <v>864</v>
          </cell>
          <cell r="S160">
            <v>1008</v>
          </cell>
          <cell r="T160">
            <v>576</v>
          </cell>
          <cell r="U160">
            <v>1152</v>
          </cell>
          <cell r="V160">
            <v>1296</v>
          </cell>
          <cell r="W160">
            <v>1008</v>
          </cell>
          <cell r="X160">
            <v>720</v>
          </cell>
        </row>
        <row r="161">
          <cell r="E161">
            <v>1002331</v>
          </cell>
          <cell r="F161" t="str">
            <v>021</v>
          </cell>
          <cell r="G161" t="str">
            <v>3453 - JUVIA'S PLACE</v>
          </cell>
          <cell r="H161" t="str">
            <v>E</v>
          </cell>
          <cell r="I161" t="str">
            <v>A</v>
          </cell>
          <cell r="J161" t="str">
            <v>BASC</v>
          </cell>
          <cell r="K161">
            <v>10</v>
          </cell>
          <cell r="L161">
            <v>10080</v>
          </cell>
          <cell r="M161">
            <v>720</v>
          </cell>
          <cell r="N161">
            <v>1440</v>
          </cell>
          <cell r="O161">
            <v>360</v>
          </cell>
          <cell r="P161">
            <v>840</v>
          </cell>
          <cell r="Q161">
            <v>840</v>
          </cell>
          <cell r="R161">
            <v>720</v>
          </cell>
          <cell r="S161">
            <v>1080</v>
          </cell>
          <cell r="T161">
            <v>960</v>
          </cell>
          <cell r="U161">
            <v>1080</v>
          </cell>
          <cell r="V161">
            <v>840</v>
          </cell>
          <cell r="W161">
            <v>840</v>
          </cell>
          <cell r="X161">
            <v>360</v>
          </cell>
        </row>
        <row r="162">
          <cell r="E162">
            <v>1200167</v>
          </cell>
          <cell r="F162" t="str">
            <v>021</v>
          </cell>
          <cell r="G162" t="str">
            <v>3453 - JUVIA'S PLACE</v>
          </cell>
          <cell r="H162" t="str">
            <v>F</v>
          </cell>
          <cell r="I162" t="str">
            <v>A</v>
          </cell>
          <cell r="J162" t="str">
            <v>BASC</v>
          </cell>
          <cell r="K162">
            <v>10</v>
          </cell>
          <cell r="L162">
            <v>2600</v>
          </cell>
          <cell r="M162">
            <v>200</v>
          </cell>
          <cell r="N162">
            <v>100</v>
          </cell>
          <cell r="O162">
            <v>250</v>
          </cell>
          <cell r="P162">
            <v>300</v>
          </cell>
          <cell r="Q162">
            <v>250</v>
          </cell>
          <cell r="R162">
            <v>150</v>
          </cell>
          <cell r="S162">
            <v>250</v>
          </cell>
          <cell r="T162">
            <v>200</v>
          </cell>
          <cell r="U162">
            <v>200</v>
          </cell>
          <cell r="V162">
            <v>400</v>
          </cell>
          <cell r="W162">
            <v>150</v>
          </cell>
          <cell r="X162">
            <v>150</v>
          </cell>
        </row>
        <row r="163">
          <cell r="E163">
            <v>1100006</v>
          </cell>
          <cell r="F163" t="str">
            <v>021</v>
          </cell>
          <cell r="G163" t="str">
            <v>3453 - JUVIA'S PLACE</v>
          </cell>
          <cell r="H163" t="str">
            <v>B</v>
          </cell>
          <cell r="I163" t="str">
            <v>A</v>
          </cell>
          <cell r="J163" t="str">
            <v>BASC</v>
          </cell>
          <cell r="K163">
            <v>19</v>
          </cell>
          <cell r="L163">
            <v>42384</v>
          </cell>
          <cell r="M163">
            <v>8112</v>
          </cell>
          <cell r="N163">
            <v>3216</v>
          </cell>
          <cell r="O163">
            <v>2256</v>
          </cell>
          <cell r="P163">
            <v>4656</v>
          </cell>
          <cell r="Q163">
            <v>3168</v>
          </cell>
          <cell r="R163">
            <v>3744</v>
          </cell>
          <cell r="S163">
            <v>3936</v>
          </cell>
          <cell r="T163">
            <v>3120</v>
          </cell>
          <cell r="U163">
            <v>2592</v>
          </cell>
          <cell r="V163">
            <v>3264</v>
          </cell>
          <cell r="W163">
            <v>2976</v>
          </cell>
          <cell r="X163">
            <v>1344</v>
          </cell>
        </row>
        <row r="164">
          <cell r="E164">
            <v>1000131</v>
          </cell>
          <cell r="F164" t="str">
            <v>021</v>
          </cell>
          <cell r="G164" t="str">
            <v>3453 - JUVIA'S PLACE</v>
          </cell>
          <cell r="H164" t="str">
            <v>F</v>
          </cell>
          <cell r="I164" t="str">
            <v>A</v>
          </cell>
          <cell r="J164" t="str">
            <v>BASC</v>
          </cell>
          <cell r="K164">
            <v>14.4</v>
          </cell>
          <cell r="L164">
            <v>2340</v>
          </cell>
          <cell r="M164">
            <v>180</v>
          </cell>
          <cell r="N164">
            <v>0</v>
          </cell>
          <cell r="O164">
            <v>180</v>
          </cell>
          <cell r="P164">
            <v>360</v>
          </cell>
          <cell r="Q164">
            <v>180</v>
          </cell>
          <cell r="R164">
            <v>90</v>
          </cell>
          <cell r="S164">
            <v>360</v>
          </cell>
          <cell r="T164">
            <v>180</v>
          </cell>
          <cell r="U164">
            <v>270</v>
          </cell>
          <cell r="V164">
            <v>270</v>
          </cell>
          <cell r="W164">
            <v>180</v>
          </cell>
          <cell r="X164">
            <v>90</v>
          </cell>
        </row>
        <row r="165">
          <cell r="E165">
            <v>1000125</v>
          </cell>
          <cell r="F165" t="str">
            <v>021</v>
          </cell>
          <cell r="G165" t="str">
            <v>3453 - JUVIA'S PLACE</v>
          </cell>
          <cell r="H165" t="str">
            <v>F</v>
          </cell>
          <cell r="I165" t="str">
            <v>A</v>
          </cell>
          <cell r="J165" t="str">
            <v>BASC</v>
          </cell>
          <cell r="K165">
            <v>14.4</v>
          </cell>
          <cell r="L165">
            <v>2070</v>
          </cell>
          <cell r="M165">
            <v>270</v>
          </cell>
          <cell r="N165">
            <v>0</v>
          </cell>
          <cell r="O165">
            <v>180</v>
          </cell>
          <cell r="P165">
            <v>180</v>
          </cell>
          <cell r="Q165">
            <v>180</v>
          </cell>
          <cell r="R165">
            <v>0</v>
          </cell>
          <cell r="S165">
            <v>360</v>
          </cell>
          <cell r="T165">
            <v>90</v>
          </cell>
          <cell r="U165">
            <v>360</v>
          </cell>
          <cell r="V165">
            <v>90</v>
          </cell>
          <cell r="W165">
            <v>180</v>
          </cell>
          <cell r="X165">
            <v>180</v>
          </cell>
        </row>
        <row r="166">
          <cell r="E166">
            <v>1000146</v>
          </cell>
          <cell r="F166" t="str">
            <v>021</v>
          </cell>
          <cell r="G166" t="str">
            <v>3453 - JUVIA'S PLACE</v>
          </cell>
          <cell r="H166" t="str">
            <v>F</v>
          </cell>
          <cell r="I166" t="str">
            <v>A</v>
          </cell>
          <cell r="J166" t="str">
            <v>BASC</v>
          </cell>
          <cell r="K166">
            <v>14.4</v>
          </cell>
          <cell r="L166">
            <v>1350</v>
          </cell>
          <cell r="M166">
            <v>180</v>
          </cell>
          <cell r="N166">
            <v>0</v>
          </cell>
          <cell r="O166">
            <v>90</v>
          </cell>
          <cell r="P166">
            <v>180</v>
          </cell>
          <cell r="Q166">
            <v>0</v>
          </cell>
          <cell r="R166">
            <v>180</v>
          </cell>
          <cell r="S166">
            <v>180</v>
          </cell>
          <cell r="T166">
            <v>180</v>
          </cell>
          <cell r="U166">
            <v>90</v>
          </cell>
          <cell r="V166">
            <v>90</v>
          </cell>
          <cell r="W166">
            <v>180</v>
          </cell>
          <cell r="X166">
            <v>0</v>
          </cell>
        </row>
        <row r="167">
          <cell r="E167">
            <v>1000151</v>
          </cell>
          <cell r="F167" t="str">
            <v>021</v>
          </cell>
          <cell r="G167" t="str">
            <v>3453 - JUVIA'S PLACE</v>
          </cell>
          <cell r="H167" t="str">
            <v>F</v>
          </cell>
          <cell r="I167" t="str">
            <v>A</v>
          </cell>
          <cell r="J167" t="str">
            <v>BASC</v>
          </cell>
          <cell r="K167">
            <v>14.4</v>
          </cell>
          <cell r="L167">
            <v>1980</v>
          </cell>
          <cell r="M167">
            <v>180</v>
          </cell>
          <cell r="N167">
            <v>90</v>
          </cell>
          <cell r="O167">
            <v>90</v>
          </cell>
          <cell r="P167">
            <v>180</v>
          </cell>
          <cell r="Q167">
            <v>270</v>
          </cell>
          <cell r="R167">
            <v>180</v>
          </cell>
          <cell r="S167">
            <v>90</v>
          </cell>
          <cell r="T167">
            <v>360</v>
          </cell>
          <cell r="U167">
            <v>90</v>
          </cell>
          <cell r="V167">
            <v>270</v>
          </cell>
          <cell r="W167">
            <v>180</v>
          </cell>
          <cell r="X167">
            <v>0</v>
          </cell>
        </row>
        <row r="168">
          <cell r="E168">
            <v>1000148</v>
          </cell>
          <cell r="F168" t="str">
            <v>021</v>
          </cell>
          <cell r="G168" t="str">
            <v>3453 - JUVIA'S PLACE</v>
          </cell>
          <cell r="H168" t="str">
            <v>F</v>
          </cell>
          <cell r="I168" t="str">
            <v>A</v>
          </cell>
          <cell r="J168" t="str">
            <v>BASC</v>
          </cell>
          <cell r="K168">
            <v>14.4</v>
          </cell>
          <cell r="L168">
            <v>2430</v>
          </cell>
          <cell r="M168">
            <v>90</v>
          </cell>
          <cell r="N168">
            <v>90</v>
          </cell>
          <cell r="O168">
            <v>180</v>
          </cell>
          <cell r="P168">
            <v>360</v>
          </cell>
          <cell r="Q168">
            <v>90</v>
          </cell>
          <cell r="R168">
            <v>270</v>
          </cell>
          <cell r="S168">
            <v>360</v>
          </cell>
          <cell r="T168">
            <v>0</v>
          </cell>
          <cell r="U168">
            <v>270</v>
          </cell>
          <cell r="V168">
            <v>450</v>
          </cell>
          <cell r="W168">
            <v>180</v>
          </cell>
          <cell r="X168">
            <v>90</v>
          </cell>
        </row>
        <row r="169">
          <cell r="E169">
            <v>1002320</v>
          </cell>
          <cell r="F169" t="str">
            <v>021</v>
          </cell>
          <cell r="G169" t="str">
            <v>3453 - JUVIA'S PLACE</v>
          </cell>
          <cell r="H169" t="str">
            <v>F</v>
          </cell>
          <cell r="I169" t="str">
            <v>A</v>
          </cell>
          <cell r="J169" t="str">
            <v>BASC</v>
          </cell>
          <cell r="K169">
            <v>12</v>
          </cell>
          <cell r="L169">
            <v>2736</v>
          </cell>
          <cell r="M169">
            <v>288</v>
          </cell>
          <cell r="N169">
            <v>144</v>
          </cell>
          <cell r="O169">
            <v>216</v>
          </cell>
          <cell r="P169">
            <v>288</v>
          </cell>
          <cell r="Q169">
            <v>288</v>
          </cell>
          <cell r="R169">
            <v>72</v>
          </cell>
          <cell r="S169">
            <v>360</v>
          </cell>
          <cell r="T169">
            <v>144</v>
          </cell>
          <cell r="U169">
            <v>216</v>
          </cell>
          <cell r="V169">
            <v>360</v>
          </cell>
          <cell r="W169">
            <v>144</v>
          </cell>
          <cell r="X169">
            <v>216</v>
          </cell>
        </row>
        <row r="170">
          <cell r="E170">
            <v>1002315</v>
          </cell>
          <cell r="F170" t="str">
            <v>021</v>
          </cell>
          <cell r="G170" t="str">
            <v>3453 - JUVIA'S PLACE</v>
          </cell>
          <cell r="H170" t="str">
            <v>F</v>
          </cell>
          <cell r="I170" t="str">
            <v>A</v>
          </cell>
          <cell r="J170" t="str">
            <v>BASC</v>
          </cell>
          <cell r="K170">
            <v>12</v>
          </cell>
          <cell r="L170">
            <v>3528</v>
          </cell>
          <cell r="M170">
            <v>288</v>
          </cell>
          <cell r="N170">
            <v>216</v>
          </cell>
          <cell r="O170">
            <v>360</v>
          </cell>
          <cell r="P170">
            <v>288</v>
          </cell>
          <cell r="Q170">
            <v>288</v>
          </cell>
          <cell r="R170">
            <v>216</v>
          </cell>
          <cell r="S170">
            <v>504</v>
          </cell>
          <cell r="T170">
            <v>288</v>
          </cell>
          <cell r="U170">
            <v>288</v>
          </cell>
          <cell r="V170">
            <v>432</v>
          </cell>
          <cell r="W170">
            <v>216</v>
          </cell>
          <cell r="X170">
            <v>144</v>
          </cell>
        </row>
        <row r="171">
          <cell r="E171">
            <v>1002242</v>
          </cell>
          <cell r="F171" t="str">
            <v>021</v>
          </cell>
          <cell r="G171" t="str">
            <v>3453 - JUVIA'S PLACE</v>
          </cell>
          <cell r="H171" t="str">
            <v>F</v>
          </cell>
          <cell r="I171" t="str">
            <v>A</v>
          </cell>
          <cell r="J171" t="str">
            <v>BASC</v>
          </cell>
          <cell r="K171">
            <v>12</v>
          </cell>
          <cell r="L171">
            <v>2736</v>
          </cell>
          <cell r="M171">
            <v>288</v>
          </cell>
          <cell r="N171">
            <v>144</v>
          </cell>
          <cell r="O171">
            <v>216</v>
          </cell>
          <cell r="P171">
            <v>216</v>
          </cell>
          <cell r="Q171">
            <v>144</v>
          </cell>
          <cell r="R171">
            <v>288</v>
          </cell>
          <cell r="S171">
            <v>288</v>
          </cell>
          <cell r="T171">
            <v>216</v>
          </cell>
          <cell r="U171">
            <v>216</v>
          </cell>
          <cell r="V171">
            <v>288</v>
          </cell>
          <cell r="W171">
            <v>144</v>
          </cell>
          <cell r="X171">
            <v>288</v>
          </cell>
        </row>
        <row r="172">
          <cell r="E172">
            <v>1001897</v>
          </cell>
          <cell r="F172" t="str">
            <v>021</v>
          </cell>
          <cell r="G172" t="str">
            <v>3453 - JUVIA'S PLACE</v>
          </cell>
          <cell r="H172" t="str">
            <v>F</v>
          </cell>
          <cell r="I172" t="str">
            <v>A</v>
          </cell>
          <cell r="J172" t="str">
            <v>BASC</v>
          </cell>
          <cell r="K172">
            <v>12</v>
          </cell>
          <cell r="L172">
            <v>2376</v>
          </cell>
          <cell r="M172">
            <v>216</v>
          </cell>
          <cell r="N172">
            <v>144</v>
          </cell>
          <cell r="O172">
            <v>144</v>
          </cell>
          <cell r="P172">
            <v>216</v>
          </cell>
          <cell r="Q172">
            <v>288</v>
          </cell>
          <cell r="R172">
            <v>216</v>
          </cell>
          <cell r="S172">
            <v>216</v>
          </cell>
          <cell r="T172">
            <v>288</v>
          </cell>
          <cell r="U172">
            <v>72</v>
          </cell>
          <cell r="V172">
            <v>288</v>
          </cell>
          <cell r="W172">
            <v>288</v>
          </cell>
          <cell r="X172">
            <v>0</v>
          </cell>
        </row>
        <row r="173">
          <cell r="E173">
            <v>1001953</v>
          </cell>
          <cell r="F173" t="str">
            <v>021</v>
          </cell>
          <cell r="G173" t="str">
            <v>3453 - JUVIA'S PLACE</v>
          </cell>
          <cell r="H173" t="str">
            <v>F</v>
          </cell>
          <cell r="I173" t="str">
            <v>A</v>
          </cell>
          <cell r="J173" t="str">
            <v>BASC</v>
          </cell>
          <cell r="K173">
            <v>14.4</v>
          </cell>
          <cell r="L173">
            <v>1440</v>
          </cell>
          <cell r="M173">
            <v>0</v>
          </cell>
          <cell r="N173">
            <v>216</v>
          </cell>
          <cell r="O173">
            <v>0</v>
          </cell>
          <cell r="P173">
            <v>216</v>
          </cell>
          <cell r="Q173">
            <v>72</v>
          </cell>
          <cell r="R173">
            <v>144</v>
          </cell>
          <cell r="S173">
            <v>216</v>
          </cell>
          <cell r="T173">
            <v>72</v>
          </cell>
          <cell r="U173">
            <v>144</v>
          </cell>
          <cell r="V173">
            <v>216</v>
          </cell>
          <cell r="W173">
            <v>0</v>
          </cell>
          <cell r="X173">
            <v>144</v>
          </cell>
        </row>
        <row r="174">
          <cell r="E174">
            <v>1001959</v>
          </cell>
          <cell r="F174" t="str">
            <v>021</v>
          </cell>
          <cell r="G174" t="str">
            <v>3453 - JUVIA'S PLACE</v>
          </cell>
          <cell r="H174" t="str">
            <v>F</v>
          </cell>
          <cell r="I174" t="str">
            <v>A</v>
          </cell>
          <cell r="J174" t="str">
            <v>BASC</v>
          </cell>
          <cell r="K174">
            <v>14.4</v>
          </cell>
          <cell r="L174">
            <v>1368</v>
          </cell>
          <cell r="M174">
            <v>216</v>
          </cell>
          <cell r="N174">
            <v>0</v>
          </cell>
          <cell r="O174">
            <v>144</v>
          </cell>
          <cell r="P174">
            <v>72</v>
          </cell>
          <cell r="Q174">
            <v>144</v>
          </cell>
          <cell r="R174">
            <v>72</v>
          </cell>
          <cell r="S174">
            <v>144</v>
          </cell>
          <cell r="T174">
            <v>144</v>
          </cell>
          <cell r="U174">
            <v>72</v>
          </cell>
          <cell r="V174">
            <v>144</v>
          </cell>
          <cell r="W174">
            <v>144</v>
          </cell>
          <cell r="X174">
            <v>72</v>
          </cell>
        </row>
        <row r="175">
          <cell r="E175">
            <v>1001954</v>
          </cell>
          <cell r="F175" t="str">
            <v>021</v>
          </cell>
          <cell r="G175" t="str">
            <v>3453 - JUVIA'S PLACE</v>
          </cell>
          <cell r="H175" t="str">
            <v>F</v>
          </cell>
          <cell r="I175" t="str">
            <v>A</v>
          </cell>
          <cell r="J175" t="str">
            <v>BASC</v>
          </cell>
          <cell r="K175">
            <v>14.4</v>
          </cell>
          <cell r="L175">
            <v>1296</v>
          </cell>
          <cell r="M175">
            <v>0</v>
          </cell>
          <cell r="N175">
            <v>72</v>
          </cell>
          <cell r="O175">
            <v>216</v>
          </cell>
          <cell r="P175">
            <v>72</v>
          </cell>
          <cell r="Q175">
            <v>72</v>
          </cell>
          <cell r="R175">
            <v>72</v>
          </cell>
          <cell r="S175">
            <v>144</v>
          </cell>
          <cell r="T175">
            <v>216</v>
          </cell>
          <cell r="U175">
            <v>216</v>
          </cell>
          <cell r="V175">
            <v>72</v>
          </cell>
          <cell r="W175">
            <v>144</v>
          </cell>
          <cell r="X175">
            <v>0</v>
          </cell>
        </row>
        <row r="176">
          <cell r="E176">
            <v>1001955</v>
          </cell>
          <cell r="F176" t="str">
            <v>021</v>
          </cell>
          <cell r="G176" t="str">
            <v>3453 - JUVIA'S PLACE</v>
          </cell>
          <cell r="H176" t="str">
            <v>F</v>
          </cell>
          <cell r="I176" t="str">
            <v>A</v>
          </cell>
          <cell r="J176" t="str">
            <v>BASC</v>
          </cell>
          <cell r="K176">
            <v>14.4</v>
          </cell>
          <cell r="L176">
            <v>1872</v>
          </cell>
          <cell r="M176">
            <v>144</v>
          </cell>
          <cell r="N176">
            <v>72</v>
          </cell>
          <cell r="O176">
            <v>144</v>
          </cell>
          <cell r="P176">
            <v>216</v>
          </cell>
          <cell r="Q176">
            <v>216</v>
          </cell>
          <cell r="R176">
            <v>72</v>
          </cell>
          <cell r="S176">
            <v>216</v>
          </cell>
          <cell r="T176">
            <v>216</v>
          </cell>
          <cell r="U176">
            <v>72</v>
          </cell>
          <cell r="V176">
            <v>288</v>
          </cell>
          <cell r="W176">
            <v>216</v>
          </cell>
          <cell r="X176">
            <v>0</v>
          </cell>
        </row>
        <row r="177">
          <cell r="E177">
            <v>1001956</v>
          </cell>
          <cell r="F177" t="str">
            <v>021</v>
          </cell>
          <cell r="G177" t="str">
            <v>3453 - JUVIA'S PLACE</v>
          </cell>
          <cell r="H177" t="str">
            <v>F</v>
          </cell>
          <cell r="I177" t="str">
            <v>A</v>
          </cell>
          <cell r="J177" t="str">
            <v>BASC</v>
          </cell>
          <cell r="K177">
            <v>14.4</v>
          </cell>
          <cell r="L177">
            <v>1080</v>
          </cell>
          <cell r="M177">
            <v>0</v>
          </cell>
          <cell r="N177">
            <v>72</v>
          </cell>
          <cell r="O177">
            <v>144</v>
          </cell>
          <cell r="P177">
            <v>72</v>
          </cell>
          <cell r="Q177">
            <v>144</v>
          </cell>
          <cell r="R177">
            <v>0</v>
          </cell>
          <cell r="S177">
            <v>216</v>
          </cell>
          <cell r="T177">
            <v>0</v>
          </cell>
          <cell r="U177">
            <v>72</v>
          </cell>
          <cell r="V177">
            <v>216</v>
          </cell>
          <cell r="W177">
            <v>72</v>
          </cell>
          <cell r="X177">
            <v>72</v>
          </cell>
        </row>
        <row r="178">
          <cell r="E178">
            <v>1002018</v>
          </cell>
          <cell r="F178" t="str">
            <v>021</v>
          </cell>
          <cell r="G178" t="str">
            <v>3453 - JUVIA'S PLACE</v>
          </cell>
          <cell r="H178" t="str">
            <v>F</v>
          </cell>
          <cell r="I178" t="str">
            <v>A</v>
          </cell>
          <cell r="J178" t="str">
            <v>BASC</v>
          </cell>
          <cell r="K178">
            <v>14.4</v>
          </cell>
          <cell r="L178">
            <v>2664</v>
          </cell>
          <cell r="M178">
            <v>144</v>
          </cell>
          <cell r="N178">
            <v>216</v>
          </cell>
          <cell r="O178">
            <v>216</v>
          </cell>
          <cell r="P178">
            <v>216</v>
          </cell>
          <cell r="Q178">
            <v>288</v>
          </cell>
          <cell r="R178">
            <v>216</v>
          </cell>
          <cell r="S178">
            <v>288</v>
          </cell>
          <cell r="T178">
            <v>144</v>
          </cell>
          <cell r="U178">
            <v>288</v>
          </cell>
          <cell r="V178">
            <v>432</v>
          </cell>
          <cell r="W178">
            <v>144</v>
          </cell>
          <cell r="X178">
            <v>72</v>
          </cell>
        </row>
        <row r="179">
          <cell r="E179">
            <v>1001869</v>
          </cell>
          <cell r="F179" t="str">
            <v>021</v>
          </cell>
          <cell r="G179" t="str">
            <v>3453 - JUVIA'S PLACE</v>
          </cell>
          <cell r="H179" t="str">
            <v>F</v>
          </cell>
          <cell r="I179" t="str">
            <v>A</v>
          </cell>
          <cell r="J179" t="str">
            <v>BASC</v>
          </cell>
          <cell r="K179">
            <v>14.4</v>
          </cell>
          <cell r="L179">
            <v>2016</v>
          </cell>
          <cell r="M179">
            <v>72</v>
          </cell>
          <cell r="N179">
            <v>144</v>
          </cell>
          <cell r="O179">
            <v>288</v>
          </cell>
          <cell r="P179">
            <v>0</v>
          </cell>
          <cell r="Q179">
            <v>288</v>
          </cell>
          <cell r="R179">
            <v>144</v>
          </cell>
          <cell r="S179">
            <v>216</v>
          </cell>
          <cell r="T179">
            <v>144</v>
          </cell>
          <cell r="U179">
            <v>216</v>
          </cell>
          <cell r="V179">
            <v>216</v>
          </cell>
          <cell r="W179">
            <v>144</v>
          </cell>
          <cell r="X179">
            <v>144</v>
          </cell>
        </row>
        <row r="180">
          <cell r="E180">
            <v>1001861</v>
          </cell>
          <cell r="F180" t="str">
            <v>021</v>
          </cell>
          <cell r="G180" t="str">
            <v>3453 - JUVIA'S PLACE</v>
          </cell>
          <cell r="H180" t="str">
            <v>F</v>
          </cell>
          <cell r="I180" t="str">
            <v>A</v>
          </cell>
          <cell r="J180" t="str">
            <v>BASC</v>
          </cell>
          <cell r="K180">
            <v>14.4</v>
          </cell>
          <cell r="L180">
            <v>1728</v>
          </cell>
          <cell r="M180">
            <v>144</v>
          </cell>
          <cell r="N180">
            <v>72</v>
          </cell>
          <cell r="O180">
            <v>144</v>
          </cell>
          <cell r="P180">
            <v>144</v>
          </cell>
          <cell r="Q180">
            <v>216</v>
          </cell>
          <cell r="R180">
            <v>144</v>
          </cell>
          <cell r="S180">
            <v>144</v>
          </cell>
          <cell r="T180">
            <v>72</v>
          </cell>
          <cell r="U180">
            <v>216</v>
          </cell>
          <cell r="V180">
            <v>288</v>
          </cell>
          <cell r="W180">
            <v>0</v>
          </cell>
          <cell r="X180">
            <v>144</v>
          </cell>
        </row>
        <row r="181">
          <cell r="E181">
            <v>1001876</v>
          </cell>
          <cell r="F181" t="str">
            <v>021</v>
          </cell>
          <cell r="G181" t="str">
            <v>3453 - JUVIA'S PLACE</v>
          </cell>
          <cell r="H181" t="str">
            <v>F</v>
          </cell>
          <cell r="I181" t="str">
            <v>A</v>
          </cell>
          <cell r="J181" t="str">
            <v>BASC</v>
          </cell>
          <cell r="K181">
            <v>14.4</v>
          </cell>
          <cell r="L181">
            <v>1368</v>
          </cell>
          <cell r="M181">
            <v>72</v>
          </cell>
          <cell r="N181">
            <v>72</v>
          </cell>
          <cell r="O181">
            <v>144</v>
          </cell>
          <cell r="P181">
            <v>72</v>
          </cell>
          <cell r="Q181">
            <v>216</v>
          </cell>
          <cell r="R181">
            <v>0</v>
          </cell>
          <cell r="S181">
            <v>216</v>
          </cell>
          <cell r="T181">
            <v>72</v>
          </cell>
          <cell r="U181">
            <v>144</v>
          </cell>
          <cell r="V181">
            <v>72</v>
          </cell>
          <cell r="W181">
            <v>144</v>
          </cell>
          <cell r="X181">
            <v>144</v>
          </cell>
        </row>
        <row r="182">
          <cell r="E182">
            <v>1001862</v>
          </cell>
          <cell r="F182" t="str">
            <v>021</v>
          </cell>
          <cell r="G182" t="str">
            <v>3453 - JUVIA'S PLACE</v>
          </cell>
          <cell r="H182" t="str">
            <v>F</v>
          </cell>
          <cell r="I182" t="str">
            <v>A</v>
          </cell>
          <cell r="J182" t="str">
            <v>BASC</v>
          </cell>
          <cell r="K182">
            <v>14.4</v>
          </cell>
          <cell r="L182">
            <v>2808</v>
          </cell>
          <cell r="M182">
            <v>72</v>
          </cell>
          <cell r="N182">
            <v>216</v>
          </cell>
          <cell r="O182">
            <v>216</v>
          </cell>
          <cell r="P182">
            <v>288</v>
          </cell>
          <cell r="Q182">
            <v>216</v>
          </cell>
          <cell r="R182">
            <v>288</v>
          </cell>
          <cell r="S182">
            <v>288</v>
          </cell>
          <cell r="T182">
            <v>288</v>
          </cell>
          <cell r="U182">
            <v>288</v>
          </cell>
          <cell r="V182">
            <v>216</v>
          </cell>
          <cell r="W182">
            <v>288</v>
          </cell>
          <cell r="X182">
            <v>144</v>
          </cell>
        </row>
        <row r="183">
          <cell r="E183">
            <v>1001865</v>
          </cell>
          <cell r="F183" t="str">
            <v>021</v>
          </cell>
          <cell r="G183" t="str">
            <v>3453 - JUVIA'S PLACE</v>
          </cell>
          <cell r="H183" t="str">
            <v>F</v>
          </cell>
          <cell r="I183" t="str">
            <v>A</v>
          </cell>
          <cell r="J183" t="str">
            <v>BASC</v>
          </cell>
          <cell r="K183">
            <v>14.4</v>
          </cell>
          <cell r="L183">
            <v>1296</v>
          </cell>
          <cell r="M183">
            <v>72</v>
          </cell>
          <cell r="N183">
            <v>144</v>
          </cell>
          <cell r="O183">
            <v>72</v>
          </cell>
          <cell r="P183">
            <v>72</v>
          </cell>
          <cell r="Q183">
            <v>144</v>
          </cell>
          <cell r="R183">
            <v>72</v>
          </cell>
          <cell r="S183">
            <v>216</v>
          </cell>
          <cell r="T183">
            <v>0</v>
          </cell>
          <cell r="U183">
            <v>288</v>
          </cell>
          <cell r="V183">
            <v>72</v>
          </cell>
          <cell r="W183">
            <v>72</v>
          </cell>
          <cell r="X183">
            <v>72</v>
          </cell>
        </row>
        <row r="184">
          <cell r="E184">
            <v>1001866</v>
          </cell>
          <cell r="F184" t="str">
            <v>021</v>
          </cell>
          <cell r="G184" t="str">
            <v>3453 - JUVIA'S PLACE</v>
          </cell>
          <cell r="H184" t="str">
            <v>F</v>
          </cell>
          <cell r="I184" t="str">
            <v>A</v>
          </cell>
          <cell r="J184" t="str">
            <v>BASC</v>
          </cell>
          <cell r="K184">
            <v>14.4</v>
          </cell>
          <cell r="L184">
            <v>1584</v>
          </cell>
          <cell r="M184">
            <v>144</v>
          </cell>
          <cell r="N184">
            <v>72</v>
          </cell>
          <cell r="O184">
            <v>216</v>
          </cell>
          <cell r="P184">
            <v>0</v>
          </cell>
          <cell r="Q184">
            <v>144</v>
          </cell>
          <cell r="R184">
            <v>144</v>
          </cell>
          <cell r="S184">
            <v>72</v>
          </cell>
          <cell r="T184">
            <v>288</v>
          </cell>
          <cell r="U184">
            <v>144</v>
          </cell>
          <cell r="V184">
            <v>144</v>
          </cell>
          <cell r="W184">
            <v>144</v>
          </cell>
          <cell r="X184">
            <v>72</v>
          </cell>
        </row>
        <row r="185">
          <cell r="E185">
            <v>1200217</v>
          </cell>
          <cell r="F185" t="str">
            <v>021</v>
          </cell>
          <cell r="G185" t="str">
            <v>3453 - JUVIA'S PLACE</v>
          </cell>
          <cell r="H185" t="str">
            <v>F</v>
          </cell>
          <cell r="I185" t="str">
            <v>A</v>
          </cell>
          <cell r="J185" t="str">
            <v>BASC</v>
          </cell>
          <cell r="K185">
            <v>12.5</v>
          </cell>
          <cell r="L185">
            <v>360</v>
          </cell>
          <cell r="M185">
            <v>0</v>
          </cell>
          <cell r="N185">
            <v>0</v>
          </cell>
          <cell r="O185">
            <v>0</v>
          </cell>
          <cell r="P185">
            <v>72</v>
          </cell>
          <cell r="Q185">
            <v>0</v>
          </cell>
          <cell r="R185">
            <v>0</v>
          </cell>
          <cell r="S185">
            <v>0</v>
          </cell>
          <cell r="T185">
            <v>144</v>
          </cell>
          <cell r="U185">
            <v>0</v>
          </cell>
          <cell r="V185">
            <v>72</v>
          </cell>
          <cell r="W185">
            <v>72</v>
          </cell>
          <cell r="X185">
            <v>0</v>
          </cell>
        </row>
        <row r="186">
          <cell r="E186">
            <v>1200213</v>
          </cell>
          <cell r="F186" t="str">
            <v>021</v>
          </cell>
          <cell r="G186" t="str">
            <v>3453 - JUVIA'S PLACE</v>
          </cell>
          <cell r="H186" t="str">
            <v>F</v>
          </cell>
          <cell r="I186" t="str">
            <v>A</v>
          </cell>
          <cell r="J186" t="str">
            <v>BASC</v>
          </cell>
          <cell r="K186">
            <v>12.5</v>
          </cell>
          <cell r="L186">
            <v>72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72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E187">
            <v>1200216</v>
          </cell>
          <cell r="F187" t="str">
            <v>021</v>
          </cell>
          <cell r="G187" t="str">
            <v>3453 - JUVIA'S PLACE</v>
          </cell>
          <cell r="H187" t="str">
            <v>F</v>
          </cell>
          <cell r="I187" t="str">
            <v>A</v>
          </cell>
          <cell r="J187" t="str">
            <v>BASC</v>
          </cell>
          <cell r="K187">
            <v>12.5</v>
          </cell>
          <cell r="L187">
            <v>648</v>
          </cell>
          <cell r="M187">
            <v>72</v>
          </cell>
          <cell r="N187">
            <v>0</v>
          </cell>
          <cell r="O187">
            <v>0</v>
          </cell>
          <cell r="P187">
            <v>72</v>
          </cell>
          <cell r="Q187">
            <v>0</v>
          </cell>
          <cell r="R187">
            <v>72</v>
          </cell>
          <cell r="S187">
            <v>72</v>
          </cell>
          <cell r="T187">
            <v>72</v>
          </cell>
          <cell r="U187">
            <v>0</v>
          </cell>
          <cell r="V187">
            <v>144</v>
          </cell>
          <cell r="W187">
            <v>0</v>
          </cell>
          <cell r="X187">
            <v>144</v>
          </cell>
        </row>
        <row r="188">
          <cell r="E188">
            <v>1200221</v>
          </cell>
          <cell r="F188" t="str">
            <v>021</v>
          </cell>
          <cell r="G188" t="str">
            <v>3453 - JUVIA'S PLACE</v>
          </cell>
          <cell r="H188" t="str">
            <v>F</v>
          </cell>
          <cell r="I188" t="str">
            <v>A</v>
          </cell>
          <cell r="J188" t="str">
            <v>BASC</v>
          </cell>
          <cell r="K188">
            <v>12.5</v>
          </cell>
          <cell r="L188">
            <v>144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144</v>
          </cell>
        </row>
        <row r="189">
          <cell r="E189">
            <v>1200241</v>
          </cell>
          <cell r="F189" t="str">
            <v>021</v>
          </cell>
          <cell r="G189" t="str">
            <v>3453 - JUVIA'S PLACE</v>
          </cell>
          <cell r="H189" t="str">
            <v>D</v>
          </cell>
          <cell r="I189" t="str">
            <v>A</v>
          </cell>
          <cell r="J189" t="str">
            <v>BASC</v>
          </cell>
          <cell r="K189">
            <v>12.5</v>
          </cell>
          <cell r="L189">
            <v>15120</v>
          </cell>
          <cell r="M189">
            <v>1440</v>
          </cell>
          <cell r="N189">
            <v>1368</v>
          </cell>
          <cell r="O189">
            <v>1008</v>
          </cell>
          <cell r="P189">
            <v>1512</v>
          </cell>
          <cell r="Q189">
            <v>1224</v>
          </cell>
          <cell r="R189">
            <v>1152</v>
          </cell>
          <cell r="S189">
            <v>1584</v>
          </cell>
          <cell r="T189">
            <v>1224</v>
          </cell>
          <cell r="U189">
            <v>1152</v>
          </cell>
          <cell r="V189">
            <v>1584</v>
          </cell>
          <cell r="W189">
            <v>1368</v>
          </cell>
          <cell r="X189">
            <v>504</v>
          </cell>
        </row>
        <row r="190">
          <cell r="E190">
            <v>1200568</v>
          </cell>
          <cell r="F190" t="str">
            <v>021</v>
          </cell>
          <cell r="G190" t="str">
            <v>3453 - JUVIA'S PLACE</v>
          </cell>
          <cell r="H190" t="str">
            <v>F</v>
          </cell>
          <cell r="I190" t="str">
            <v>A</v>
          </cell>
          <cell r="J190" t="str">
            <v>BASC</v>
          </cell>
          <cell r="K190">
            <v>25</v>
          </cell>
          <cell r="L190">
            <v>1296</v>
          </cell>
          <cell r="M190">
            <v>48</v>
          </cell>
          <cell r="N190">
            <v>96</v>
          </cell>
          <cell r="O190">
            <v>96</v>
          </cell>
          <cell r="P190">
            <v>48</v>
          </cell>
          <cell r="Q190">
            <v>96</v>
          </cell>
          <cell r="R190">
            <v>120</v>
          </cell>
          <cell r="S190">
            <v>192</v>
          </cell>
          <cell r="T190">
            <v>72</v>
          </cell>
          <cell r="U190">
            <v>120</v>
          </cell>
          <cell r="V190">
            <v>192</v>
          </cell>
          <cell r="W190">
            <v>168</v>
          </cell>
          <cell r="X190">
            <v>48</v>
          </cell>
        </row>
        <row r="191">
          <cell r="E191">
            <v>1000361</v>
          </cell>
          <cell r="F191" t="str">
            <v>021</v>
          </cell>
          <cell r="G191" t="str">
            <v>3453 - JUVIA'S PLACE</v>
          </cell>
          <cell r="I191" t="str">
            <v>X</v>
          </cell>
          <cell r="J191" t="str">
            <v>BASC</v>
          </cell>
          <cell r="K191">
            <v>9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E192">
            <v>1000091</v>
          </cell>
          <cell r="F192" t="str">
            <v>021</v>
          </cell>
          <cell r="G192" t="str">
            <v>3453 - JUVIA'S PLACE</v>
          </cell>
          <cell r="H192" t="str">
            <v>C</v>
          </cell>
          <cell r="I192" t="str">
            <v>DI</v>
          </cell>
          <cell r="J192" t="str">
            <v>BASC</v>
          </cell>
          <cell r="K192">
            <v>12.5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E193">
            <v>4007271</v>
          </cell>
          <cell r="F193" t="str">
            <v>021</v>
          </cell>
          <cell r="G193" t="str">
            <v>3453 - JUVIA'S PLACE</v>
          </cell>
          <cell r="I193" t="str">
            <v>X</v>
          </cell>
          <cell r="J193" t="str">
            <v>BASC</v>
          </cell>
          <cell r="K193">
            <v>12.5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E194">
            <v>1000360</v>
          </cell>
          <cell r="F194" t="str">
            <v>021</v>
          </cell>
          <cell r="G194" t="str">
            <v>3453 - JUVIA'S PLACE</v>
          </cell>
          <cell r="I194" t="str">
            <v>DI</v>
          </cell>
          <cell r="J194" t="str">
            <v>BASC</v>
          </cell>
          <cell r="K194">
            <v>9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E195">
            <v>1000338</v>
          </cell>
          <cell r="F195" t="str">
            <v>021</v>
          </cell>
          <cell r="G195" t="str">
            <v>3453 - JUVIA'S PLACE</v>
          </cell>
          <cell r="I195" t="str">
            <v>DI</v>
          </cell>
          <cell r="J195" t="str">
            <v>BASC</v>
          </cell>
          <cell r="K195">
            <v>10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E196">
            <v>1000085</v>
          </cell>
          <cell r="F196" t="str">
            <v>021</v>
          </cell>
          <cell r="G196" t="str">
            <v>3453 - JUVIA'S PLACE</v>
          </cell>
          <cell r="I196" t="str">
            <v>X</v>
          </cell>
          <cell r="J196" t="str">
            <v>BASC</v>
          </cell>
          <cell r="K196">
            <v>10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E197">
            <v>1000611</v>
          </cell>
          <cell r="F197" t="str">
            <v>021</v>
          </cell>
          <cell r="G197" t="str">
            <v>3453 - JUVIA'S PLACE</v>
          </cell>
          <cell r="I197" t="str">
            <v>DI</v>
          </cell>
          <cell r="J197" t="str">
            <v>BASC</v>
          </cell>
          <cell r="K197">
            <v>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E198">
            <v>1000371</v>
          </cell>
          <cell r="F198" t="str">
            <v>021</v>
          </cell>
          <cell r="G198" t="str">
            <v>3453 - JUVIA'S PLACE</v>
          </cell>
          <cell r="I198" t="str">
            <v>X</v>
          </cell>
          <cell r="J198" t="str">
            <v>BASC</v>
          </cell>
          <cell r="K198">
            <v>7.5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E199">
            <v>1000370</v>
          </cell>
          <cell r="F199" t="str">
            <v>021</v>
          </cell>
          <cell r="G199" t="str">
            <v>3453 - JUVIA'S PLACE</v>
          </cell>
          <cell r="I199" t="str">
            <v>DI</v>
          </cell>
          <cell r="J199" t="str">
            <v>BASC</v>
          </cell>
          <cell r="K199">
            <v>7.5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E200">
            <v>1000189</v>
          </cell>
          <cell r="F200" t="str">
            <v>021</v>
          </cell>
          <cell r="G200" t="str">
            <v>3453 - JUVIA'S PLACE</v>
          </cell>
          <cell r="I200" t="str">
            <v>X</v>
          </cell>
          <cell r="J200" t="str">
            <v>BASC</v>
          </cell>
          <cell r="K200">
            <v>8.5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E201">
            <v>1000109</v>
          </cell>
          <cell r="F201" t="str">
            <v>021</v>
          </cell>
          <cell r="G201" t="str">
            <v>3453 - JUVIA'S PLACE</v>
          </cell>
          <cell r="I201" t="str">
            <v>DI</v>
          </cell>
          <cell r="J201" t="str">
            <v>BASC</v>
          </cell>
          <cell r="K201">
            <v>10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E202">
            <v>1000187</v>
          </cell>
          <cell r="F202" t="str">
            <v>021</v>
          </cell>
          <cell r="G202" t="str">
            <v>3453 - JUVIA'S PLACE</v>
          </cell>
          <cell r="I202" t="str">
            <v>X</v>
          </cell>
          <cell r="J202" t="str">
            <v>BASC</v>
          </cell>
          <cell r="K202">
            <v>8.5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E203">
            <v>1000810</v>
          </cell>
          <cell r="F203" t="str">
            <v>021</v>
          </cell>
          <cell r="G203" t="str">
            <v>3453 - JUVIA'S PLACE</v>
          </cell>
          <cell r="I203" t="str">
            <v>DI</v>
          </cell>
          <cell r="J203" t="str">
            <v>BASC</v>
          </cell>
          <cell r="K203">
            <v>7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E204">
            <v>1000262</v>
          </cell>
          <cell r="F204" t="str">
            <v>021</v>
          </cell>
          <cell r="G204" t="str">
            <v>3453 - JUVIA'S PLACE</v>
          </cell>
          <cell r="I204" t="str">
            <v>X</v>
          </cell>
          <cell r="J204" t="str">
            <v>BASC</v>
          </cell>
          <cell r="K204">
            <v>10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E205">
            <v>1000098</v>
          </cell>
          <cell r="F205" t="str">
            <v>021</v>
          </cell>
          <cell r="G205" t="str">
            <v>3453 - JUVIA'S PLACE</v>
          </cell>
          <cell r="H205" t="str">
            <v>F</v>
          </cell>
          <cell r="I205" t="str">
            <v>DI</v>
          </cell>
          <cell r="J205" t="str">
            <v>BASC</v>
          </cell>
          <cell r="K205">
            <v>10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E206">
            <v>1000809</v>
          </cell>
          <cell r="F206" t="str">
            <v>021</v>
          </cell>
          <cell r="G206" t="str">
            <v>3453 - JUVIA'S PLACE</v>
          </cell>
          <cell r="I206" t="str">
            <v>DI</v>
          </cell>
          <cell r="J206" t="str">
            <v>BASC</v>
          </cell>
          <cell r="K206">
            <v>7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E207">
            <v>1000806</v>
          </cell>
          <cell r="F207" t="str">
            <v>021</v>
          </cell>
          <cell r="G207" t="str">
            <v>3453 - JUVIA'S PLACE</v>
          </cell>
          <cell r="I207" t="str">
            <v>DI</v>
          </cell>
          <cell r="J207" t="str">
            <v>BASC</v>
          </cell>
          <cell r="K207">
            <v>7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E208">
            <v>1000351</v>
          </cell>
          <cell r="F208" t="str">
            <v>021</v>
          </cell>
          <cell r="G208" t="str">
            <v>3453 - JUVIA'S PLACE</v>
          </cell>
          <cell r="H208" t="str">
            <v>F</v>
          </cell>
          <cell r="I208" t="str">
            <v>DI</v>
          </cell>
          <cell r="J208" t="str">
            <v>BASC</v>
          </cell>
          <cell r="K208">
            <v>10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E209">
            <v>1000800</v>
          </cell>
          <cell r="F209" t="str">
            <v>021</v>
          </cell>
          <cell r="G209" t="str">
            <v>3453 - JUVIA'S PLACE</v>
          </cell>
          <cell r="H209" t="str">
            <v>C</v>
          </cell>
          <cell r="I209" t="str">
            <v>X</v>
          </cell>
          <cell r="J209" t="str">
            <v>BASC</v>
          </cell>
          <cell r="K209">
            <v>7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E210">
            <v>1000100</v>
          </cell>
          <cell r="F210" t="str">
            <v>021</v>
          </cell>
          <cell r="G210" t="str">
            <v>3453 - JUVIA'S PLACE</v>
          </cell>
          <cell r="I210" t="str">
            <v>DI</v>
          </cell>
          <cell r="J210" t="str">
            <v>BASC</v>
          </cell>
          <cell r="K210">
            <v>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E211">
            <v>4007127</v>
          </cell>
          <cell r="F211" t="str">
            <v>021</v>
          </cell>
          <cell r="G211" t="str">
            <v>3453 - JUVIA'S PLACE</v>
          </cell>
          <cell r="I211" t="str">
            <v>X</v>
          </cell>
          <cell r="J211" t="str">
            <v>BASC</v>
          </cell>
          <cell r="K211">
            <v>7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E212">
            <v>1000372</v>
          </cell>
          <cell r="F212" t="str">
            <v>021</v>
          </cell>
          <cell r="G212" t="str">
            <v>3453 - JUVIA'S PLACE</v>
          </cell>
          <cell r="H212" t="str">
            <v>C</v>
          </cell>
          <cell r="I212" t="str">
            <v>DI</v>
          </cell>
          <cell r="J212" t="str">
            <v>BASC</v>
          </cell>
          <cell r="K212">
            <v>6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E213">
            <v>1000112</v>
          </cell>
          <cell r="F213" t="str">
            <v>021</v>
          </cell>
          <cell r="G213" t="str">
            <v>3453 - JUVIA'S PLACE</v>
          </cell>
          <cell r="I213" t="str">
            <v>A</v>
          </cell>
          <cell r="J213" t="str">
            <v>BASC</v>
          </cell>
          <cell r="K213">
            <v>14.4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E214">
            <v>1000111</v>
          </cell>
          <cell r="F214" t="str">
            <v>021</v>
          </cell>
          <cell r="G214" t="str">
            <v>3453 - JUVIA'S PLACE</v>
          </cell>
          <cell r="I214" t="str">
            <v>A</v>
          </cell>
          <cell r="J214" t="str">
            <v>BASC</v>
          </cell>
          <cell r="K214">
            <v>14.4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E215">
            <v>1000113</v>
          </cell>
          <cell r="F215" t="str">
            <v>021</v>
          </cell>
          <cell r="G215" t="str">
            <v>3453 - JUVIA'S PLACE</v>
          </cell>
          <cell r="H215" t="str">
            <v>F</v>
          </cell>
          <cell r="I215" t="str">
            <v>A</v>
          </cell>
          <cell r="J215" t="str">
            <v>BASC</v>
          </cell>
          <cell r="K215">
            <v>14.4</v>
          </cell>
          <cell r="L215">
            <v>1080</v>
          </cell>
          <cell r="M215">
            <v>0</v>
          </cell>
          <cell r="N215">
            <v>270</v>
          </cell>
          <cell r="O215">
            <v>0</v>
          </cell>
          <cell r="P215">
            <v>0</v>
          </cell>
          <cell r="Q215">
            <v>90</v>
          </cell>
          <cell r="R215">
            <v>180</v>
          </cell>
          <cell r="S215">
            <v>90</v>
          </cell>
          <cell r="T215">
            <v>90</v>
          </cell>
          <cell r="U215">
            <v>90</v>
          </cell>
          <cell r="V215">
            <v>90</v>
          </cell>
          <cell r="W215">
            <v>90</v>
          </cell>
          <cell r="X215">
            <v>90</v>
          </cell>
        </row>
        <row r="216">
          <cell r="E216">
            <v>1000120</v>
          </cell>
          <cell r="F216" t="str">
            <v>021</v>
          </cell>
          <cell r="G216" t="str">
            <v>3453 - JUVIA'S PLACE</v>
          </cell>
          <cell r="I216" t="str">
            <v>A</v>
          </cell>
          <cell r="J216" t="str">
            <v>BASC</v>
          </cell>
          <cell r="K216">
            <v>14.4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E217">
            <v>1000152</v>
          </cell>
          <cell r="F217" t="str">
            <v>021</v>
          </cell>
          <cell r="G217" t="str">
            <v>3453 - JUVIA'S PLACE</v>
          </cell>
          <cell r="I217" t="str">
            <v>A</v>
          </cell>
          <cell r="J217" t="str">
            <v>BASC</v>
          </cell>
          <cell r="K217">
            <v>14.4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E218">
            <v>1000135</v>
          </cell>
          <cell r="F218" t="str">
            <v>021</v>
          </cell>
          <cell r="G218" t="str">
            <v>3453 - JUVIA'S PLACE</v>
          </cell>
          <cell r="I218" t="str">
            <v>A</v>
          </cell>
          <cell r="J218" t="str">
            <v>BASC</v>
          </cell>
          <cell r="K218">
            <v>14.4</v>
          </cell>
          <cell r="L218">
            <v>90</v>
          </cell>
          <cell r="M218">
            <v>0</v>
          </cell>
          <cell r="N218">
            <v>90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E219">
            <v>1000136</v>
          </cell>
          <cell r="F219" t="str">
            <v>021</v>
          </cell>
          <cell r="G219" t="str">
            <v>3453 - JUVIA'S PLACE</v>
          </cell>
          <cell r="I219" t="str">
            <v>A</v>
          </cell>
          <cell r="J219" t="str">
            <v>BASC</v>
          </cell>
          <cell r="K219">
            <v>14.4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E220">
            <v>1000081</v>
          </cell>
          <cell r="F220" t="str">
            <v>021</v>
          </cell>
          <cell r="G220" t="str">
            <v>3453 - JUVIA'S PLACE</v>
          </cell>
          <cell r="H220" t="str">
            <v>F</v>
          </cell>
          <cell r="I220" t="str">
            <v>A</v>
          </cell>
          <cell r="J220" t="str">
            <v>BASC</v>
          </cell>
          <cell r="K220">
            <v>9</v>
          </cell>
          <cell r="L220">
            <v>2880</v>
          </cell>
          <cell r="M220">
            <v>288</v>
          </cell>
          <cell r="N220">
            <v>288</v>
          </cell>
          <cell r="O220">
            <v>288</v>
          </cell>
          <cell r="P220">
            <v>144</v>
          </cell>
          <cell r="Q220">
            <v>144</v>
          </cell>
          <cell r="R220">
            <v>432</v>
          </cell>
          <cell r="S220">
            <v>144</v>
          </cell>
          <cell r="T220">
            <v>432</v>
          </cell>
          <cell r="U220">
            <v>0</v>
          </cell>
          <cell r="V220">
            <v>576</v>
          </cell>
          <cell r="W220">
            <v>144</v>
          </cell>
          <cell r="X220">
            <v>0</v>
          </cell>
        </row>
        <row r="221">
          <cell r="E221">
            <v>1000078</v>
          </cell>
          <cell r="F221" t="str">
            <v>021</v>
          </cell>
          <cell r="G221" t="str">
            <v>3453 - JUVIA'S PLACE</v>
          </cell>
          <cell r="H221" t="str">
            <v>F</v>
          </cell>
          <cell r="I221" t="str">
            <v>A</v>
          </cell>
          <cell r="J221" t="str">
            <v>BASC</v>
          </cell>
          <cell r="K221">
            <v>9</v>
          </cell>
          <cell r="L221">
            <v>1008</v>
          </cell>
          <cell r="M221">
            <v>0</v>
          </cell>
          <cell r="N221">
            <v>144</v>
          </cell>
          <cell r="O221">
            <v>0</v>
          </cell>
          <cell r="P221">
            <v>0</v>
          </cell>
          <cell r="Q221">
            <v>288</v>
          </cell>
          <cell r="R221">
            <v>0</v>
          </cell>
          <cell r="S221">
            <v>0</v>
          </cell>
          <cell r="T221">
            <v>144</v>
          </cell>
          <cell r="U221">
            <v>144</v>
          </cell>
          <cell r="V221">
            <v>0</v>
          </cell>
          <cell r="W221">
            <v>144</v>
          </cell>
          <cell r="X221">
            <v>144</v>
          </cell>
        </row>
        <row r="222">
          <cell r="E222">
            <v>1000592</v>
          </cell>
          <cell r="F222" t="str">
            <v>021</v>
          </cell>
          <cell r="G222" t="str">
            <v>3453 - JUVIA'S PLACE</v>
          </cell>
          <cell r="H222" t="str">
            <v>E</v>
          </cell>
          <cell r="I222" t="str">
            <v>A</v>
          </cell>
          <cell r="J222" t="str">
            <v>BASC</v>
          </cell>
          <cell r="K222">
            <v>9</v>
          </cell>
          <cell r="L222">
            <v>6912</v>
          </cell>
          <cell r="M222">
            <v>432</v>
          </cell>
          <cell r="N222">
            <v>864</v>
          </cell>
          <cell r="O222">
            <v>576</v>
          </cell>
          <cell r="P222">
            <v>720</v>
          </cell>
          <cell r="Q222">
            <v>576</v>
          </cell>
          <cell r="R222">
            <v>576</v>
          </cell>
          <cell r="S222">
            <v>720</v>
          </cell>
          <cell r="T222">
            <v>432</v>
          </cell>
          <cell r="U222">
            <v>432</v>
          </cell>
          <cell r="V222">
            <v>720</v>
          </cell>
          <cell r="W222">
            <v>576</v>
          </cell>
          <cell r="X222">
            <v>288</v>
          </cell>
        </row>
        <row r="223">
          <cell r="E223">
            <v>1000080</v>
          </cell>
          <cell r="F223" t="str">
            <v>021</v>
          </cell>
          <cell r="G223" t="str">
            <v>3453 - JUVIA'S PLACE</v>
          </cell>
          <cell r="H223" t="str">
            <v>F</v>
          </cell>
          <cell r="I223" t="str">
            <v>A</v>
          </cell>
          <cell r="J223" t="str">
            <v>BASC</v>
          </cell>
          <cell r="K223">
            <v>9</v>
          </cell>
          <cell r="L223">
            <v>2592</v>
          </cell>
          <cell r="M223">
            <v>288</v>
          </cell>
          <cell r="N223">
            <v>144</v>
          </cell>
          <cell r="O223">
            <v>144</v>
          </cell>
          <cell r="P223">
            <v>288</v>
          </cell>
          <cell r="Q223">
            <v>288</v>
          </cell>
          <cell r="R223">
            <v>144</v>
          </cell>
          <cell r="S223">
            <v>144</v>
          </cell>
          <cell r="T223">
            <v>432</v>
          </cell>
          <cell r="U223">
            <v>144</v>
          </cell>
          <cell r="V223">
            <v>144</v>
          </cell>
          <cell r="W223">
            <v>144</v>
          </cell>
          <cell r="X223">
            <v>288</v>
          </cell>
        </row>
        <row r="224">
          <cell r="E224">
            <v>1000079</v>
          </cell>
          <cell r="F224" t="str">
            <v>021</v>
          </cell>
          <cell r="G224" t="str">
            <v>3453 - JUVIA'S PLACE</v>
          </cell>
          <cell r="H224" t="str">
            <v>F</v>
          </cell>
          <cell r="I224" t="str">
            <v>A</v>
          </cell>
          <cell r="J224" t="str">
            <v>BASC</v>
          </cell>
          <cell r="K224">
            <v>9</v>
          </cell>
          <cell r="L224">
            <v>1728</v>
          </cell>
          <cell r="M224">
            <v>288</v>
          </cell>
          <cell r="N224">
            <v>0</v>
          </cell>
          <cell r="O224">
            <v>144</v>
          </cell>
          <cell r="P224">
            <v>0</v>
          </cell>
          <cell r="Q224">
            <v>144</v>
          </cell>
          <cell r="R224">
            <v>288</v>
          </cell>
          <cell r="S224">
            <v>288</v>
          </cell>
          <cell r="T224">
            <v>0</v>
          </cell>
          <cell r="U224">
            <v>0</v>
          </cell>
          <cell r="V224">
            <v>288</v>
          </cell>
          <cell r="W224">
            <v>144</v>
          </cell>
          <cell r="X224">
            <v>144</v>
          </cell>
        </row>
        <row r="225">
          <cell r="E225">
            <v>1000584</v>
          </cell>
          <cell r="F225" t="str">
            <v>021</v>
          </cell>
          <cell r="G225" t="str">
            <v>3453 - JUVIA'S PLACE</v>
          </cell>
          <cell r="H225" t="str">
            <v>F</v>
          </cell>
          <cell r="I225" t="str">
            <v>A</v>
          </cell>
          <cell r="J225" t="str">
            <v>BASC</v>
          </cell>
          <cell r="K225">
            <v>9</v>
          </cell>
          <cell r="L225">
            <v>7488</v>
          </cell>
          <cell r="M225">
            <v>720</v>
          </cell>
          <cell r="N225">
            <v>576</v>
          </cell>
          <cell r="O225">
            <v>576</v>
          </cell>
          <cell r="P225">
            <v>720</v>
          </cell>
          <cell r="Q225">
            <v>576</v>
          </cell>
          <cell r="R225">
            <v>576</v>
          </cell>
          <cell r="S225">
            <v>864</v>
          </cell>
          <cell r="T225">
            <v>720</v>
          </cell>
          <cell r="U225">
            <v>720</v>
          </cell>
          <cell r="V225">
            <v>576</v>
          </cell>
          <cell r="W225">
            <v>432</v>
          </cell>
          <cell r="X225">
            <v>432</v>
          </cell>
        </row>
        <row r="226">
          <cell r="E226">
            <v>1000822</v>
          </cell>
          <cell r="F226" t="str">
            <v>021</v>
          </cell>
          <cell r="G226" t="str">
            <v>3453 - JUVIA'S PLACE</v>
          </cell>
          <cell r="H226" t="str">
            <v>F</v>
          </cell>
          <cell r="I226" t="str">
            <v>DI</v>
          </cell>
          <cell r="J226" t="str">
            <v>BASC</v>
          </cell>
          <cell r="K226">
            <v>7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7">
          <cell r="E227">
            <v>1000652</v>
          </cell>
          <cell r="F227" t="str">
            <v>021</v>
          </cell>
          <cell r="G227" t="str">
            <v>3453 - JUVIA'S PLACE</v>
          </cell>
          <cell r="H227" t="str">
            <v>F</v>
          </cell>
          <cell r="I227" t="str">
            <v>DI</v>
          </cell>
          <cell r="J227" t="str">
            <v>BASC</v>
          </cell>
          <cell r="K227">
            <v>7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E228">
            <v>1000823</v>
          </cell>
          <cell r="F228" t="str">
            <v>021</v>
          </cell>
          <cell r="G228" t="str">
            <v>3453 - JUVIA'S PLACE</v>
          </cell>
          <cell r="H228" t="str">
            <v>F</v>
          </cell>
          <cell r="I228" t="str">
            <v>DI</v>
          </cell>
          <cell r="J228" t="str">
            <v>BASC</v>
          </cell>
          <cell r="K228">
            <v>7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E229">
            <v>1000158</v>
          </cell>
          <cell r="F229" t="str">
            <v>021</v>
          </cell>
          <cell r="G229" t="str">
            <v>3453 - JUVIA'S PLACE</v>
          </cell>
          <cell r="I229" t="str">
            <v>X</v>
          </cell>
          <cell r="J229" t="str">
            <v>BASC</v>
          </cell>
          <cell r="K229">
            <v>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E230">
            <v>1000154</v>
          </cell>
          <cell r="F230" t="str">
            <v>021</v>
          </cell>
          <cell r="G230" t="str">
            <v>3453 - JUVIA'S PLACE</v>
          </cell>
          <cell r="I230" t="str">
            <v>X</v>
          </cell>
          <cell r="J230" t="str">
            <v>BASC</v>
          </cell>
          <cell r="K230">
            <v>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</row>
        <row r="231">
          <cell r="E231">
            <v>1000162</v>
          </cell>
          <cell r="F231" t="str">
            <v>021</v>
          </cell>
          <cell r="G231" t="str">
            <v>3453 - JUVIA'S PLACE</v>
          </cell>
          <cell r="I231" t="str">
            <v>X</v>
          </cell>
          <cell r="J231" t="str">
            <v>BASC</v>
          </cell>
          <cell r="K231">
            <v>8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</row>
        <row r="232">
          <cell r="E232">
            <v>1000161</v>
          </cell>
          <cell r="F232" t="str">
            <v>021</v>
          </cell>
          <cell r="G232" t="str">
            <v>3453 - JUVIA'S PLACE</v>
          </cell>
          <cell r="I232" t="str">
            <v>X</v>
          </cell>
          <cell r="J232" t="str">
            <v>BASC</v>
          </cell>
          <cell r="K232">
            <v>8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</row>
        <row r="233">
          <cell r="E233">
            <v>1000176</v>
          </cell>
          <cell r="F233" t="str">
            <v>021</v>
          </cell>
          <cell r="G233" t="str">
            <v>3453 - JUVIA'S PLACE</v>
          </cell>
          <cell r="I233" t="str">
            <v>X</v>
          </cell>
          <cell r="J233" t="str">
            <v>BASC</v>
          </cell>
          <cell r="K233">
            <v>8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E234">
            <v>1000167</v>
          </cell>
          <cell r="F234" t="str">
            <v>021</v>
          </cell>
          <cell r="G234" t="str">
            <v>3453 - JUVIA'S PLACE</v>
          </cell>
          <cell r="I234" t="str">
            <v>X</v>
          </cell>
          <cell r="J234" t="str">
            <v>BASC</v>
          </cell>
          <cell r="K234">
            <v>8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</row>
        <row r="235">
          <cell r="E235">
            <v>1000166</v>
          </cell>
          <cell r="F235" t="str">
            <v>021</v>
          </cell>
          <cell r="G235" t="str">
            <v>3453 - JUVIA'S PLACE</v>
          </cell>
          <cell r="I235" t="str">
            <v>X</v>
          </cell>
          <cell r="J235" t="str">
            <v>BASC</v>
          </cell>
          <cell r="K235">
            <v>8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E236">
            <v>1000175</v>
          </cell>
          <cell r="F236" t="str">
            <v>021</v>
          </cell>
          <cell r="G236" t="str">
            <v>3453 - JUVIA'S PLACE</v>
          </cell>
          <cell r="I236" t="str">
            <v>X</v>
          </cell>
          <cell r="J236" t="str">
            <v>BASC</v>
          </cell>
          <cell r="K236">
            <v>8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E237">
            <v>1000159</v>
          </cell>
          <cell r="F237" t="str">
            <v>021</v>
          </cell>
          <cell r="G237" t="str">
            <v>3453 - JUVIA'S PLACE</v>
          </cell>
          <cell r="I237" t="str">
            <v>X</v>
          </cell>
          <cell r="J237" t="str">
            <v>BASC</v>
          </cell>
          <cell r="K237">
            <v>8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E238">
            <v>1000182</v>
          </cell>
          <cell r="F238" t="str">
            <v>021</v>
          </cell>
          <cell r="G238" t="str">
            <v>3453 - JUVIA'S PLACE</v>
          </cell>
          <cell r="I238" t="str">
            <v>X</v>
          </cell>
          <cell r="J238" t="str">
            <v>BASC</v>
          </cell>
          <cell r="K238">
            <v>8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E239">
            <v>1000168</v>
          </cell>
          <cell r="F239" t="str">
            <v>021</v>
          </cell>
          <cell r="G239" t="str">
            <v>3453 - JUVIA'S PLACE</v>
          </cell>
          <cell r="I239" t="str">
            <v>X</v>
          </cell>
          <cell r="J239" t="str">
            <v>BASC</v>
          </cell>
          <cell r="K239">
            <v>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E240">
            <v>1000183</v>
          </cell>
          <cell r="F240" t="str">
            <v>021</v>
          </cell>
          <cell r="G240" t="str">
            <v>3453 - JUVIA'S PLACE</v>
          </cell>
          <cell r="I240" t="str">
            <v>X</v>
          </cell>
          <cell r="J240" t="str">
            <v>BASC</v>
          </cell>
          <cell r="K240">
            <v>8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E241">
            <v>1000157</v>
          </cell>
          <cell r="F241" t="str">
            <v>021</v>
          </cell>
          <cell r="G241" t="str">
            <v>3453 - JUVIA'S PLACE</v>
          </cell>
          <cell r="I241" t="str">
            <v>X</v>
          </cell>
          <cell r="J241" t="str">
            <v>BASC</v>
          </cell>
          <cell r="K241">
            <v>8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E242">
            <v>1000172</v>
          </cell>
          <cell r="F242" t="str">
            <v>021</v>
          </cell>
          <cell r="G242" t="str">
            <v>3453 - JUVIA'S PLACE</v>
          </cell>
          <cell r="I242" t="str">
            <v>X</v>
          </cell>
          <cell r="J242" t="str">
            <v>BASC</v>
          </cell>
          <cell r="K242">
            <v>8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E243">
            <v>1000174</v>
          </cell>
          <cell r="F243" t="str">
            <v>021</v>
          </cell>
          <cell r="G243" t="str">
            <v>3453 - JUVIA'S PLACE</v>
          </cell>
          <cell r="I243" t="str">
            <v>X</v>
          </cell>
          <cell r="J243" t="str">
            <v>BASC</v>
          </cell>
          <cell r="K243">
            <v>8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E244">
            <v>1000165</v>
          </cell>
          <cell r="F244" t="str">
            <v>021</v>
          </cell>
          <cell r="G244" t="str">
            <v>3453 - JUVIA'S PLACE</v>
          </cell>
          <cell r="I244" t="str">
            <v>X</v>
          </cell>
          <cell r="J244" t="str">
            <v>BASC</v>
          </cell>
          <cell r="K244">
            <v>8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</row>
        <row r="245">
          <cell r="E245">
            <v>1000170</v>
          </cell>
          <cell r="F245" t="str">
            <v>021</v>
          </cell>
          <cell r="G245" t="str">
            <v>3453 - JUVIA'S PLACE</v>
          </cell>
          <cell r="I245" t="str">
            <v>X</v>
          </cell>
          <cell r="J245" t="str">
            <v>BASC</v>
          </cell>
          <cell r="K245">
            <v>8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E246">
            <v>1000169</v>
          </cell>
          <cell r="F246" t="str">
            <v>021</v>
          </cell>
          <cell r="G246" t="str">
            <v>3453 - JUVIA'S PLACE</v>
          </cell>
          <cell r="I246" t="str">
            <v>X</v>
          </cell>
          <cell r="J246" t="str">
            <v>BASC</v>
          </cell>
          <cell r="K246">
            <v>8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E247">
            <v>1000164</v>
          </cell>
          <cell r="F247" t="str">
            <v>021</v>
          </cell>
          <cell r="G247" t="str">
            <v>3453 - JUVIA'S PLACE</v>
          </cell>
          <cell r="I247" t="str">
            <v>X</v>
          </cell>
          <cell r="J247" t="str">
            <v>BASC</v>
          </cell>
          <cell r="K247">
            <v>8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E248">
            <v>1000179</v>
          </cell>
          <cell r="F248" t="str">
            <v>021</v>
          </cell>
          <cell r="G248" t="str">
            <v>3453 - JUVIA'S PLACE</v>
          </cell>
          <cell r="I248" t="str">
            <v>X</v>
          </cell>
          <cell r="J248" t="str">
            <v>BASC</v>
          </cell>
          <cell r="K248">
            <v>8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E249">
            <v>1000171</v>
          </cell>
          <cell r="F249" t="str">
            <v>021</v>
          </cell>
          <cell r="G249" t="str">
            <v>3453 - JUVIA'S PLACE</v>
          </cell>
          <cell r="I249" t="str">
            <v>X</v>
          </cell>
          <cell r="J249" t="str">
            <v>BASC</v>
          </cell>
          <cell r="K249">
            <v>8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E250">
            <v>1000180</v>
          </cell>
          <cell r="F250" t="str">
            <v>021</v>
          </cell>
          <cell r="G250" t="str">
            <v>3453 - JUVIA'S PLACE</v>
          </cell>
          <cell r="I250" t="str">
            <v>X</v>
          </cell>
          <cell r="J250" t="str">
            <v>BASC</v>
          </cell>
          <cell r="K250">
            <v>8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E251">
            <v>1000155</v>
          </cell>
          <cell r="F251" t="str">
            <v>021</v>
          </cell>
          <cell r="G251" t="str">
            <v>3453 - JUVIA'S PLACE</v>
          </cell>
          <cell r="I251" t="str">
            <v>X</v>
          </cell>
          <cell r="J251" t="str">
            <v>BASC</v>
          </cell>
          <cell r="K251">
            <v>8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E252">
            <v>1000156</v>
          </cell>
          <cell r="F252" t="str">
            <v>021</v>
          </cell>
          <cell r="G252" t="str">
            <v>3453 - JUVIA'S PLACE</v>
          </cell>
          <cell r="I252" t="str">
            <v>X</v>
          </cell>
          <cell r="J252" t="str">
            <v>BASC</v>
          </cell>
          <cell r="K252">
            <v>8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E253">
            <v>1000163</v>
          </cell>
          <cell r="F253" t="str">
            <v>021</v>
          </cell>
          <cell r="G253" t="str">
            <v>3453 - JUVIA'S PLACE</v>
          </cell>
          <cell r="I253" t="str">
            <v>X</v>
          </cell>
          <cell r="J253" t="str">
            <v>BASC</v>
          </cell>
          <cell r="K253">
            <v>8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E254">
            <v>1000177</v>
          </cell>
          <cell r="F254" t="str">
            <v>021</v>
          </cell>
          <cell r="G254" t="str">
            <v>3453 - JUVIA'S PLACE</v>
          </cell>
          <cell r="I254" t="str">
            <v>X</v>
          </cell>
          <cell r="J254" t="str">
            <v>BASC</v>
          </cell>
          <cell r="K254">
            <v>8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E255">
            <v>1000178</v>
          </cell>
          <cell r="F255" t="str">
            <v>021</v>
          </cell>
          <cell r="G255" t="str">
            <v>3453 - JUVIA'S PLACE</v>
          </cell>
          <cell r="I255" t="str">
            <v>X</v>
          </cell>
          <cell r="J255" t="str">
            <v>BASC</v>
          </cell>
          <cell r="K255">
            <v>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E256">
            <v>1000160</v>
          </cell>
          <cell r="F256" t="str">
            <v>021</v>
          </cell>
          <cell r="G256" t="str">
            <v>3453 - JUVIA'S PLACE</v>
          </cell>
          <cell r="I256" t="str">
            <v>X</v>
          </cell>
          <cell r="J256" t="str">
            <v>BASC</v>
          </cell>
          <cell r="K256">
            <v>8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E257">
            <v>1000181</v>
          </cell>
          <cell r="F257" t="str">
            <v>021</v>
          </cell>
          <cell r="G257" t="str">
            <v>3453 - JUVIA'S PLACE</v>
          </cell>
          <cell r="I257" t="str">
            <v>X</v>
          </cell>
          <cell r="J257" t="str">
            <v>BASC</v>
          </cell>
          <cell r="K257">
            <v>8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E258">
            <v>1000153</v>
          </cell>
          <cell r="F258" t="str">
            <v>021</v>
          </cell>
          <cell r="G258" t="str">
            <v>3453 - JUVIA'S PLACE</v>
          </cell>
          <cell r="I258" t="str">
            <v>X</v>
          </cell>
          <cell r="J258" t="str">
            <v>BASC</v>
          </cell>
          <cell r="K258">
            <v>8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</row>
        <row r="259">
          <cell r="E259">
            <v>1000087</v>
          </cell>
          <cell r="F259" t="str">
            <v>021</v>
          </cell>
          <cell r="G259" t="str">
            <v>3453 - JUVIA'S PLACE</v>
          </cell>
          <cell r="H259" t="str">
            <v>F</v>
          </cell>
          <cell r="I259" t="str">
            <v>DI</v>
          </cell>
          <cell r="J259" t="str">
            <v>BASC</v>
          </cell>
          <cell r="K259">
            <v>8.5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</row>
        <row r="260">
          <cell r="E260">
            <v>1000092</v>
          </cell>
          <cell r="F260" t="str">
            <v>021</v>
          </cell>
          <cell r="G260" t="str">
            <v>3453 - JUVIA'S PLACE</v>
          </cell>
          <cell r="H260" t="str">
            <v>D</v>
          </cell>
          <cell r="I260" t="str">
            <v>DI</v>
          </cell>
          <cell r="J260" t="str">
            <v>BASC</v>
          </cell>
          <cell r="K260">
            <v>7.5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  <row r="261">
          <cell r="E261">
            <v>1000669</v>
          </cell>
          <cell r="F261" t="str">
            <v>021</v>
          </cell>
          <cell r="G261" t="str">
            <v>3453 - JUVIA'S PLACE</v>
          </cell>
          <cell r="H261" t="str">
            <v>F</v>
          </cell>
          <cell r="I261" t="str">
            <v>A</v>
          </cell>
          <cell r="J261" t="str">
            <v>BASC</v>
          </cell>
          <cell r="K261">
            <v>7.5</v>
          </cell>
          <cell r="L261">
            <v>6048</v>
          </cell>
          <cell r="M261">
            <v>720</v>
          </cell>
          <cell r="N261">
            <v>720</v>
          </cell>
          <cell r="O261">
            <v>432</v>
          </cell>
          <cell r="P261">
            <v>432</v>
          </cell>
          <cell r="Q261">
            <v>432</v>
          </cell>
          <cell r="R261">
            <v>432</v>
          </cell>
          <cell r="S261">
            <v>576</v>
          </cell>
          <cell r="T261">
            <v>432</v>
          </cell>
          <cell r="U261">
            <v>432</v>
          </cell>
          <cell r="V261">
            <v>576</v>
          </cell>
          <cell r="W261">
            <v>432</v>
          </cell>
          <cell r="X261">
            <v>432</v>
          </cell>
        </row>
        <row r="262">
          <cell r="E262">
            <v>1000774</v>
          </cell>
          <cell r="F262" t="str">
            <v>021</v>
          </cell>
          <cell r="G262" t="str">
            <v>3453 - JUVIA'S PLACE</v>
          </cell>
          <cell r="H262" t="str">
            <v>E</v>
          </cell>
          <cell r="I262" t="str">
            <v>A</v>
          </cell>
          <cell r="J262" t="str">
            <v>BASC</v>
          </cell>
          <cell r="K262">
            <v>7.5</v>
          </cell>
          <cell r="L262">
            <v>11952</v>
          </cell>
          <cell r="M262">
            <v>2160</v>
          </cell>
          <cell r="N262">
            <v>864</v>
          </cell>
          <cell r="O262">
            <v>720</v>
          </cell>
          <cell r="P262">
            <v>1152</v>
          </cell>
          <cell r="Q262">
            <v>1152</v>
          </cell>
          <cell r="R262">
            <v>720</v>
          </cell>
          <cell r="S262">
            <v>1008</v>
          </cell>
          <cell r="T262">
            <v>864</v>
          </cell>
          <cell r="U262">
            <v>864</v>
          </cell>
          <cell r="V262">
            <v>1152</v>
          </cell>
          <cell r="W262">
            <v>1152</v>
          </cell>
          <cell r="X262">
            <v>144</v>
          </cell>
        </row>
        <row r="263">
          <cell r="E263">
            <v>1000743</v>
          </cell>
          <cell r="F263" t="str">
            <v>021</v>
          </cell>
          <cell r="G263" t="str">
            <v>3453 - JUVIA'S PLACE</v>
          </cell>
          <cell r="H263" t="str">
            <v>F</v>
          </cell>
          <cell r="I263" t="str">
            <v>A</v>
          </cell>
          <cell r="J263" t="str">
            <v>BASC</v>
          </cell>
          <cell r="K263">
            <v>7.5</v>
          </cell>
          <cell r="L263">
            <v>4176</v>
          </cell>
          <cell r="M263">
            <v>576</v>
          </cell>
          <cell r="N263">
            <v>432</v>
          </cell>
          <cell r="O263">
            <v>144</v>
          </cell>
          <cell r="P263">
            <v>432</v>
          </cell>
          <cell r="Q263">
            <v>288</v>
          </cell>
          <cell r="R263">
            <v>432</v>
          </cell>
          <cell r="S263">
            <v>144</v>
          </cell>
          <cell r="T263">
            <v>288</v>
          </cell>
          <cell r="U263">
            <v>432</v>
          </cell>
          <cell r="V263">
            <v>432</v>
          </cell>
          <cell r="W263">
            <v>432</v>
          </cell>
          <cell r="X263">
            <v>144</v>
          </cell>
        </row>
        <row r="264">
          <cell r="E264">
            <v>1000794</v>
          </cell>
          <cell r="F264" t="str">
            <v>021</v>
          </cell>
          <cell r="G264" t="str">
            <v>3453 - JUVIA'S PLACE</v>
          </cell>
          <cell r="I264" t="str">
            <v>DI</v>
          </cell>
          <cell r="J264" t="str">
            <v>BASC</v>
          </cell>
          <cell r="K264">
            <v>7.5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E265">
            <v>1000795</v>
          </cell>
          <cell r="F265" t="str">
            <v>021</v>
          </cell>
          <cell r="G265" t="str">
            <v>3453 - JUVIA'S PLACE</v>
          </cell>
          <cell r="H265" t="str">
            <v>E</v>
          </cell>
          <cell r="I265" t="str">
            <v>DI</v>
          </cell>
          <cell r="J265" t="str">
            <v>BASC</v>
          </cell>
          <cell r="K265">
            <v>7.5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</row>
        <row r="266">
          <cell r="E266">
            <v>1000796</v>
          </cell>
          <cell r="F266" t="str">
            <v>021</v>
          </cell>
          <cell r="G266" t="str">
            <v>3453 - JUVIA'S PLACE</v>
          </cell>
          <cell r="H266" t="str">
            <v>E</v>
          </cell>
          <cell r="I266" t="str">
            <v>DI</v>
          </cell>
          <cell r="J266" t="str">
            <v>BASC</v>
          </cell>
          <cell r="K266">
            <v>7.5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</row>
        <row r="267">
          <cell r="E267">
            <v>1000986</v>
          </cell>
          <cell r="F267" t="str">
            <v>021</v>
          </cell>
          <cell r="G267" t="str">
            <v>3453 - JUVIA'S PLACE</v>
          </cell>
          <cell r="H267" t="str">
            <v>C</v>
          </cell>
          <cell r="I267" t="str">
            <v>DI</v>
          </cell>
          <cell r="J267" t="str">
            <v>BASC</v>
          </cell>
          <cell r="K267">
            <v>18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</row>
        <row r="268">
          <cell r="E268">
            <v>1000961</v>
          </cell>
          <cell r="F268" t="str">
            <v>021</v>
          </cell>
          <cell r="G268" t="str">
            <v>3453 - JUVIA'S PLACE</v>
          </cell>
          <cell r="H268" t="str">
            <v>E</v>
          </cell>
          <cell r="I268" t="str">
            <v>DI</v>
          </cell>
          <cell r="J268" t="str">
            <v>BASC</v>
          </cell>
          <cell r="K268">
            <v>6.5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</row>
        <row r="269">
          <cell r="E269">
            <v>1000960</v>
          </cell>
          <cell r="F269" t="str">
            <v>021</v>
          </cell>
          <cell r="G269" t="str">
            <v>3453 - JUVIA'S PLACE</v>
          </cell>
          <cell r="H269" t="str">
            <v>F</v>
          </cell>
          <cell r="I269" t="str">
            <v>DI</v>
          </cell>
          <cell r="J269" t="str">
            <v>BASC</v>
          </cell>
          <cell r="K269">
            <v>6.5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E270">
            <v>1000860</v>
          </cell>
          <cell r="F270" t="str">
            <v>021</v>
          </cell>
          <cell r="G270" t="str">
            <v>3453 - JUVIA'S PLACE</v>
          </cell>
          <cell r="H270" t="str">
            <v>E</v>
          </cell>
          <cell r="I270" t="str">
            <v>DI</v>
          </cell>
          <cell r="J270" t="str">
            <v>BASC</v>
          </cell>
          <cell r="K270">
            <v>6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E271">
            <v>1000784</v>
          </cell>
          <cell r="F271" t="str">
            <v>021</v>
          </cell>
          <cell r="G271" t="str">
            <v>3453 - JUVIA'S PLACE</v>
          </cell>
          <cell r="H271" t="str">
            <v>F</v>
          </cell>
          <cell r="I271" t="str">
            <v>DI</v>
          </cell>
          <cell r="J271" t="str">
            <v>BASC</v>
          </cell>
          <cell r="K271">
            <v>6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E272">
            <v>1000783</v>
          </cell>
          <cell r="F272" t="str">
            <v>021</v>
          </cell>
          <cell r="G272" t="str">
            <v>3453 - JUVIA'S PLACE</v>
          </cell>
          <cell r="H272" t="str">
            <v>F</v>
          </cell>
          <cell r="I272" t="str">
            <v>A</v>
          </cell>
          <cell r="J272" t="str">
            <v>BASC</v>
          </cell>
          <cell r="K272">
            <v>6.5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E273">
            <v>1001158</v>
          </cell>
          <cell r="F273" t="str">
            <v>021</v>
          </cell>
          <cell r="G273" t="str">
            <v>3453 - JUVIA'S PLACE</v>
          </cell>
          <cell r="H273" t="str">
            <v>F</v>
          </cell>
          <cell r="I273" t="str">
            <v>A</v>
          </cell>
          <cell r="J273" t="str">
            <v>BASC</v>
          </cell>
          <cell r="K273">
            <v>6.5</v>
          </cell>
          <cell r="L273">
            <v>1872</v>
          </cell>
          <cell r="M273">
            <v>0</v>
          </cell>
          <cell r="N273">
            <v>144</v>
          </cell>
          <cell r="O273">
            <v>144</v>
          </cell>
          <cell r="P273">
            <v>144</v>
          </cell>
          <cell r="Q273">
            <v>144</v>
          </cell>
          <cell r="R273">
            <v>144</v>
          </cell>
          <cell r="S273">
            <v>144</v>
          </cell>
          <cell r="T273">
            <v>288</v>
          </cell>
          <cell r="U273">
            <v>144</v>
          </cell>
          <cell r="V273">
            <v>288</v>
          </cell>
          <cell r="W273">
            <v>144</v>
          </cell>
          <cell r="X273">
            <v>144</v>
          </cell>
        </row>
        <row r="274">
          <cell r="E274">
            <v>1001551</v>
          </cell>
          <cell r="F274" t="str">
            <v>021</v>
          </cell>
          <cell r="G274" t="str">
            <v>3453 - JUVIA'S PLACE</v>
          </cell>
          <cell r="I274" t="str">
            <v>DI</v>
          </cell>
          <cell r="J274" t="str">
            <v>BASC</v>
          </cell>
          <cell r="K274">
            <v>7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E275">
            <v>1001006</v>
          </cell>
          <cell r="F275" t="str">
            <v>021</v>
          </cell>
          <cell r="G275" t="str">
            <v>3453 - JUVIA'S PLACE</v>
          </cell>
          <cell r="I275" t="str">
            <v>X</v>
          </cell>
          <cell r="J275" t="str">
            <v>BASC</v>
          </cell>
          <cell r="K275">
            <v>6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E276">
            <v>1001009</v>
          </cell>
          <cell r="F276" t="str">
            <v>021</v>
          </cell>
          <cell r="G276" t="str">
            <v>3453 - JUVIA'S PLACE</v>
          </cell>
          <cell r="I276" t="str">
            <v>X</v>
          </cell>
          <cell r="J276" t="str">
            <v>BASC</v>
          </cell>
          <cell r="K276">
            <v>6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E277">
            <v>1001007</v>
          </cell>
          <cell r="F277" t="str">
            <v>021</v>
          </cell>
          <cell r="G277" t="str">
            <v>3453 - JUVIA'S PLACE</v>
          </cell>
          <cell r="I277" t="str">
            <v>DI</v>
          </cell>
          <cell r="J277" t="str">
            <v>BASC</v>
          </cell>
          <cell r="K277">
            <v>6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E278">
            <v>1001005</v>
          </cell>
          <cell r="F278" t="str">
            <v>021</v>
          </cell>
          <cell r="G278" t="str">
            <v>3453 - JUVIA'S PLACE</v>
          </cell>
          <cell r="I278" t="str">
            <v>DI</v>
          </cell>
          <cell r="J278" t="str">
            <v>BASC</v>
          </cell>
          <cell r="K278">
            <v>6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E279">
            <v>1001327</v>
          </cell>
          <cell r="F279" t="str">
            <v>021</v>
          </cell>
          <cell r="G279" t="str">
            <v>3453 - JUVIA'S PLACE</v>
          </cell>
          <cell r="H279" t="str">
            <v>F</v>
          </cell>
          <cell r="I279" t="str">
            <v>DI</v>
          </cell>
          <cell r="J279" t="str">
            <v>BASC</v>
          </cell>
          <cell r="K279">
            <v>6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E280">
            <v>1001330</v>
          </cell>
          <cell r="F280" t="str">
            <v>021</v>
          </cell>
          <cell r="G280" t="str">
            <v>3453 - JUVIA'S PLACE</v>
          </cell>
          <cell r="H280" t="str">
            <v>F</v>
          </cell>
          <cell r="I280" t="str">
            <v>DI</v>
          </cell>
          <cell r="J280" t="str">
            <v>BASC</v>
          </cell>
          <cell r="K280">
            <v>6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E281">
            <v>1001118</v>
          </cell>
          <cell r="F281" t="str">
            <v>021</v>
          </cell>
          <cell r="G281" t="str">
            <v>3453 - JUVIA'S PLACE</v>
          </cell>
          <cell r="H281" t="str">
            <v>C</v>
          </cell>
          <cell r="I281" t="str">
            <v>DI</v>
          </cell>
          <cell r="J281" t="str">
            <v>BASC</v>
          </cell>
          <cell r="K281">
            <v>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E282">
            <v>1001084</v>
          </cell>
          <cell r="F282" t="str">
            <v>021</v>
          </cell>
          <cell r="G282" t="str">
            <v>3453 - JUVIA'S PLACE</v>
          </cell>
          <cell r="H282" t="str">
            <v>F</v>
          </cell>
          <cell r="I282" t="str">
            <v>A</v>
          </cell>
          <cell r="J282" t="str">
            <v>BASC</v>
          </cell>
          <cell r="K282">
            <v>7.5</v>
          </cell>
          <cell r="L282">
            <v>4464</v>
          </cell>
          <cell r="M282">
            <v>576</v>
          </cell>
          <cell r="N282">
            <v>432</v>
          </cell>
          <cell r="O282">
            <v>288</v>
          </cell>
          <cell r="P282">
            <v>432</v>
          </cell>
          <cell r="Q282">
            <v>288</v>
          </cell>
          <cell r="R282">
            <v>432</v>
          </cell>
          <cell r="S282">
            <v>144</v>
          </cell>
          <cell r="T282">
            <v>288</v>
          </cell>
          <cell r="U282">
            <v>432</v>
          </cell>
          <cell r="V282">
            <v>576</v>
          </cell>
          <cell r="W282">
            <v>288</v>
          </cell>
          <cell r="X282">
            <v>288</v>
          </cell>
        </row>
        <row r="283">
          <cell r="E283">
            <v>1001117</v>
          </cell>
          <cell r="F283" t="str">
            <v>021</v>
          </cell>
          <cell r="G283" t="str">
            <v>3453 - JUVIA'S PLACE</v>
          </cell>
          <cell r="H283" t="str">
            <v>D</v>
          </cell>
          <cell r="I283" t="str">
            <v>DI</v>
          </cell>
          <cell r="J283" t="str">
            <v>BASC</v>
          </cell>
          <cell r="K283">
            <v>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E284">
            <v>1001241</v>
          </cell>
          <cell r="F284" t="str">
            <v>021</v>
          </cell>
          <cell r="G284" t="str">
            <v>3453 - JUVIA'S PLACE</v>
          </cell>
          <cell r="I284" t="str">
            <v>DI</v>
          </cell>
          <cell r="J284" t="str">
            <v>BASC</v>
          </cell>
          <cell r="K284">
            <v>6.5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E285">
            <v>1001243</v>
          </cell>
          <cell r="F285" t="str">
            <v>021</v>
          </cell>
          <cell r="G285" t="str">
            <v>3453 - JUVIA'S PLACE</v>
          </cell>
          <cell r="H285" t="str">
            <v>F</v>
          </cell>
          <cell r="I285" t="str">
            <v>DI</v>
          </cell>
          <cell r="J285" t="str">
            <v>BASC</v>
          </cell>
          <cell r="K285">
            <v>6.5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E286">
            <v>1001242</v>
          </cell>
          <cell r="F286" t="str">
            <v>021</v>
          </cell>
          <cell r="G286" t="str">
            <v>3453 - JUVIA'S PLACE</v>
          </cell>
          <cell r="H286" t="str">
            <v>F</v>
          </cell>
          <cell r="I286" t="str">
            <v>DI</v>
          </cell>
          <cell r="J286" t="str">
            <v>BASC</v>
          </cell>
          <cell r="K286">
            <v>6.5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E287">
            <v>1001051</v>
          </cell>
          <cell r="F287" t="str">
            <v>021</v>
          </cell>
          <cell r="G287" t="str">
            <v>3453 - JUVIA'S PLACE</v>
          </cell>
          <cell r="H287" t="str">
            <v>F</v>
          </cell>
          <cell r="I287" t="str">
            <v>A</v>
          </cell>
          <cell r="J287" t="str">
            <v>BASC</v>
          </cell>
          <cell r="K287">
            <v>7</v>
          </cell>
          <cell r="L287">
            <v>5760</v>
          </cell>
          <cell r="M287">
            <v>576</v>
          </cell>
          <cell r="N287">
            <v>576</v>
          </cell>
          <cell r="O287">
            <v>576</v>
          </cell>
          <cell r="P287">
            <v>432</v>
          </cell>
          <cell r="Q287">
            <v>576</v>
          </cell>
          <cell r="R287">
            <v>0</v>
          </cell>
          <cell r="S287">
            <v>720</v>
          </cell>
          <cell r="T287">
            <v>576</v>
          </cell>
          <cell r="U287">
            <v>432</v>
          </cell>
          <cell r="V287">
            <v>432</v>
          </cell>
          <cell r="W287">
            <v>576</v>
          </cell>
          <cell r="X287">
            <v>288</v>
          </cell>
        </row>
        <row r="288">
          <cell r="E288">
            <v>1001609</v>
          </cell>
          <cell r="F288" t="str">
            <v>021</v>
          </cell>
          <cell r="G288" t="str">
            <v>3453 - JUVIA'S PLACE</v>
          </cell>
          <cell r="H288" t="str">
            <v>F</v>
          </cell>
          <cell r="I288" t="str">
            <v>DI</v>
          </cell>
          <cell r="J288" t="str">
            <v>BASC</v>
          </cell>
          <cell r="K288">
            <v>7.5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E289">
            <v>1001633</v>
          </cell>
          <cell r="F289" t="str">
            <v>021</v>
          </cell>
          <cell r="G289" t="str">
            <v>3453 - JUVIA'S PLACE</v>
          </cell>
          <cell r="H289" t="str">
            <v>F</v>
          </cell>
          <cell r="I289" t="str">
            <v>DI</v>
          </cell>
          <cell r="J289" t="str">
            <v>BASC</v>
          </cell>
          <cell r="K289">
            <v>5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E290">
            <v>1001628</v>
          </cell>
          <cell r="F290" t="str">
            <v>021</v>
          </cell>
          <cell r="G290" t="str">
            <v>3453 - JUVIA'S PLACE</v>
          </cell>
          <cell r="H290" t="str">
            <v>F</v>
          </cell>
          <cell r="I290" t="str">
            <v>DI</v>
          </cell>
          <cell r="J290" t="str">
            <v>BASC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</row>
        <row r="291">
          <cell r="E291">
            <v>1001635</v>
          </cell>
          <cell r="F291" t="str">
            <v>021</v>
          </cell>
          <cell r="G291" t="str">
            <v>3453 - JUVIA'S PLACE</v>
          </cell>
          <cell r="H291" t="str">
            <v>F</v>
          </cell>
          <cell r="I291" t="str">
            <v>DI</v>
          </cell>
          <cell r="J291" t="str">
            <v>BASC</v>
          </cell>
          <cell r="K291">
            <v>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E292">
            <v>1001626</v>
          </cell>
          <cell r="F292" t="str">
            <v>021</v>
          </cell>
          <cell r="G292" t="str">
            <v>3453 - JUVIA'S PLACE</v>
          </cell>
          <cell r="H292" t="str">
            <v>F</v>
          </cell>
          <cell r="I292" t="str">
            <v>DI</v>
          </cell>
          <cell r="J292" t="str">
            <v>BASC</v>
          </cell>
          <cell r="K292">
            <v>7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</row>
        <row r="293">
          <cell r="E293">
            <v>1001615</v>
          </cell>
          <cell r="F293" t="str">
            <v>021</v>
          </cell>
          <cell r="G293" t="str">
            <v>3453 - JUVIA'S PLACE</v>
          </cell>
          <cell r="H293" t="str">
            <v>F</v>
          </cell>
          <cell r="I293" t="str">
            <v>DI</v>
          </cell>
          <cell r="J293" t="str">
            <v>BASC</v>
          </cell>
          <cell r="K293">
            <v>7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</row>
        <row r="294">
          <cell r="E294">
            <v>1001610</v>
          </cell>
          <cell r="F294" t="str">
            <v>021</v>
          </cell>
          <cell r="G294" t="str">
            <v>3453 - JUVIA'S PLACE</v>
          </cell>
          <cell r="H294" t="str">
            <v>E</v>
          </cell>
          <cell r="I294" t="str">
            <v>DI</v>
          </cell>
          <cell r="J294" t="str">
            <v>BASC</v>
          </cell>
          <cell r="K294">
            <v>7.5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E295">
            <v>1001215</v>
          </cell>
          <cell r="F295" t="str">
            <v>021</v>
          </cell>
          <cell r="G295" t="str">
            <v>3453 - JUVIA'S PLACE</v>
          </cell>
          <cell r="I295" t="str">
            <v>DI</v>
          </cell>
          <cell r="J295" t="str">
            <v>BASC</v>
          </cell>
          <cell r="K295">
            <v>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E296">
            <v>1001216</v>
          </cell>
          <cell r="F296" t="str">
            <v>021</v>
          </cell>
          <cell r="G296" t="str">
            <v>3453 - JUVIA'S PLACE</v>
          </cell>
          <cell r="I296" t="str">
            <v>DI</v>
          </cell>
          <cell r="J296" t="str">
            <v>BASC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E297">
            <v>1001217</v>
          </cell>
          <cell r="F297" t="str">
            <v>021</v>
          </cell>
          <cell r="G297" t="str">
            <v>3453 - JUVIA'S PLACE</v>
          </cell>
          <cell r="I297" t="str">
            <v>X</v>
          </cell>
          <cell r="J297" t="str">
            <v>BASC</v>
          </cell>
          <cell r="K297">
            <v>5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E298">
            <v>1001218</v>
          </cell>
          <cell r="F298" t="str">
            <v>021</v>
          </cell>
          <cell r="G298" t="str">
            <v>3453 - JUVIA'S PLACE</v>
          </cell>
          <cell r="I298" t="str">
            <v>X</v>
          </cell>
          <cell r="J298" t="str">
            <v>BASC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E299">
            <v>1001219</v>
          </cell>
          <cell r="F299" t="str">
            <v>021</v>
          </cell>
          <cell r="G299" t="str">
            <v>3453 - JUVIA'S PLACE</v>
          </cell>
          <cell r="I299" t="str">
            <v>X</v>
          </cell>
          <cell r="J299" t="str">
            <v>BASC</v>
          </cell>
          <cell r="K299">
            <v>5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E300">
            <v>1001220</v>
          </cell>
          <cell r="F300" t="str">
            <v>021</v>
          </cell>
          <cell r="G300" t="str">
            <v>3453 - JUVIA'S PLACE</v>
          </cell>
          <cell r="I300" t="str">
            <v>X</v>
          </cell>
          <cell r="J300" t="str">
            <v>BASC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</row>
        <row r="301">
          <cell r="E301">
            <v>1001221</v>
          </cell>
          <cell r="F301" t="str">
            <v>021</v>
          </cell>
          <cell r="G301" t="str">
            <v>3453 - JUVIA'S PLACE</v>
          </cell>
          <cell r="I301" t="str">
            <v>DI</v>
          </cell>
          <cell r="J301" t="str">
            <v>BASC</v>
          </cell>
          <cell r="K301">
            <v>5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E302">
            <v>1001222</v>
          </cell>
          <cell r="F302" t="str">
            <v>021</v>
          </cell>
          <cell r="G302" t="str">
            <v>3453 - JUVIA'S PLACE</v>
          </cell>
          <cell r="I302" t="str">
            <v>DI</v>
          </cell>
          <cell r="J302" t="str">
            <v>BASC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E303">
            <v>1001223</v>
          </cell>
          <cell r="F303" t="str">
            <v>021</v>
          </cell>
          <cell r="G303" t="str">
            <v>3453 - JUVIA'S PLACE</v>
          </cell>
          <cell r="I303" t="str">
            <v>DI</v>
          </cell>
          <cell r="J303" t="str">
            <v>BASC</v>
          </cell>
          <cell r="K303">
            <v>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E304">
            <v>1001224</v>
          </cell>
          <cell r="F304" t="str">
            <v>021</v>
          </cell>
          <cell r="G304" t="str">
            <v>3453 - JUVIA'S PLACE</v>
          </cell>
          <cell r="I304" t="str">
            <v>DI</v>
          </cell>
          <cell r="J304" t="str">
            <v>BASC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</row>
        <row r="305">
          <cell r="E305">
            <v>1001715</v>
          </cell>
          <cell r="F305" t="str">
            <v>021</v>
          </cell>
          <cell r="G305" t="str">
            <v>3453 - JUVIA'S PLACE</v>
          </cell>
          <cell r="H305" t="str">
            <v>E</v>
          </cell>
          <cell r="I305" t="str">
            <v>DI</v>
          </cell>
          <cell r="J305" t="str">
            <v>BASC</v>
          </cell>
          <cell r="K305">
            <v>5.5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</row>
        <row r="306">
          <cell r="E306">
            <v>1001713</v>
          </cell>
          <cell r="F306" t="str">
            <v>021</v>
          </cell>
          <cell r="G306" t="str">
            <v>3453 - JUVIA'S PLACE</v>
          </cell>
          <cell r="H306" t="str">
            <v>D</v>
          </cell>
          <cell r="I306" t="str">
            <v>DI</v>
          </cell>
          <cell r="J306" t="str">
            <v>BASC</v>
          </cell>
          <cell r="K306">
            <v>5.5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</row>
        <row r="307">
          <cell r="E307">
            <v>1001714</v>
          </cell>
          <cell r="F307" t="str">
            <v>021</v>
          </cell>
          <cell r="G307" t="str">
            <v>3453 - JUVIA'S PLACE</v>
          </cell>
          <cell r="H307" t="str">
            <v>D</v>
          </cell>
          <cell r="I307" t="str">
            <v>DI</v>
          </cell>
          <cell r="J307" t="str">
            <v>BASC</v>
          </cell>
          <cell r="K307">
            <v>5.5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</row>
        <row r="308">
          <cell r="E308">
            <v>1001712</v>
          </cell>
          <cell r="F308" t="str">
            <v>021</v>
          </cell>
          <cell r="G308" t="str">
            <v>3453 - JUVIA'S PLACE</v>
          </cell>
          <cell r="H308" t="str">
            <v>F</v>
          </cell>
          <cell r="I308" t="str">
            <v>DI</v>
          </cell>
          <cell r="J308" t="str">
            <v>BASC</v>
          </cell>
          <cell r="K308">
            <v>5.5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</row>
        <row r="309">
          <cell r="E309">
            <v>1001718</v>
          </cell>
          <cell r="F309" t="str">
            <v>021</v>
          </cell>
          <cell r="G309" t="str">
            <v>3453 - JUVIA'S PLACE</v>
          </cell>
          <cell r="H309" t="str">
            <v>F</v>
          </cell>
          <cell r="I309" t="str">
            <v>DI</v>
          </cell>
          <cell r="J309" t="str">
            <v>BASC</v>
          </cell>
          <cell r="K309">
            <v>6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</row>
        <row r="310">
          <cell r="E310">
            <v>1001733</v>
          </cell>
          <cell r="F310" t="str">
            <v>021</v>
          </cell>
          <cell r="G310" t="str">
            <v>3453 - JUVIA'S PLACE</v>
          </cell>
          <cell r="H310" t="str">
            <v>F</v>
          </cell>
          <cell r="I310" t="str">
            <v>DI</v>
          </cell>
          <cell r="J310" t="str">
            <v>BASC</v>
          </cell>
          <cell r="K310">
            <v>7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</row>
        <row r="311">
          <cell r="E311">
            <v>1001727</v>
          </cell>
          <cell r="F311" t="str">
            <v>021</v>
          </cell>
          <cell r="G311" t="str">
            <v>3453 - JUVIA'S PLACE</v>
          </cell>
          <cell r="H311" t="str">
            <v>E</v>
          </cell>
          <cell r="I311" t="str">
            <v>DI</v>
          </cell>
          <cell r="J311" t="str">
            <v>BASC</v>
          </cell>
          <cell r="K311">
            <v>7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</row>
        <row r="312">
          <cell r="E312">
            <v>1001728</v>
          </cell>
          <cell r="F312" t="str">
            <v>021</v>
          </cell>
          <cell r="G312" t="str">
            <v>3453 - JUVIA'S PLACE</v>
          </cell>
          <cell r="H312" t="str">
            <v>E</v>
          </cell>
          <cell r="I312" t="str">
            <v>DI</v>
          </cell>
          <cell r="J312" t="str">
            <v>BASC</v>
          </cell>
          <cell r="K312">
            <v>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</row>
        <row r="313">
          <cell r="E313">
            <v>1001729</v>
          </cell>
          <cell r="F313" t="str">
            <v>021</v>
          </cell>
          <cell r="G313" t="str">
            <v>3453 - JUVIA'S PLACE</v>
          </cell>
          <cell r="H313" t="str">
            <v>F</v>
          </cell>
          <cell r="I313" t="str">
            <v>DI</v>
          </cell>
          <cell r="J313" t="str">
            <v>BASC</v>
          </cell>
          <cell r="K313">
            <v>7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</row>
        <row r="314">
          <cell r="E314">
            <v>1001719</v>
          </cell>
          <cell r="F314" t="str">
            <v>021</v>
          </cell>
          <cell r="G314" t="str">
            <v>3453 - JUVIA'S PLACE</v>
          </cell>
          <cell r="H314" t="str">
            <v>D</v>
          </cell>
          <cell r="I314" t="str">
            <v>DI</v>
          </cell>
          <cell r="J314" t="str">
            <v>BASC</v>
          </cell>
          <cell r="K314">
            <v>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E315">
            <v>1001720</v>
          </cell>
          <cell r="F315" t="str">
            <v>021</v>
          </cell>
          <cell r="G315" t="str">
            <v>3453 - JUVIA'S PLACE</v>
          </cell>
          <cell r="H315" t="str">
            <v>E</v>
          </cell>
          <cell r="I315" t="str">
            <v>DI</v>
          </cell>
          <cell r="J315" t="str">
            <v>BASC</v>
          </cell>
          <cell r="K315">
            <v>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</row>
        <row r="316">
          <cell r="E316">
            <v>1001721</v>
          </cell>
          <cell r="F316" t="str">
            <v>021</v>
          </cell>
          <cell r="G316" t="str">
            <v>3453 - JUVIA'S PLACE</v>
          </cell>
          <cell r="H316" t="str">
            <v>F</v>
          </cell>
          <cell r="I316" t="str">
            <v>DI</v>
          </cell>
          <cell r="J316" t="str">
            <v>BASC</v>
          </cell>
          <cell r="K316">
            <v>6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</row>
        <row r="317">
          <cell r="E317">
            <v>1001722</v>
          </cell>
          <cell r="F317" t="str">
            <v>021</v>
          </cell>
          <cell r="G317" t="str">
            <v>3453 - JUVIA'S PLACE</v>
          </cell>
          <cell r="H317" t="str">
            <v>E</v>
          </cell>
          <cell r="I317" t="str">
            <v>DI</v>
          </cell>
          <cell r="J317" t="str">
            <v>BASC</v>
          </cell>
          <cell r="K317">
            <v>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</row>
        <row r="318">
          <cell r="E318">
            <v>1001723</v>
          </cell>
          <cell r="F318" t="str">
            <v>021</v>
          </cell>
          <cell r="G318" t="str">
            <v>3453 - JUVIA'S PLACE</v>
          </cell>
          <cell r="H318" t="str">
            <v>E</v>
          </cell>
          <cell r="I318" t="str">
            <v>DI</v>
          </cell>
          <cell r="J318" t="str">
            <v>BASC</v>
          </cell>
          <cell r="K318">
            <v>6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E319">
            <v>1001725</v>
          </cell>
          <cell r="F319" t="str">
            <v>021</v>
          </cell>
          <cell r="G319" t="str">
            <v>3453 - JUVIA'S PLACE</v>
          </cell>
          <cell r="H319" t="str">
            <v>E</v>
          </cell>
          <cell r="I319" t="str">
            <v>DI</v>
          </cell>
          <cell r="J319" t="str">
            <v>BASC</v>
          </cell>
          <cell r="K319">
            <v>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E320">
            <v>1001724</v>
          </cell>
          <cell r="F320" t="str">
            <v>021</v>
          </cell>
          <cell r="G320" t="str">
            <v>3453 - JUVIA'S PLACE</v>
          </cell>
          <cell r="H320" t="str">
            <v>F</v>
          </cell>
          <cell r="I320" t="str">
            <v>DI</v>
          </cell>
          <cell r="J320" t="str">
            <v>BASC</v>
          </cell>
          <cell r="K320">
            <v>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</row>
        <row r="321">
          <cell r="E321">
            <v>1001726</v>
          </cell>
          <cell r="F321" t="str">
            <v>021</v>
          </cell>
          <cell r="G321" t="str">
            <v>3453 - JUVIA'S PLACE</v>
          </cell>
          <cell r="H321" t="str">
            <v>D</v>
          </cell>
          <cell r="I321" t="str">
            <v>DI</v>
          </cell>
          <cell r="J321" t="str">
            <v>BASC</v>
          </cell>
          <cell r="K321">
            <v>6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E322">
            <v>77460</v>
          </cell>
          <cell r="F322" t="str">
            <v>021</v>
          </cell>
          <cell r="G322" t="str">
            <v>3453 - JUVIA'S PLACE</v>
          </cell>
          <cell r="I322" t="str">
            <v>DI</v>
          </cell>
          <cell r="J322" t="str">
            <v>WINT</v>
          </cell>
          <cell r="K322">
            <v>0.01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</row>
        <row r="323">
          <cell r="E323">
            <v>77477</v>
          </cell>
          <cell r="F323" t="str">
            <v>021</v>
          </cell>
          <cell r="G323" t="str">
            <v>3453 - JUVIA'S PLACE</v>
          </cell>
          <cell r="I323" t="str">
            <v>X</v>
          </cell>
          <cell r="J323" t="str">
            <v>WINT</v>
          </cell>
          <cell r="K323">
            <v>0.01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</row>
        <row r="324">
          <cell r="E324">
            <v>1001824</v>
          </cell>
          <cell r="F324" t="str">
            <v>021</v>
          </cell>
          <cell r="G324" t="str">
            <v>3453 - JUVIA'S PLACE</v>
          </cell>
          <cell r="I324" t="str">
            <v>DI</v>
          </cell>
          <cell r="J324" t="str">
            <v>WINT</v>
          </cell>
          <cell r="K324">
            <v>22.5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</row>
        <row r="325">
          <cell r="E325">
            <v>1001806</v>
          </cell>
          <cell r="F325" t="str">
            <v>021</v>
          </cell>
          <cell r="G325" t="str">
            <v>3453 - JUVIA'S PLACE</v>
          </cell>
          <cell r="I325" t="str">
            <v>DI</v>
          </cell>
          <cell r="J325" t="str">
            <v>WINT</v>
          </cell>
          <cell r="K325">
            <v>11.5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</row>
        <row r="326">
          <cell r="E326">
            <v>1001820</v>
          </cell>
          <cell r="F326" t="str">
            <v>021</v>
          </cell>
          <cell r="G326" t="str">
            <v>3453 - JUVIA'S PLACE</v>
          </cell>
          <cell r="I326" t="str">
            <v>DI</v>
          </cell>
          <cell r="J326" t="str">
            <v>WINT</v>
          </cell>
          <cell r="K326">
            <v>11.5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</row>
        <row r="327">
          <cell r="E327">
            <v>1001764</v>
          </cell>
          <cell r="F327" t="str">
            <v>021</v>
          </cell>
          <cell r="G327" t="str">
            <v>3453 - JUVIA'S PLACE</v>
          </cell>
          <cell r="I327" t="str">
            <v>DI</v>
          </cell>
          <cell r="J327" t="str">
            <v>WINT</v>
          </cell>
          <cell r="K327">
            <v>12.5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</row>
        <row r="328">
          <cell r="E328">
            <v>1001804</v>
          </cell>
          <cell r="F328" t="str">
            <v>021</v>
          </cell>
          <cell r="G328" t="str">
            <v>3453 - JUVIA'S PLACE</v>
          </cell>
          <cell r="I328" t="str">
            <v>X</v>
          </cell>
          <cell r="J328" t="str">
            <v>WINT</v>
          </cell>
          <cell r="K328">
            <v>12.5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</row>
        <row r="329">
          <cell r="E329">
            <v>1001765</v>
          </cell>
          <cell r="F329" t="str">
            <v>021</v>
          </cell>
          <cell r="G329" t="str">
            <v>3453 - JUVIA'S PLACE</v>
          </cell>
          <cell r="I329" t="str">
            <v>X</v>
          </cell>
          <cell r="J329" t="str">
            <v>WINT</v>
          </cell>
          <cell r="K329">
            <v>12.5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</row>
        <row r="330">
          <cell r="E330">
            <v>1001829</v>
          </cell>
          <cell r="F330" t="str">
            <v>021</v>
          </cell>
          <cell r="G330" t="str">
            <v>3453 - JUVIA'S PLACE</v>
          </cell>
          <cell r="H330" t="str">
            <v>F</v>
          </cell>
          <cell r="I330" t="str">
            <v>A</v>
          </cell>
          <cell r="J330" t="str">
            <v>BASC</v>
          </cell>
          <cell r="K330">
            <v>7.5</v>
          </cell>
          <cell r="L330">
            <v>3744</v>
          </cell>
          <cell r="M330">
            <v>432</v>
          </cell>
          <cell r="N330">
            <v>432</v>
          </cell>
          <cell r="O330">
            <v>0</v>
          </cell>
          <cell r="P330">
            <v>576</v>
          </cell>
          <cell r="Q330">
            <v>288</v>
          </cell>
          <cell r="R330">
            <v>144</v>
          </cell>
          <cell r="S330">
            <v>432</v>
          </cell>
          <cell r="T330">
            <v>432</v>
          </cell>
          <cell r="U330">
            <v>144</v>
          </cell>
          <cell r="V330">
            <v>432</v>
          </cell>
          <cell r="W330">
            <v>432</v>
          </cell>
          <cell r="X330">
            <v>0</v>
          </cell>
        </row>
        <row r="331">
          <cell r="E331">
            <v>1001831</v>
          </cell>
          <cell r="F331" t="str">
            <v>021</v>
          </cell>
          <cell r="G331" t="str">
            <v>3453 - JUVIA'S PLACE</v>
          </cell>
          <cell r="H331" t="str">
            <v>D</v>
          </cell>
          <cell r="I331" t="str">
            <v>A</v>
          </cell>
          <cell r="J331" t="str">
            <v>BASC</v>
          </cell>
          <cell r="K331">
            <v>7.5</v>
          </cell>
          <cell r="L331">
            <v>16704</v>
          </cell>
          <cell r="M331">
            <v>2160</v>
          </cell>
          <cell r="N331">
            <v>1872</v>
          </cell>
          <cell r="O331">
            <v>1008</v>
          </cell>
          <cell r="P331">
            <v>1440</v>
          </cell>
          <cell r="Q331">
            <v>1152</v>
          </cell>
          <cell r="R331">
            <v>1296</v>
          </cell>
          <cell r="S331">
            <v>1440</v>
          </cell>
          <cell r="T331">
            <v>1296</v>
          </cell>
          <cell r="U331">
            <v>1296</v>
          </cell>
          <cell r="V331">
            <v>1728</v>
          </cell>
          <cell r="W331">
            <v>1296</v>
          </cell>
          <cell r="X331">
            <v>720</v>
          </cell>
        </row>
        <row r="332">
          <cell r="E332">
            <v>1002027</v>
          </cell>
          <cell r="F332" t="str">
            <v>021</v>
          </cell>
          <cell r="G332" t="str">
            <v>3453 - JUVIA'S PLACE</v>
          </cell>
          <cell r="H332" t="str">
            <v>D</v>
          </cell>
          <cell r="I332" t="str">
            <v>DI</v>
          </cell>
          <cell r="J332" t="str">
            <v>BASC</v>
          </cell>
          <cell r="K332">
            <v>7.5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E333">
            <v>1002026</v>
          </cell>
          <cell r="F333" t="str">
            <v>021</v>
          </cell>
          <cell r="G333" t="str">
            <v>3453 - JUVIA'S PLACE</v>
          </cell>
          <cell r="H333" t="str">
            <v>F</v>
          </cell>
          <cell r="I333" t="str">
            <v>DI</v>
          </cell>
          <cell r="J333" t="str">
            <v>BASC</v>
          </cell>
          <cell r="K333">
            <v>7.5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E334">
            <v>1002028</v>
          </cell>
          <cell r="F334" t="str">
            <v>021</v>
          </cell>
          <cell r="G334" t="str">
            <v>3453 - JUVIA'S PLACE</v>
          </cell>
          <cell r="H334" t="str">
            <v>F</v>
          </cell>
          <cell r="I334" t="str">
            <v>DI</v>
          </cell>
          <cell r="J334" t="str">
            <v>BASC</v>
          </cell>
          <cell r="K334">
            <v>7.5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E335">
            <v>1001830</v>
          </cell>
          <cell r="F335" t="str">
            <v>021</v>
          </cell>
          <cell r="G335" t="str">
            <v>3453 - JUVIA'S PLACE</v>
          </cell>
          <cell r="H335" t="str">
            <v>F</v>
          </cell>
          <cell r="I335" t="str">
            <v>A</v>
          </cell>
          <cell r="J335" t="str">
            <v>BASC</v>
          </cell>
          <cell r="K335">
            <v>7.5</v>
          </cell>
          <cell r="L335">
            <v>3456</v>
          </cell>
          <cell r="M335">
            <v>288</v>
          </cell>
          <cell r="N335">
            <v>288</v>
          </cell>
          <cell r="O335">
            <v>288</v>
          </cell>
          <cell r="P335">
            <v>432</v>
          </cell>
          <cell r="Q335">
            <v>144</v>
          </cell>
          <cell r="R335">
            <v>288</v>
          </cell>
          <cell r="S335">
            <v>432</v>
          </cell>
          <cell r="T335">
            <v>144</v>
          </cell>
          <cell r="U335">
            <v>144</v>
          </cell>
          <cell r="V335">
            <v>576</v>
          </cell>
          <cell r="W335">
            <v>0</v>
          </cell>
          <cell r="X335">
            <v>432</v>
          </cell>
        </row>
        <row r="336">
          <cell r="E336">
            <v>1001995</v>
          </cell>
          <cell r="F336" t="str">
            <v>021</v>
          </cell>
          <cell r="G336" t="str">
            <v>3453 - JUVIA'S PLACE</v>
          </cell>
          <cell r="H336" t="str">
            <v>F</v>
          </cell>
          <cell r="I336" t="str">
            <v>A</v>
          </cell>
          <cell r="J336" t="str">
            <v>BASC</v>
          </cell>
          <cell r="K336">
            <v>7.5</v>
          </cell>
          <cell r="L336">
            <v>6192</v>
          </cell>
          <cell r="M336">
            <v>720</v>
          </cell>
          <cell r="N336">
            <v>720</v>
          </cell>
          <cell r="O336">
            <v>432</v>
          </cell>
          <cell r="P336">
            <v>432</v>
          </cell>
          <cell r="Q336">
            <v>432</v>
          </cell>
          <cell r="R336">
            <v>432</v>
          </cell>
          <cell r="S336">
            <v>576</v>
          </cell>
          <cell r="T336">
            <v>432</v>
          </cell>
          <cell r="U336">
            <v>432</v>
          </cell>
          <cell r="V336">
            <v>864</v>
          </cell>
          <cell r="W336">
            <v>432</v>
          </cell>
          <cell r="X336">
            <v>288</v>
          </cell>
        </row>
        <row r="337">
          <cell r="E337">
            <v>1001994</v>
          </cell>
          <cell r="F337" t="str">
            <v>021</v>
          </cell>
          <cell r="G337" t="str">
            <v>3453 - JUVIA'S PLACE</v>
          </cell>
          <cell r="H337" t="str">
            <v>F</v>
          </cell>
          <cell r="I337" t="str">
            <v>A</v>
          </cell>
          <cell r="J337" t="str">
            <v>BASC</v>
          </cell>
          <cell r="K337">
            <v>7.5</v>
          </cell>
          <cell r="L337">
            <v>4608</v>
          </cell>
          <cell r="M337">
            <v>576</v>
          </cell>
          <cell r="N337">
            <v>144</v>
          </cell>
          <cell r="O337">
            <v>576</v>
          </cell>
          <cell r="P337">
            <v>288</v>
          </cell>
          <cell r="Q337">
            <v>288</v>
          </cell>
          <cell r="R337">
            <v>288</v>
          </cell>
          <cell r="S337">
            <v>432</v>
          </cell>
          <cell r="T337">
            <v>432</v>
          </cell>
          <cell r="U337">
            <v>144</v>
          </cell>
          <cell r="V337">
            <v>576</v>
          </cell>
          <cell r="W337">
            <v>576</v>
          </cell>
          <cell r="X337">
            <v>288</v>
          </cell>
        </row>
        <row r="338">
          <cell r="E338">
            <v>1001992</v>
          </cell>
          <cell r="F338" t="str">
            <v>021</v>
          </cell>
          <cell r="G338" t="str">
            <v>3453 - JUVIA'S PLACE</v>
          </cell>
          <cell r="H338" t="str">
            <v>F</v>
          </cell>
          <cell r="I338" t="str">
            <v>A</v>
          </cell>
          <cell r="J338" t="str">
            <v>BASC</v>
          </cell>
          <cell r="K338">
            <v>7.5</v>
          </cell>
          <cell r="L338">
            <v>5184</v>
          </cell>
          <cell r="M338">
            <v>720</v>
          </cell>
          <cell r="N338">
            <v>576</v>
          </cell>
          <cell r="O338">
            <v>144</v>
          </cell>
          <cell r="P338">
            <v>576</v>
          </cell>
          <cell r="Q338">
            <v>288</v>
          </cell>
          <cell r="R338">
            <v>288</v>
          </cell>
          <cell r="S338">
            <v>432</v>
          </cell>
          <cell r="T338">
            <v>432</v>
          </cell>
          <cell r="U338">
            <v>432</v>
          </cell>
          <cell r="V338">
            <v>720</v>
          </cell>
          <cell r="W338">
            <v>288</v>
          </cell>
          <cell r="X338">
            <v>288</v>
          </cell>
        </row>
        <row r="339">
          <cell r="E339">
            <v>1001993</v>
          </cell>
          <cell r="F339" t="str">
            <v>021</v>
          </cell>
          <cell r="G339" t="str">
            <v>3453 - JUVIA'S PLACE</v>
          </cell>
          <cell r="H339" t="str">
            <v>F</v>
          </cell>
          <cell r="I339" t="str">
            <v>A</v>
          </cell>
          <cell r="J339" t="str">
            <v>BASC</v>
          </cell>
          <cell r="K339">
            <v>7.5</v>
          </cell>
          <cell r="L339">
            <v>6048</v>
          </cell>
          <cell r="M339">
            <v>720</v>
          </cell>
          <cell r="N339">
            <v>576</v>
          </cell>
          <cell r="O339">
            <v>432</v>
          </cell>
          <cell r="P339">
            <v>576</v>
          </cell>
          <cell r="Q339">
            <v>576</v>
          </cell>
          <cell r="R339">
            <v>288</v>
          </cell>
          <cell r="S339">
            <v>576</v>
          </cell>
          <cell r="T339">
            <v>432</v>
          </cell>
          <cell r="U339">
            <v>576</v>
          </cell>
          <cell r="V339">
            <v>576</v>
          </cell>
          <cell r="W339">
            <v>576</v>
          </cell>
          <cell r="X339">
            <v>144</v>
          </cell>
        </row>
        <row r="340">
          <cell r="E340">
            <v>1002104</v>
          </cell>
          <cell r="F340" t="str">
            <v>021</v>
          </cell>
          <cell r="G340" t="str">
            <v>3453 - JUVIA'S PLACE</v>
          </cell>
          <cell r="H340" t="str">
            <v>F</v>
          </cell>
          <cell r="I340" t="str">
            <v>A</v>
          </cell>
          <cell r="J340" t="str">
            <v>BASC</v>
          </cell>
          <cell r="K340">
            <v>7.5</v>
          </cell>
          <cell r="L340">
            <v>6480</v>
          </cell>
          <cell r="M340">
            <v>576</v>
          </cell>
          <cell r="N340">
            <v>576</v>
          </cell>
          <cell r="O340">
            <v>576</v>
          </cell>
          <cell r="P340">
            <v>432</v>
          </cell>
          <cell r="Q340">
            <v>576</v>
          </cell>
          <cell r="R340">
            <v>288</v>
          </cell>
          <cell r="S340">
            <v>720</v>
          </cell>
          <cell r="T340">
            <v>576</v>
          </cell>
          <cell r="U340">
            <v>432</v>
          </cell>
          <cell r="V340">
            <v>720</v>
          </cell>
          <cell r="W340">
            <v>720</v>
          </cell>
          <cell r="X340">
            <v>288</v>
          </cell>
        </row>
        <row r="341">
          <cell r="E341">
            <v>1002279</v>
          </cell>
          <cell r="F341" t="str">
            <v>021</v>
          </cell>
          <cell r="G341" t="str">
            <v>3453 - JUVIA'S PLACE</v>
          </cell>
          <cell r="H341" t="str">
            <v>E</v>
          </cell>
          <cell r="I341" t="str">
            <v>A</v>
          </cell>
          <cell r="J341" t="str">
            <v>BASC</v>
          </cell>
          <cell r="K341">
            <v>7.5</v>
          </cell>
          <cell r="L341">
            <v>10656</v>
          </cell>
          <cell r="M341">
            <v>1872</v>
          </cell>
          <cell r="N341">
            <v>720</v>
          </cell>
          <cell r="O341">
            <v>576</v>
          </cell>
          <cell r="P341">
            <v>864</v>
          </cell>
          <cell r="Q341">
            <v>864</v>
          </cell>
          <cell r="R341">
            <v>864</v>
          </cell>
          <cell r="S341">
            <v>1008</v>
          </cell>
          <cell r="T341">
            <v>576</v>
          </cell>
          <cell r="U341">
            <v>1008</v>
          </cell>
          <cell r="V341">
            <v>1152</v>
          </cell>
          <cell r="W341">
            <v>720</v>
          </cell>
          <cell r="X341">
            <v>432</v>
          </cell>
        </row>
        <row r="342">
          <cell r="E342">
            <v>1002155</v>
          </cell>
          <cell r="F342" t="str">
            <v>021</v>
          </cell>
          <cell r="G342" t="str">
            <v>3453 - JUVIA'S PLACE</v>
          </cell>
          <cell r="H342" t="str">
            <v>F</v>
          </cell>
          <cell r="I342" t="str">
            <v>DI</v>
          </cell>
          <cell r="J342" t="str">
            <v>BASC</v>
          </cell>
          <cell r="K342">
            <v>7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</row>
        <row r="343">
          <cell r="E343">
            <v>1002154</v>
          </cell>
          <cell r="F343" t="str">
            <v>021</v>
          </cell>
          <cell r="G343" t="str">
            <v>3453 - JUVIA'S PLACE</v>
          </cell>
          <cell r="H343" t="str">
            <v>B</v>
          </cell>
          <cell r="I343" t="str">
            <v>DI</v>
          </cell>
          <cell r="J343" t="str">
            <v>BASC</v>
          </cell>
          <cell r="K343">
            <v>7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</row>
        <row r="344">
          <cell r="E344">
            <v>1002327</v>
          </cell>
          <cell r="F344" t="str">
            <v>021</v>
          </cell>
          <cell r="G344" t="str">
            <v>3453 - JUVIA'S PLACE</v>
          </cell>
          <cell r="H344" t="str">
            <v>F</v>
          </cell>
          <cell r="I344" t="str">
            <v>DI</v>
          </cell>
          <cell r="J344" t="str">
            <v>BASC</v>
          </cell>
          <cell r="K344">
            <v>7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</row>
        <row r="345">
          <cell r="E345">
            <v>1002156</v>
          </cell>
          <cell r="F345" t="str">
            <v>021</v>
          </cell>
          <cell r="G345" t="str">
            <v>3453 - JUVIA'S PLACE</v>
          </cell>
          <cell r="H345" t="str">
            <v>C</v>
          </cell>
          <cell r="I345" t="str">
            <v>DI</v>
          </cell>
          <cell r="J345" t="str">
            <v>BASC</v>
          </cell>
          <cell r="K345">
            <v>7.5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</row>
        <row r="346">
          <cell r="E346">
            <v>1002158</v>
          </cell>
          <cell r="F346" t="str">
            <v>021</v>
          </cell>
          <cell r="G346" t="str">
            <v>3453 - JUVIA'S PLACE</v>
          </cell>
          <cell r="H346" t="str">
            <v>C</v>
          </cell>
          <cell r="I346" t="str">
            <v>DI</v>
          </cell>
          <cell r="J346" t="str">
            <v>BASC</v>
          </cell>
          <cell r="K346">
            <v>7.5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E347">
            <v>1002159</v>
          </cell>
          <cell r="F347" t="str">
            <v>021</v>
          </cell>
          <cell r="G347" t="str">
            <v>3453 - JUVIA'S PLACE</v>
          </cell>
          <cell r="H347" t="str">
            <v>C</v>
          </cell>
          <cell r="I347" t="str">
            <v>DI</v>
          </cell>
          <cell r="J347" t="str">
            <v>BASC</v>
          </cell>
          <cell r="K347">
            <v>7.5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</row>
        <row r="348">
          <cell r="E348">
            <v>1002160</v>
          </cell>
          <cell r="F348" t="str">
            <v>021</v>
          </cell>
          <cell r="G348" t="str">
            <v>3453 - JUVIA'S PLACE</v>
          </cell>
          <cell r="H348" t="str">
            <v>C</v>
          </cell>
          <cell r="I348" t="str">
            <v>DI</v>
          </cell>
          <cell r="J348" t="str">
            <v>BASC</v>
          </cell>
          <cell r="K348">
            <v>7.5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</row>
        <row r="349">
          <cell r="E349">
            <v>1002161</v>
          </cell>
          <cell r="F349" t="str">
            <v>021</v>
          </cell>
          <cell r="G349" t="str">
            <v>3453 - JUVIA'S PLACE</v>
          </cell>
          <cell r="H349" t="str">
            <v>C</v>
          </cell>
          <cell r="I349" t="str">
            <v>DI</v>
          </cell>
          <cell r="J349" t="str">
            <v>BASC</v>
          </cell>
          <cell r="K349">
            <v>7.5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E350">
            <v>1002162</v>
          </cell>
          <cell r="F350" t="str">
            <v>021</v>
          </cell>
          <cell r="G350" t="str">
            <v>3453 - JUVIA'S PLACE</v>
          </cell>
          <cell r="H350" t="str">
            <v>C</v>
          </cell>
          <cell r="I350" t="str">
            <v>DI</v>
          </cell>
          <cell r="J350" t="str">
            <v>BASC</v>
          </cell>
          <cell r="K350">
            <v>7.5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E351">
            <v>1002164</v>
          </cell>
          <cell r="F351" t="str">
            <v>021</v>
          </cell>
          <cell r="G351" t="str">
            <v>3453 - JUVIA'S PLACE</v>
          </cell>
          <cell r="H351" t="str">
            <v>C</v>
          </cell>
          <cell r="I351" t="str">
            <v>DI</v>
          </cell>
          <cell r="J351" t="str">
            <v>BASC</v>
          </cell>
          <cell r="K351">
            <v>7.5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E352">
            <v>1002165</v>
          </cell>
          <cell r="F352" t="str">
            <v>021</v>
          </cell>
          <cell r="G352" t="str">
            <v>3453 - JUVIA'S PLACE</v>
          </cell>
          <cell r="H352" t="str">
            <v>C</v>
          </cell>
          <cell r="I352" t="str">
            <v>DI</v>
          </cell>
          <cell r="J352" t="str">
            <v>BASC</v>
          </cell>
          <cell r="K352">
            <v>7.5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</row>
        <row r="353">
          <cell r="E353">
            <v>1002166</v>
          </cell>
          <cell r="F353" t="str">
            <v>021</v>
          </cell>
          <cell r="G353" t="str">
            <v>3453 - JUVIA'S PLACE</v>
          </cell>
          <cell r="H353" t="str">
            <v>C</v>
          </cell>
          <cell r="I353" t="str">
            <v>DI</v>
          </cell>
          <cell r="J353" t="str">
            <v>BASC</v>
          </cell>
          <cell r="K353">
            <v>7.5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</row>
        <row r="354">
          <cell r="E354">
            <v>1002167</v>
          </cell>
          <cell r="F354" t="str">
            <v>021</v>
          </cell>
          <cell r="G354" t="str">
            <v>3453 - JUVIA'S PLACE</v>
          </cell>
          <cell r="H354" t="str">
            <v>C</v>
          </cell>
          <cell r="I354" t="str">
            <v>DI</v>
          </cell>
          <cell r="J354" t="str">
            <v>BASC</v>
          </cell>
          <cell r="K354">
            <v>7.5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</row>
        <row r="355">
          <cell r="E355">
            <v>1002168</v>
          </cell>
          <cell r="F355" t="str">
            <v>021</v>
          </cell>
          <cell r="G355" t="str">
            <v>3453 - JUVIA'S PLACE</v>
          </cell>
          <cell r="H355" t="str">
            <v>E</v>
          </cell>
          <cell r="I355" t="str">
            <v>DI</v>
          </cell>
          <cell r="J355" t="str">
            <v>BASC</v>
          </cell>
          <cell r="K355">
            <v>12.5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</row>
        <row r="356">
          <cell r="E356">
            <v>1001002</v>
          </cell>
          <cell r="F356" t="str">
            <v>021</v>
          </cell>
          <cell r="G356" t="str">
            <v>3453 - JUVIA'S PLACE</v>
          </cell>
          <cell r="H356" t="str">
            <v>C</v>
          </cell>
          <cell r="I356" t="str">
            <v>DI</v>
          </cell>
          <cell r="J356" t="str">
            <v>BASC</v>
          </cell>
          <cell r="K356">
            <v>7.5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</row>
        <row r="357">
          <cell r="E357">
            <v>1000987</v>
          </cell>
          <cell r="F357" t="str">
            <v>021</v>
          </cell>
          <cell r="G357" t="str">
            <v>3453 - JUVIA'S PLACE</v>
          </cell>
          <cell r="H357" t="str">
            <v>E</v>
          </cell>
          <cell r="I357" t="str">
            <v>DI</v>
          </cell>
          <cell r="J357" t="str">
            <v>BASC</v>
          </cell>
          <cell r="K357">
            <v>7.5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</row>
        <row r="358">
          <cell r="E358">
            <v>1002397</v>
          </cell>
          <cell r="F358" t="str">
            <v>021</v>
          </cell>
          <cell r="G358" t="str">
            <v>3453 - JUVIA'S PLACE</v>
          </cell>
          <cell r="H358" t="str">
            <v>F</v>
          </cell>
          <cell r="I358" t="str">
            <v>A</v>
          </cell>
          <cell r="J358" t="str">
            <v>BASC</v>
          </cell>
          <cell r="K358">
            <v>7.5</v>
          </cell>
          <cell r="L358">
            <v>2880</v>
          </cell>
          <cell r="M358">
            <v>0</v>
          </cell>
          <cell r="N358">
            <v>432</v>
          </cell>
          <cell r="O358">
            <v>144</v>
          </cell>
          <cell r="P358">
            <v>144</v>
          </cell>
          <cell r="Q358">
            <v>432</v>
          </cell>
          <cell r="R358">
            <v>0</v>
          </cell>
          <cell r="S358">
            <v>432</v>
          </cell>
          <cell r="T358">
            <v>144</v>
          </cell>
          <cell r="U358">
            <v>144</v>
          </cell>
          <cell r="V358">
            <v>576</v>
          </cell>
          <cell r="W358">
            <v>144</v>
          </cell>
          <cell r="X358">
            <v>288</v>
          </cell>
        </row>
        <row r="359">
          <cell r="E359">
            <v>1002398</v>
          </cell>
          <cell r="F359" t="str">
            <v>021</v>
          </cell>
          <cell r="G359" t="str">
            <v>3453 - JUVIA'S PLACE</v>
          </cell>
          <cell r="H359" t="str">
            <v>F</v>
          </cell>
          <cell r="I359" t="str">
            <v>A</v>
          </cell>
          <cell r="J359" t="str">
            <v>BASC</v>
          </cell>
          <cell r="K359">
            <v>7.5</v>
          </cell>
          <cell r="L359">
            <v>3456</v>
          </cell>
          <cell r="M359">
            <v>144</v>
          </cell>
          <cell r="N359">
            <v>576</v>
          </cell>
          <cell r="O359">
            <v>0</v>
          </cell>
          <cell r="P359">
            <v>288</v>
          </cell>
          <cell r="Q359">
            <v>144</v>
          </cell>
          <cell r="R359">
            <v>288</v>
          </cell>
          <cell r="S359">
            <v>288</v>
          </cell>
          <cell r="T359">
            <v>144</v>
          </cell>
          <cell r="U359">
            <v>432</v>
          </cell>
          <cell r="V359">
            <v>432</v>
          </cell>
          <cell r="W359">
            <v>432</v>
          </cell>
          <cell r="X359">
            <v>288</v>
          </cell>
        </row>
        <row r="360">
          <cell r="E360">
            <v>1002400</v>
          </cell>
          <cell r="F360" t="str">
            <v>021</v>
          </cell>
          <cell r="G360" t="str">
            <v>3453 - JUVIA'S PLACE</v>
          </cell>
          <cell r="H360" t="str">
            <v>F</v>
          </cell>
          <cell r="I360" t="str">
            <v>A</v>
          </cell>
          <cell r="J360" t="str">
            <v>BASC</v>
          </cell>
          <cell r="K360">
            <v>7.5</v>
          </cell>
          <cell r="L360">
            <v>5040</v>
          </cell>
          <cell r="M360">
            <v>576</v>
          </cell>
          <cell r="N360">
            <v>576</v>
          </cell>
          <cell r="O360">
            <v>288</v>
          </cell>
          <cell r="P360">
            <v>432</v>
          </cell>
          <cell r="Q360">
            <v>288</v>
          </cell>
          <cell r="R360">
            <v>432</v>
          </cell>
          <cell r="S360">
            <v>432</v>
          </cell>
          <cell r="T360">
            <v>288</v>
          </cell>
          <cell r="U360">
            <v>576</v>
          </cell>
          <cell r="V360">
            <v>576</v>
          </cell>
          <cell r="W360">
            <v>432</v>
          </cell>
          <cell r="X360">
            <v>144</v>
          </cell>
        </row>
        <row r="361">
          <cell r="E361">
            <v>1002391</v>
          </cell>
          <cell r="F361" t="str">
            <v>021</v>
          </cell>
          <cell r="G361" t="str">
            <v>3453 - JUVIA'S PLACE</v>
          </cell>
          <cell r="H361" t="str">
            <v>F</v>
          </cell>
          <cell r="I361" t="str">
            <v>A</v>
          </cell>
          <cell r="J361" t="str">
            <v>BASC</v>
          </cell>
          <cell r="K361">
            <v>7.5</v>
          </cell>
          <cell r="L361">
            <v>6624</v>
          </cell>
          <cell r="M361">
            <v>720</v>
          </cell>
          <cell r="N361">
            <v>576</v>
          </cell>
          <cell r="O361">
            <v>432</v>
          </cell>
          <cell r="P361">
            <v>576</v>
          </cell>
          <cell r="Q361">
            <v>288</v>
          </cell>
          <cell r="R361">
            <v>576</v>
          </cell>
          <cell r="S361">
            <v>432</v>
          </cell>
          <cell r="T361">
            <v>576</v>
          </cell>
          <cell r="U361">
            <v>576</v>
          </cell>
          <cell r="V361">
            <v>720</v>
          </cell>
          <cell r="W361">
            <v>864</v>
          </cell>
          <cell r="X361">
            <v>288</v>
          </cell>
        </row>
        <row r="362">
          <cell r="E362">
            <v>1002395</v>
          </cell>
          <cell r="F362" t="str">
            <v>021</v>
          </cell>
          <cell r="G362" t="str">
            <v>3453 - JUVIA'S PLACE</v>
          </cell>
          <cell r="H362" t="str">
            <v>E</v>
          </cell>
          <cell r="I362" t="str">
            <v>A</v>
          </cell>
          <cell r="J362" t="str">
            <v>BASC</v>
          </cell>
          <cell r="K362">
            <v>7.5</v>
          </cell>
          <cell r="L362">
            <v>6048</v>
          </cell>
          <cell r="M362">
            <v>864</v>
          </cell>
          <cell r="N362">
            <v>432</v>
          </cell>
          <cell r="O362">
            <v>144</v>
          </cell>
          <cell r="P362">
            <v>432</v>
          </cell>
          <cell r="Q362">
            <v>432</v>
          </cell>
          <cell r="R362">
            <v>288</v>
          </cell>
          <cell r="S362">
            <v>576</v>
          </cell>
          <cell r="T362">
            <v>720</v>
          </cell>
          <cell r="U362">
            <v>288</v>
          </cell>
          <cell r="V362">
            <v>720</v>
          </cell>
          <cell r="W362">
            <v>576</v>
          </cell>
          <cell r="X362">
            <v>576</v>
          </cell>
        </row>
        <row r="363">
          <cell r="E363">
            <v>1002322</v>
          </cell>
          <cell r="F363" t="str">
            <v>021</v>
          </cell>
          <cell r="G363" t="str">
            <v>3453 - JUVIA'S PLACE</v>
          </cell>
          <cell r="H363" t="str">
            <v>F</v>
          </cell>
          <cell r="I363" t="str">
            <v>A</v>
          </cell>
          <cell r="J363" t="str">
            <v>BASC</v>
          </cell>
          <cell r="K363">
            <v>12</v>
          </cell>
          <cell r="L363">
            <v>1152</v>
          </cell>
          <cell r="M363">
            <v>0</v>
          </cell>
          <cell r="N363">
            <v>72</v>
          </cell>
          <cell r="O363">
            <v>72</v>
          </cell>
          <cell r="P363">
            <v>144</v>
          </cell>
          <cell r="Q363">
            <v>72</v>
          </cell>
          <cell r="R363">
            <v>72</v>
          </cell>
          <cell r="S363">
            <v>216</v>
          </cell>
          <cell r="T363">
            <v>72</v>
          </cell>
          <cell r="U363">
            <v>216</v>
          </cell>
          <cell r="V363">
            <v>0</v>
          </cell>
          <cell r="W363">
            <v>216</v>
          </cell>
          <cell r="X363">
            <v>0</v>
          </cell>
        </row>
        <row r="364">
          <cell r="E364">
            <v>1002321</v>
          </cell>
          <cell r="F364" t="str">
            <v>021</v>
          </cell>
          <cell r="G364" t="str">
            <v>3453 - JUVIA'S PLACE</v>
          </cell>
          <cell r="H364" t="str">
            <v>F</v>
          </cell>
          <cell r="I364" t="str">
            <v>A</v>
          </cell>
          <cell r="J364" t="str">
            <v>BASC</v>
          </cell>
          <cell r="K364">
            <v>12</v>
          </cell>
          <cell r="L364">
            <v>1584</v>
          </cell>
          <cell r="M364">
            <v>144</v>
          </cell>
          <cell r="N364">
            <v>72</v>
          </cell>
          <cell r="O364">
            <v>144</v>
          </cell>
          <cell r="P364">
            <v>72</v>
          </cell>
          <cell r="Q364">
            <v>144</v>
          </cell>
          <cell r="R364">
            <v>144</v>
          </cell>
          <cell r="S364">
            <v>216</v>
          </cell>
          <cell r="T364">
            <v>72</v>
          </cell>
          <cell r="U364">
            <v>144</v>
          </cell>
          <cell r="V364">
            <v>216</v>
          </cell>
          <cell r="W364">
            <v>216</v>
          </cell>
          <cell r="X364">
            <v>0</v>
          </cell>
        </row>
        <row r="365">
          <cell r="E365">
            <v>1002318</v>
          </cell>
          <cell r="F365" t="str">
            <v>021</v>
          </cell>
          <cell r="G365" t="str">
            <v>3453 - JUVIA'S PLACE</v>
          </cell>
          <cell r="H365" t="str">
            <v>F</v>
          </cell>
          <cell r="I365" t="str">
            <v>A</v>
          </cell>
          <cell r="J365" t="str">
            <v>BASC</v>
          </cell>
          <cell r="K365">
            <v>12</v>
          </cell>
          <cell r="L365">
            <v>3168</v>
          </cell>
          <cell r="M365">
            <v>144</v>
          </cell>
          <cell r="N365">
            <v>288</v>
          </cell>
          <cell r="O365">
            <v>288</v>
          </cell>
          <cell r="P365">
            <v>288</v>
          </cell>
          <cell r="Q365">
            <v>144</v>
          </cell>
          <cell r="R365">
            <v>360</v>
          </cell>
          <cell r="S365">
            <v>360</v>
          </cell>
          <cell r="T365">
            <v>144</v>
          </cell>
          <cell r="U365">
            <v>360</v>
          </cell>
          <cell r="V365">
            <v>288</v>
          </cell>
          <cell r="W365">
            <v>360</v>
          </cell>
          <cell r="X365">
            <v>144</v>
          </cell>
        </row>
        <row r="366">
          <cell r="E366">
            <v>1002316</v>
          </cell>
          <cell r="F366" t="str">
            <v>021</v>
          </cell>
          <cell r="G366" t="str">
            <v>3453 - JUVIA'S PLACE</v>
          </cell>
          <cell r="H366" t="str">
            <v>F</v>
          </cell>
          <cell r="I366" t="str">
            <v>DI</v>
          </cell>
          <cell r="J366" t="str">
            <v>BASC</v>
          </cell>
          <cell r="K366">
            <v>12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</row>
        <row r="367">
          <cell r="E367">
            <v>1002243</v>
          </cell>
          <cell r="F367" t="str">
            <v>021</v>
          </cell>
          <cell r="G367" t="str">
            <v>3453 - JUVIA'S PLACE</v>
          </cell>
          <cell r="H367" t="str">
            <v>F</v>
          </cell>
          <cell r="I367" t="str">
            <v>A</v>
          </cell>
          <cell r="J367" t="str">
            <v>BASC</v>
          </cell>
          <cell r="K367">
            <v>12</v>
          </cell>
          <cell r="L367">
            <v>2592</v>
          </cell>
          <cell r="M367">
            <v>216</v>
          </cell>
          <cell r="N367">
            <v>144</v>
          </cell>
          <cell r="O367">
            <v>288</v>
          </cell>
          <cell r="P367">
            <v>216</v>
          </cell>
          <cell r="Q367">
            <v>216</v>
          </cell>
          <cell r="R367">
            <v>144</v>
          </cell>
          <cell r="S367">
            <v>216</v>
          </cell>
          <cell r="T367">
            <v>216</v>
          </cell>
          <cell r="U367">
            <v>360</v>
          </cell>
          <cell r="V367">
            <v>216</v>
          </cell>
          <cell r="W367">
            <v>216</v>
          </cell>
          <cell r="X367">
            <v>144</v>
          </cell>
        </row>
        <row r="368">
          <cell r="E368">
            <v>1001868</v>
          </cell>
          <cell r="F368" t="str">
            <v>021</v>
          </cell>
          <cell r="G368" t="str">
            <v>3453 - JUVIA'S PLACE</v>
          </cell>
          <cell r="H368" t="str">
            <v>F</v>
          </cell>
          <cell r="I368" t="str">
            <v>DI</v>
          </cell>
          <cell r="J368" t="str">
            <v>BASC</v>
          </cell>
          <cell r="K368">
            <v>12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E369">
            <v>1001902</v>
          </cell>
          <cell r="F369" t="str">
            <v>021</v>
          </cell>
          <cell r="G369" t="str">
            <v>3453 - JUVIA'S PLACE</v>
          </cell>
          <cell r="H369" t="str">
            <v>F</v>
          </cell>
          <cell r="I369" t="str">
            <v>A</v>
          </cell>
          <cell r="J369" t="str">
            <v>BASC</v>
          </cell>
          <cell r="K369">
            <v>12</v>
          </cell>
          <cell r="L369">
            <v>1512</v>
          </cell>
          <cell r="M369">
            <v>72</v>
          </cell>
          <cell r="N369">
            <v>72</v>
          </cell>
          <cell r="O369">
            <v>144</v>
          </cell>
          <cell r="P369">
            <v>144</v>
          </cell>
          <cell r="Q369">
            <v>144</v>
          </cell>
          <cell r="R369">
            <v>0</v>
          </cell>
          <cell r="S369">
            <v>288</v>
          </cell>
          <cell r="T369">
            <v>72</v>
          </cell>
          <cell r="U369">
            <v>144</v>
          </cell>
          <cell r="V369">
            <v>288</v>
          </cell>
          <cell r="W369">
            <v>72</v>
          </cell>
          <cell r="X369">
            <v>72</v>
          </cell>
        </row>
        <row r="370">
          <cell r="E370">
            <v>1001901</v>
          </cell>
          <cell r="F370" t="str">
            <v>021</v>
          </cell>
          <cell r="G370" t="str">
            <v>3453 - JUVIA'S PLACE</v>
          </cell>
          <cell r="H370" t="str">
            <v>F</v>
          </cell>
          <cell r="I370" t="str">
            <v>A</v>
          </cell>
          <cell r="J370" t="str">
            <v>BASC</v>
          </cell>
          <cell r="K370">
            <v>12</v>
          </cell>
          <cell r="L370">
            <v>1080</v>
          </cell>
          <cell r="M370">
            <v>72</v>
          </cell>
          <cell r="N370">
            <v>0</v>
          </cell>
          <cell r="O370">
            <v>144</v>
          </cell>
          <cell r="P370">
            <v>144</v>
          </cell>
          <cell r="Q370">
            <v>0</v>
          </cell>
          <cell r="R370">
            <v>144</v>
          </cell>
          <cell r="S370">
            <v>144</v>
          </cell>
          <cell r="T370">
            <v>144</v>
          </cell>
          <cell r="U370">
            <v>0</v>
          </cell>
          <cell r="V370">
            <v>216</v>
          </cell>
          <cell r="W370">
            <v>72</v>
          </cell>
          <cell r="X370">
            <v>0</v>
          </cell>
        </row>
        <row r="371">
          <cell r="E371">
            <v>1001951</v>
          </cell>
          <cell r="F371" t="str">
            <v>021</v>
          </cell>
          <cell r="G371" t="str">
            <v>3453 - JUVIA'S PLACE</v>
          </cell>
          <cell r="H371" t="str">
            <v>F</v>
          </cell>
          <cell r="I371" t="str">
            <v>A</v>
          </cell>
          <cell r="J371" t="str">
            <v>BASC</v>
          </cell>
          <cell r="K371">
            <v>14.4</v>
          </cell>
          <cell r="L371">
            <v>2088</v>
          </cell>
          <cell r="M371">
            <v>0</v>
          </cell>
          <cell r="N371">
            <v>288</v>
          </cell>
          <cell r="O371">
            <v>72</v>
          </cell>
          <cell r="P371">
            <v>288</v>
          </cell>
          <cell r="Q371">
            <v>72</v>
          </cell>
          <cell r="R371">
            <v>360</v>
          </cell>
          <cell r="S371">
            <v>144</v>
          </cell>
          <cell r="T371">
            <v>144</v>
          </cell>
          <cell r="U371">
            <v>360</v>
          </cell>
          <cell r="V371">
            <v>144</v>
          </cell>
          <cell r="W371">
            <v>144</v>
          </cell>
          <cell r="X371">
            <v>72</v>
          </cell>
        </row>
        <row r="372">
          <cell r="E372">
            <v>1001952</v>
          </cell>
          <cell r="F372" t="str">
            <v>021</v>
          </cell>
          <cell r="G372" t="str">
            <v>3453 - JUVIA'S PLACE</v>
          </cell>
          <cell r="H372" t="str">
            <v>F</v>
          </cell>
          <cell r="I372" t="str">
            <v>A</v>
          </cell>
          <cell r="J372" t="str">
            <v>BASC</v>
          </cell>
          <cell r="K372">
            <v>14.4</v>
          </cell>
          <cell r="L372">
            <v>2088</v>
          </cell>
          <cell r="M372">
            <v>72</v>
          </cell>
          <cell r="N372">
            <v>216</v>
          </cell>
          <cell r="O372">
            <v>72</v>
          </cell>
          <cell r="P372">
            <v>288</v>
          </cell>
          <cell r="Q372">
            <v>144</v>
          </cell>
          <cell r="R372">
            <v>216</v>
          </cell>
          <cell r="S372">
            <v>288</v>
          </cell>
          <cell r="T372">
            <v>144</v>
          </cell>
          <cell r="U372">
            <v>216</v>
          </cell>
          <cell r="V372">
            <v>144</v>
          </cell>
          <cell r="W372">
            <v>216</v>
          </cell>
          <cell r="X372">
            <v>72</v>
          </cell>
        </row>
        <row r="373">
          <cell r="E373">
            <v>1001960</v>
          </cell>
          <cell r="F373" t="str">
            <v>021</v>
          </cell>
          <cell r="G373" t="str">
            <v>3453 - JUVIA'S PLACE</v>
          </cell>
          <cell r="H373" t="str">
            <v>F</v>
          </cell>
          <cell r="I373" t="str">
            <v>A</v>
          </cell>
          <cell r="J373" t="str">
            <v>BASC</v>
          </cell>
          <cell r="K373">
            <v>14.4</v>
          </cell>
          <cell r="L373">
            <v>1512</v>
          </cell>
          <cell r="M373">
            <v>72</v>
          </cell>
          <cell r="N373">
            <v>72</v>
          </cell>
          <cell r="O373">
            <v>144</v>
          </cell>
          <cell r="P373">
            <v>144</v>
          </cell>
          <cell r="Q373">
            <v>72</v>
          </cell>
          <cell r="R373">
            <v>144</v>
          </cell>
          <cell r="S373">
            <v>144</v>
          </cell>
          <cell r="T373">
            <v>216</v>
          </cell>
          <cell r="U373">
            <v>72</v>
          </cell>
          <cell r="V373">
            <v>216</v>
          </cell>
          <cell r="W373">
            <v>144</v>
          </cell>
          <cell r="X373">
            <v>72</v>
          </cell>
        </row>
        <row r="374">
          <cell r="E374">
            <v>1001957</v>
          </cell>
          <cell r="F374" t="str">
            <v>021</v>
          </cell>
          <cell r="G374" t="str">
            <v>3453 - JUVIA'S PLACE</v>
          </cell>
          <cell r="H374" t="str">
            <v>F</v>
          </cell>
          <cell r="I374" t="str">
            <v>A</v>
          </cell>
          <cell r="J374" t="str">
            <v>BASC</v>
          </cell>
          <cell r="K374">
            <v>14.4</v>
          </cell>
          <cell r="L374">
            <v>1224</v>
          </cell>
          <cell r="M374">
            <v>72</v>
          </cell>
          <cell r="N374">
            <v>144</v>
          </cell>
          <cell r="O374">
            <v>72</v>
          </cell>
          <cell r="P374">
            <v>72</v>
          </cell>
          <cell r="Q374">
            <v>72</v>
          </cell>
          <cell r="R374">
            <v>216</v>
          </cell>
          <cell r="S374">
            <v>144</v>
          </cell>
          <cell r="T374">
            <v>0</v>
          </cell>
          <cell r="U374">
            <v>72</v>
          </cell>
          <cell r="V374">
            <v>216</v>
          </cell>
          <cell r="W374">
            <v>72</v>
          </cell>
          <cell r="X374">
            <v>72</v>
          </cell>
        </row>
        <row r="375">
          <cell r="E375">
            <v>1001872</v>
          </cell>
          <cell r="F375" t="str">
            <v>021</v>
          </cell>
          <cell r="G375" t="str">
            <v>3453 - JUVIA'S PLACE</v>
          </cell>
          <cell r="H375" t="str">
            <v>F</v>
          </cell>
          <cell r="I375" t="str">
            <v>A</v>
          </cell>
          <cell r="J375" t="str">
            <v>BASC</v>
          </cell>
          <cell r="K375">
            <v>14.4</v>
          </cell>
          <cell r="L375">
            <v>1584</v>
          </cell>
          <cell r="M375">
            <v>144</v>
          </cell>
          <cell r="N375">
            <v>72</v>
          </cell>
          <cell r="O375">
            <v>144</v>
          </cell>
          <cell r="P375">
            <v>144</v>
          </cell>
          <cell r="Q375">
            <v>144</v>
          </cell>
          <cell r="R375">
            <v>144</v>
          </cell>
          <cell r="S375">
            <v>144</v>
          </cell>
          <cell r="T375">
            <v>216</v>
          </cell>
          <cell r="U375">
            <v>144</v>
          </cell>
          <cell r="V375">
            <v>216</v>
          </cell>
          <cell r="W375">
            <v>72</v>
          </cell>
          <cell r="X375">
            <v>0</v>
          </cell>
        </row>
        <row r="376">
          <cell r="E376">
            <v>1001871</v>
          </cell>
          <cell r="F376" t="str">
            <v>021</v>
          </cell>
          <cell r="G376" t="str">
            <v>3453 - JUVIA'S PLACE</v>
          </cell>
          <cell r="H376" t="str">
            <v>F</v>
          </cell>
          <cell r="I376" t="str">
            <v>A</v>
          </cell>
          <cell r="J376" t="str">
            <v>BASC</v>
          </cell>
          <cell r="K376">
            <v>14.4</v>
          </cell>
          <cell r="L376">
            <v>1800</v>
          </cell>
          <cell r="M376">
            <v>144</v>
          </cell>
          <cell r="N376">
            <v>144</v>
          </cell>
          <cell r="O376">
            <v>144</v>
          </cell>
          <cell r="P376">
            <v>144</v>
          </cell>
          <cell r="Q376">
            <v>216</v>
          </cell>
          <cell r="R376">
            <v>72</v>
          </cell>
          <cell r="S376">
            <v>216</v>
          </cell>
          <cell r="T376">
            <v>144</v>
          </cell>
          <cell r="U376">
            <v>144</v>
          </cell>
          <cell r="V376">
            <v>144</v>
          </cell>
          <cell r="W376">
            <v>216</v>
          </cell>
          <cell r="X376">
            <v>72</v>
          </cell>
        </row>
        <row r="377">
          <cell r="E377">
            <v>1001875</v>
          </cell>
          <cell r="F377" t="str">
            <v>021</v>
          </cell>
          <cell r="G377" t="str">
            <v>3453 - JUVIA'S PLACE</v>
          </cell>
          <cell r="H377" t="str">
            <v>F</v>
          </cell>
          <cell r="I377" t="str">
            <v>A</v>
          </cell>
          <cell r="J377" t="str">
            <v>BASC</v>
          </cell>
          <cell r="K377">
            <v>14.4</v>
          </cell>
          <cell r="L377">
            <v>2232</v>
          </cell>
          <cell r="M377">
            <v>216</v>
          </cell>
          <cell r="N377">
            <v>72</v>
          </cell>
          <cell r="O377">
            <v>288</v>
          </cell>
          <cell r="P377">
            <v>216</v>
          </cell>
          <cell r="Q377">
            <v>72</v>
          </cell>
          <cell r="R377">
            <v>288</v>
          </cell>
          <cell r="S377">
            <v>216</v>
          </cell>
          <cell r="T377">
            <v>144</v>
          </cell>
          <cell r="U377">
            <v>216</v>
          </cell>
          <cell r="V377">
            <v>288</v>
          </cell>
          <cell r="W377">
            <v>144</v>
          </cell>
          <cell r="X377">
            <v>72</v>
          </cell>
        </row>
        <row r="378">
          <cell r="E378">
            <v>1001864</v>
          </cell>
          <cell r="F378" t="str">
            <v>021</v>
          </cell>
          <cell r="G378" t="str">
            <v>3453 - JUVIA'S PLACE</v>
          </cell>
          <cell r="H378" t="str">
            <v>F</v>
          </cell>
          <cell r="I378" t="str">
            <v>A</v>
          </cell>
          <cell r="J378" t="str">
            <v>BASC</v>
          </cell>
          <cell r="K378">
            <v>14.4</v>
          </cell>
          <cell r="L378">
            <v>3096</v>
          </cell>
          <cell r="M378">
            <v>216</v>
          </cell>
          <cell r="N378">
            <v>216</v>
          </cell>
          <cell r="O378">
            <v>360</v>
          </cell>
          <cell r="P378">
            <v>216</v>
          </cell>
          <cell r="Q378">
            <v>360</v>
          </cell>
          <cell r="R378">
            <v>216</v>
          </cell>
          <cell r="S378">
            <v>288</v>
          </cell>
          <cell r="T378">
            <v>288</v>
          </cell>
          <cell r="U378">
            <v>288</v>
          </cell>
          <cell r="V378">
            <v>288</v>
          </cell>
          <cell r="W378">
            <v>144</v>
          </cell>
          <cell r="X378">
            <v>216</v>
          </cell>
        </row>
        <row r="379">
          <cell r="E379">
            <v>1002384</v>
          </cell>
          <cell r="F379" t="str">
            <v>021</v>
          </cell>
          <cell r="G379" t="str">
            <v>3453 - JUVIA'S PLACE</v>
          </cell>
          <cell r="H379" t="str">
            <v>D</v>
          </cell>
          <cell r="I379" t="str">
            <v>DI</v>
          </cell>
          <cell r="J379" t="str">
            <v>BASC</v>
          </cell>
          <cell r="K379">
            <v>12.5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</row>
        <row r="380">
          <cell r="E380">
            <v>1002413</v>
          </cell>
          <cell r="F380" t="str">
            <v>021</v>
          </cell>
          <cell r="G380" t="str">
            <v>3453 - JUVIA'S PLACE</v>
          </cell>
          <cell r="H380" t="str">
            <v>F</v>
          </cell>
          <cell r="I380" t="str">
            <v>A</v>
          </cell>
          <cell r="J380" t="str">
            <v>BASC</v>
          </cell>
          <cell r="K380">
            <v>8</v>
          </cell>
          <cell r="L380">
            <v>96</v>
          </cell>
          <cell r="M380">
            <v>0</v>
          </cell>
          <cell r="N380">
            <v>0</v>
          </cell>
          <cell r="O380">
            <v>0</v>
          </cell>
          <cell r="P380">
            <v>96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E381">
            <v>1002412</v>
          </cell>
          <cell r="F381" t="str">
            <v>021</v>
          </cell>
          <cell r="G381" t="str">
            <v>3453 - JUVIA'S PLACE</v>
          </cell>
          <cell r="H381" t="str">
            <v>F</v>
          </cell>
          <cell r="I381" t="str">
            <v>A</v>
          </cell>
          <cell r="J381" t="str">
            <v>BASC</v>
          </cell>
          <cell r="K381">
            <v>8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E382">
            <v>1002534</v>
          </cell>
          <cell r="F382" t="str">
            <v>021</v>
          </cell>
          <cell r="G382" t="str">
            <v>3453 - JUVIA'S PLACE</v>
          </cell>
          <cell r="H382" t="str">
            <v>F</v>
          </cell>
          <cell r="I382" t="str">
            <v>A</v>
          </cell>
          <cell r="J382" t="str">
            <v>BASC</v>
          </cell>
          <cell r="K382">
            <v>10</v>
          </cell>
          <cell r="L382">
            <v>1584</v>
          </cell>
          <cell r="M382">
            <v>0</v>
          </cell>
          <cell r="N382">
            <v>144</v>
          </cell>
          <cell r="O382">
            <v>0</v>
          </cell>
          <cell r="P382">
            <v>0</v>
          </cell>
          <cell r="Q382">
            <v>144</v>
          </cell>
          <cell r="R382">
            <v>144</v>
          </cell>
          <cell r="S382">
            <v>0</v>
          </cell>
          <cell r="T382">
            <v>288</v>
          </cell>
          <cell r="U382">
            <v>288</v>
          </cell>
          <cell r="V382">
            <v>288</v>
          </cell>
          <cell r="W382">
            <v>0</v>
          </cell>
          <cell r="X382">
            <v>288</v>
          </cell>
        </row>
        <row r="383">
          <cell r="E383">
            <v>1002533</v>
          </cell>
          <cell r="F383" t="str">
            <v>021</v>
          </cell>
          <cell r="G383" t="str">
            <v>3453 - JUVIA'S PLACE</v>
          </cell>
          <cell r="H383" t="str">
            <v>F</v>
          </cell>
          <cell r="I383" t="str">
            <v>A</v>
          </cell>
          <cell r="J383" t="str">
            <v>BASC</v>
          </cell>
          <cell r="K383">
            <v>10</v>
          </cell>
          <cell r="L383">
            <v>3168</v>
          </cell>
          <cell r="M383">
            <v>288</v>
          </cell>
          <cell r="N383">
            <v>288</v>
          </cell>
          <cell r="O383">
            <v>288</v>
          </cell>
          <cell r="P383">
            <v>0</v>
          </cell>
          <cell r="Q383">
            <v>288</v>
          </cell>
          <cell r="R383">
            <v>144</v>
          </cell>
          <cell r="S383">
            <v>288</v>
          </cell>
          <cell r="T383">
            <v>144</v>
          </cell>
          <cell r="U383">
            <v>432</v>
          </cell>
          <cell r="V383">
            <v>432</v>
          </cell>
          <cell r="W383">
            <v>288</v>
          </cell>
          <cell r="X383">
            <v>288</v>
          </cell>
        </row>
        <row r="384">
          <cell r="E384">
            <v>1002536</v>
          </cell>
          <cell r="F384" t="str">
            <v>021</v>
          </cell>
          <cell r="G384" t="str">
            <v>3453 - JUVIA'S PLACE</v>
          </cell>
          <cell r="H384" t="str">
            <v>F</v>
          </cell>
          <cell r="I384" t="str">
            <v>A</v>
          </cell>
          <cell r="J384" t="str">
            <v>BASC</v>
          </cell>
          <cell r="K384">
            <v>10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E385">
            <v>1002532</v>
          </cell>
          <cell r="F385" t="str">
            <v>021</v>
          </cell>
          <cell r="G385" t="str">
            <v>3453 - JUVIA'S PLACE</v>
          </cell>
          <cell r="H385" t="str">
            <v>F</v>
          </cell>
          <cell r="I385" t="str">
            <v>A</v>
          </cell>
          <cell r="J385" t="str">
            <v>BASC</v>
          </cell>
          <cell r="K385">
            <v>10</v>
          </cell>
          <cell r="L385">
            <v>2736</v>
          </cell>
          <cell r="M385">
            <v>0</v>
          </cell>
          <cell r="N385">
            <v>144</v>
          </cell>
          <cell r="O385">
            <v>144</v>
          </cell>
          <cell r="P385">
            <v>144</v>
          </cell>
          <cell r="Q385">
            <v>144</v>
          </cell>
          <cell r="R385">
            <v>0</v>
          </cell>
          <cell r="S385">
            <v>288</v>
          </cell>
          <cell r="T385">
            <v>432</v>
          </cell>
          <cell r="U385">
            <v>144</v>
          </cell>
          <cell r="V385">
            <v>576</v>
          </cell>
          <cell r="W385">
            <v>576</v>
          </cell>
          <cell r="X385">
            <v>144</v>
          </cell>
        </row>
        <row r="386">
          <cell r="E386">
            <v>1002535</v>
          </cell>
          <cell r="F386" t="str">
            <v>021</v>
          </cell>
          <cell r="G386" t="str">
            <v>3453 - JUVIA'S PLACE</v>
          </cell>
          <cell r="H386" t="str">
            <v>F</v>
          </cell>
          <cell r="I386" t="str">
            <v>A</v>
          </cell>
          <cell r="J386" t="str">
            <v>BASC</v>
          </cell>
          <cell r="K386">
            <v>10</v>
          </cell>
          <cell r="L386">
            <v>3888</v>
          </cell>
          <cell r="M386">
            <v>288</v>
          </cell>
          <cell r="N386">
            <v>144</v>
          </cell>
          <cell r="O386">
            <v>288</v>
          </cell>
          <cell r="P386">
            <v>144</v>
          </cell>
          <cell r="Q386">
            <v>288</v>
          </cell>
          <cell r="R386">
            <v>288</v>
          </cell>
          <cell r="S386">
            <v>432</v>
          </cell>
          <cell r="T386">
            <v>288</v>
          </cell>
          <cell r="U386">
            <v>576</v>
          </cell>
          <cell r="V386">
            <v>432</v>
          </cell>
          <cell r="W386">
            <v>576</v>
          </cell>
          <cell r="X386">
            <v>144</v>
          </cell>
        </row>
        <row r="387">
          <cell r="E387">
            <v>1002185</v>
          </cell>
          <cell r="F387" t="str">
            <v>021</v>
          </cell>
          <cell r="G387" t="str">
            <v>3453 - JUVIA'S PLACE</v>
          </cell>
          <cell r="H387" t="str">
            <v>E</v>
          </cell>
          <cell r="I387" t="str">
            <v>A</v>
          </cell>
          <cell r="J387" t="str">
            <v>BASC</v>
          </cell>
          <cell r="K387">
            <v>10</v>
          </cell>
          <cell r="L387">
            <v>1584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144</v>
          </cell>
          <cell r="U387">
            <v>432</v>
          </cell>
          <cell r="V387">
            <v>432</v>
          </cell>
          <cell r="W387">
            <v>288</v>
          </cell>
          <cell r="X387">
            <v>288</v>
          </cell>
        </row>
        <row r="388">
          <cell r="E388">
            <v>1002537</v>
          </cell>
          <cell r="F388" t="str">
            <v>021</v>
          </cell>
          <cell r="G388" t="str">
            <v>3453 - JUVIA'S PLACE</v>
          </cell>
          <cell r="H388" t="str">
            <v>F</v>
          </cell>
          <cell r="I388" t="str">
            <v>A</v>
          </cell>
          <cell r="J388" t="str">
            <v>BASC</v>
          </cell>
          <cell r="K388">
            <v>10</v>
          </cell>
          <cell r="L388">
            <v>576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144</v>
          </cell>
          <cell r="S388">
            <v>0</v>
          </cell>
          <cell r="T388">
            <v>0</v>
          </cell>
          <cell r="U388">
            <v>144</v>
          </cell>
          <cell r="V388">
            <v>0</v>
          </cell>
          <cell r="W388">
            <v>144</v>
          </cell>
          <cell r="X388">
            <v>144</v>
          </cell>
        </row>
        <row r="389">
          <cell r="E389">
            <v>1100004</v>
          </cell>
          <cell r="F389" t="str">
            <v>021</v>
          </cell>
          <cell r="G389" t="str">
            <v>3453 - JUVIA'S PLACE</v>
          </cell>
          <cell r="H389" t="str">
            <v>C</v>
          </cell>
          <cell r="I389" t="str">
            <v>DI</v>
          </cell>
          <cell r="J389" t="str">
            <v>BASC</v>
          </cell>
          <cell r="K389">
            <v>9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</row>
        <row r="390">
          <cell r="E390">
            <v>1100005</v>
          </cell>
          <cell r="F390" t="str">
            <v>021</v>
          </cell>
          <cell r="G390" t="str">
            <v>3453 - JUVIA'S PLACE</v>
          </cell>
          <cell r="H390" t="str">
            <v>C</v>
          </cell>
          <cell r="I390" t="str">
            <v>DI</v>
          </cell>
          <cell r="J390" t="str">
            <v>BASC</v>
          </cell>
          <cell r="K390">
            <v>9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</row>
        <row r="391">
          <cell r="E391">
            <v>1100002</v>
          </cell>
          <cell r="F391" t="str">
            <v>021</v>
          </cell>
          <cell r="G391" t="str">
            <v>3453 - JUVIA'S PLACE</v>
          </cell>
          <cell r="H391" t="str">
            <v>C</v>
          </cell>
          <cell r="I391" t="str">
            <v>DI</v>
          </cell>
          <cell r="J391" t="str">
            <v>BASC</v>
          </cell>
          <cell r="K391">
            <v>9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</row>
        <row r="392">
          <cell r="E392">
            <v>1100001</v>
          </cell>
          <cell r="F392" t="str">
            <v>021</v>
          </cell>
          <cell r="G392" t="str">
            <v>3453 - JUVIA'S PLACE</v>
          </cell>
          <cell r="H392" t="str">
            <v>C</v>
          </cell>
          <cell r="I392" t="str">
            <v>DI</v>
          </cell>
          <cell r="J392" t="str">
            <v>BASC</v>
          </cell>
          <cell r="K392">
            <v>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</row>
        <row r="393">
          <cell r="E393">
            <v>1100003</v>
          </cell>
          <cell r="F393" t="str">
            <v>021</v>
          </cell>
          <cell r="G393" t="str">
            <v>3453 - JUVIA'S PLACE</v>
          </cell>
          <cell r="H393" t="str">
            <v>C</v>
          </cell>
          <cell r="I393" t="str">
            <v>DI</v>
          </cell>
          <cell r="J393" t="str">
            <v>BASC</v>
          </cell>
          <cell r="K393">
            <v>9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</row>
        <row r="394">
          <cell r="E394">
            <v>1001832</v>
          </cell>
          <cell r="F394" t="str">
            <v>021</v>
          </cell>
          <cell r="G394" t="str">
            <v>3453 - JUVIA'S PLACE</v>
          </cell>
          <cell r="H394" t="str">
            <v>F</v>
          </cell>
          <cell r="I394" t="str">
            <v>A</v>
          </cell>
          <cell r="J394" t="str">
            <v>BASC</v>
          </cell>
          <cell r="K394">
            <v>7.5</v>
          </cell>
          <cell r="L394">
            <v>3456</v>
          </cell>
          <cell r="M394">
            <v>144</v>
          </cell>
          <cell r="N394">
            <v>432</v>
          </cell>
          <cell r="O394">
            <v>0</v>
          </cell>
          <cell r="P394">
            <v>432</v>
          </cell>
          <cell r="Q394">
            <v>144</v>
          </cell>
          <cell r="R394">
            <v>288</v>
          </cell>
          <cell r="S394">
            <v>576</v>
          </cell>
          <cell r="T394">
            <v>0</v>
          </cell>
          <cell r="U394">
            <v>432</v>
          </cell>
          <cell r="V394">
            <v>576</v>
          </cell>
          <cell r="W394">
            <v>144</v>
          </cell>
          <cell r="X394">
            <v>288</v>
          </cell>
        </row>
        <row r="395">
          <cell r="E395">
            <v>1002628</v>
          </cell>
          <cell r="F395" t="str">
            <v>021</v>
          </cell>
          <cell r="G395" t="str">
            <v>3453 - JUVIA'S PLACE</v>
          </cell>
          <cell r="H395" t="str">
            <v>F</v>
          </cell>
          <cell r="I395" t="str">
            <v>A</v>
          </cell>
          <cell r="J395" t="str">
            <v>BASC</v>
          </cell>
          <cell r="K395">
            <v>10</v>
          </cell>
          <cell r="L395">
            <v>2880</v>
          </cell>
          <cell r="M395">
            <v>288</v>
          </cell>
          <cell r="N395">
            <v>288</v>
          </cell>
          <cell r="O395">
            <v>288</v>
          </cell>
          <cell r="P395">
            <v>144</v>
          </cell>
          <cell r="Q395">
            <v>288</v>
          </cell>
          <cell r="R395">
            <v>144</v>
          </cell>
          <cell r="S395">
            <v>432</v>
          </cell>
          <cell r="T395">
            <v>144</v>
          </cell>
          <cell r="U395">
            <v>144</v>
          </cell>
          <cell r="V395">
            <v>432</v>
          </cell>
          <cell r="W395">
            <v>144</v>
          </cell>
          <cell r="X395">
            <v>144</v>
          </cell>
        </row>
        <row r="396">
          <cell r="E396">
            <v>1002629</v>
          </cell>
          <cell r="F396" t="str">
            <v>021</v>
          </cell>
          <cell r="G396" t="str">
            <v>3453 - JUVIA'S PLACE</v>
          </cell>
          <cell r="H396" t="str">
            <v>F</v>
          </cell>
          <cell r="I396" t="str">
            <v>A</v>
          </cell>
          <cell r="J396" t="str">
            <v>SUMM</v>
          </cell>
          <cell r="K396">
            <v>10</v>
          </cell>
          <cell r="L396">
            <v>1440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144</v>
          </cell>
          <cell r="S396">
            <v>288</v>
          </cell>
          <cell r="T396">
            <v>144</v>
          </cell>
          <cell r="U396">
            <v>288</v>
          </cell>
          <cell r="V396">
            <v>288</v>
          </cell>
          <cell r="W396">
            <v>288</v>
          </cell>
          <cell r="X396">
            <v>0</v>
          </cell>
        </row>
        <row r="397">
          <cell r="E397">
            <v>1002630</v>
          </cell>
          <cell r="F397" t="str">
            <v>021</v>
          </cell>
          <cell r="G397" t="str">
            <v>3453 - JUVIA'S PLACE</v>
          </cell>
          <cell r="H397" t="str">
            <v>F</v>
          </cell>
          <cell r="I397" t="str">
            <v>A</v>
          </cell>
          <cell r="J397" t="str">
            <v>BASC</v>
          </cell>
          <cell r="K397">
            <v>10</v>
          </cell>
          <cell r="L397">
            <v>5040</v>
          </cell>
          <cell r="M397">
            <v>288</v>
          </cell>
          <cell r="N397">
            <v>288</v>
          </cell>
          <cell r="O397">
            <v>144</v>
          </cell>
          <cell r="P397">
            <v>288</v>
          </cell>
          <cell r="Q397">
            <v>288</v>
          </cell>
          <cell r="R397">
            <v>432</v>
          </cell>
          <cell r="S397">
            <v>576</v>
          </cell>
          <cell r="T397">
            <v>576</v>
          </cell>
          <cell r="U397">
            <v>432</v>
          </cell>
          <cell r="V397">
            <v>720</v>
          </cell>
          <cell r="W397">
            <v>1008</v>
          </cell>
          <cell r="X397">
            <v>0</v>
          </cell>
        </row>
        <row r="398">
          <cell r="E398">
            <v>1002632</v>
          </cell>
          <cell r="F398" t="str">
            <v>021</v>
          </cell>
          <cell r="G398" t="str">
            <v>3453 - JUVIA'S PLACE</v>
          </cell>
          <cell r="H398" t="str">
            <v>E</v>
          </cell>
          <cell r="I398" t="str">
            <v>A</v>
          </cell>
          <cell r="J398" t="str">
            <v>BASC</v>
          </cell>
          <cell r="K398">
            <v>10</v>
          </cell>
          <cell r="L398">
            <v>3024</v>
          </cell>
          <cell r="M398">
            <v>288</v>
          </cell>
          <cell r="N398">
            <v>144</v>
          </cell>
          <cell r="O398">
            <v>144</v>
          </cell>
          <cell r="P398">
            <v>144</v>
          </cell>
          <cell r="Q398">
            <v>144</v>
          </cell>
          <cell r="R398">
            <v>288</v>
          </cell>
          <cell r="S398">
            <v>288</v>
          </cell>
          <cell r="T398">
            <v>288</v>
          </cell>
          <cell r="U398">
            <v>288</v>
          </cell>
          <cell r="V398">
            <v>432</v>
          </cell>
          <cell r="W398">
            <v>432</v>
          </cell>
          <cell r="X398">
            <v>144</v>
          </cell>
        </row>
        <row r="399">
          <cell r="E399">
            <v>1002640</v>
          </cell>
          <cell r="F399" t="str">
            <v>021</v>
          </cell>
          <cell r="G399" t="str">
            <v>3453 - JUVIA'S PLACE</v>
          </cell>
          <cell r="H399" t="str">
            <v>E</v>
          </cell>
          <cell r="I399" t="str">
            <v>A</v>
          </cell>
          <cell r="J399" t="str">
            <v>BASC</v>
          </cell>
          <cell r="K399">
            <v>6</v>
          </cell>
          <cell r="L399">
            <v>2880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144</v>
          </cell>
          <cell r="S399">
            <v>432</v>
          </cell>
          <cell r="T399">
            <v>432</v>
          </cell>
          <cell r="U399">
            <v>288</v>
          </cell>
          <cell r="V399">
            <v>720</v>
          </cell>
          <cell r="W399">
            <v>576</v>
          </cell>
          <cell r="X399">
            <v>288</v>
          </cell>
        </row>
        <row r="400">
          <cell r="E400">
            <v>1002634</v>
          </cell>
          <cell r="F400" t="str">
            <v>021</v>
          </cell>
          <cell r="G400" t="str">
            <v>3453 - JUVIA'S PLACE</v>
          </cell>
          <cell r="H400" t="str">
            <v>E</v>
          </cell>
          <cell r="I400" t="str">
            <v>A</v>
          </cell>
          <cell r="J400" t="str">
            <v>BASC</v>
          </cell>
          <cell r="K400">
            <v>10</v>
          </cell>
          <cell r="L400">
            <v>2448</v>
          </cell>
          <cell r="M400">
            <v>144</v>
          </cell>
          <cell r="N400">
            <v>144</v>
          </cell>
          <cell r="O400">
            <v>144</v>
          </cell>
          <cell r="P400">
            <v>144</v>
          </cell>
          <cell r="Q400">
            <v>144</v>
          </cell>
          <cell r="R400">
            <v>144</v>
          </cell>
          <cell r="S400">
            <v>144</v>
          </cell>
          <cell r="T400">
            <v>288</v>
          </cell>
          <cell r="U400">
            <v>144</v>
          </cell>
          <cell r="V400">
            <v>576</v>
          </cell>
          <cell r="W400">
            <v>288</v>
          </cell>
          <cell r="X400">
            <v>144</v>
          </cell>
        </row>
        <row r="401">
          <cell r="E401">
            <v>1002635</v>
          </cell>
          <cell r="F401" t="str">
            <v>021</v>
          </cell>
          <cell r="G401" t="str">
            <v>3453 - JUVIA'S PLACE</v>
          </cell>
          <cell r="H401" t="str">
            <v>F</v>
          </cell>
          <cell r="I401" t="str">
            <v>A</v>
          </cell>
          <cell r="J401" t="str">
            <v>BASC</v>
          </cell>
          <cell r="K401">
            <v>10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</row>
        <row r="402">
          <cell r="E402">
            <v>1002638</v>
          </cell>
          <cell r="F402" t="str">
            <v>021</v>
          </cell>
          <cell r="G402" t="str">
            <v>3453 - JUVIA'S PLACE</v>
          </cell>
          <cell r="H402" t="str">
            <v>E</v>
          </cell>
          <cell r="I402" t="str">
            <v>A</v>
          </cell>
          <cell r="J402" t="str">
            <v>BASC</v>
          </cell>
          <cell r="K402">
            <v>6</v>
          </cell>
          <cell r="L402">
            <v>144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144</v>
          </cell>
          <cell r="X402">
            <v>0</v>
          </cell>
        </row>
        <row r="403">
          <cell r="E403">
            <v>1002633</v>
          </cell>
          <cell r="F403" t="str">
            <v>021</v>
          </cell>
          <cell r="G403" t="str">
            <v>3453 - JUVIA'S PLACE</v>
          </cell>
          <cell r="H403" t="str">
            <v>F</v>
          </cell>
          <cell r="I403" t="str">
            <v>A</v>
          </cell>
          <cell r="J403" t="str">
            <v>BASC</v>
          </cell>
          <cell r="K403">
            <v>10</v>
          </cell>
          <cell r="L403">
            <v>288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144</v>
          </cell>
          <cell r="W403">
            <v>144</v>
          </cell>
          <cell r="X403">
            <v>0</v>
          </cell>
        </row>
        <row r="404">
          <cell r="E404">
            <v>1002637</v>
          </cell>
          <cell r="F404" t="str">
            <v>021</v>
          </cell>
          <cell r="G404" t="str">
            <v>3453 - JUVIA'S PLACE</v>
          </cell>
          <cell r="H404" t="str">
            <v>E</v>
          </cell>
          <cell r="I404" t="str">
            <v>A</v>
          </cell>
          <cell r="J404" t="str">
            <v>BASC</v>
          </cell>
          <cell r="K404">
            <v>6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</row>
        <row r="405">
          <cell r="E405">
            <v>1200056</v>
          </cell>
          <cell r="F405" t="str">
            <v>021</v>
          </cell>
          <cell r="G405" t="str">
            <v>3453 - JUVIA'S PLACE</v>
          </cell>
          <cell r="H405" t="str">
            <v>F</v>
          </cell>
          <cell r="I405" t="str">
            <v>A</v>
          </cell>
          <cell r="J405" t="str">
            <v>BASC</v>
          </cell>
          <cell r="K405">
            <v>7.5</v>
          </cell>
          <cell r="L405">
            <v>4464</v>
          </cell>
          <cell r="M405">
            <v>288</v>
          </cell>
          <cell r="N405">
            <v>432</v>
          </cell>
          <cell r="O405">
            <v>0</v>
          </cell>
          <cell r="P405">
            <v>720</v>
          </cell>
          <cell r="Q405">
            <v>0</v>
          </cell>
          <cell r="R405">
            <v>720</v>
          </cell>
          <cell r="S405">
            <v>144</v>
          </cell>
          <cell r="T405">
            <v>576</v>
          </cell>
          <cell r="U405">
            <v>144</v>
          </cell>
          <cell r="V405">
            <v>576</v>
          </cell>
          <cell r="W405">
            <v>288</v>
          </cell>
          <cell r="X405">
            <v>576</v>
          </cell>
        </row>
        <row r="406">
          <cell r="E406">
            <v>1200062</v>
          </cell>
          <cell r="F406" t="str">
            <v>021</v>
          </cell>
          <cell r="G406" t="str">
            <v>3453 - JUVIA'S PLACE</v>
          </cell>
          <cell r="H406" t="str">
            <v>F</v>
          </cell>
          <cell r="I406" t="str">
            <v>A</v>
          </cell>
          <cell r="J406" t="str">
            <v>BASC</v>
          </cell>
          <cell r="K406">
            <v>7.5</v>
          </cell>
          <cell r="L406">
            <v>3168</v>
          </cell>
          <cell r="M406">
            <v>288</v>
          </cell>
          <cell r="N406">
            <v>144</v>
          </cell>
          <cell r="O406">
            <v>288</v>
          </cell>
          <cell r="P406">
            <v>432</v>
          </cell>
          <cell r="Q406">
            <v>0</v>
          </cell>
          <cell r="R406">
            <v>432</v>
          </cell>
          <cell r="S406">
            <v>288</v>
          </cell>
          <cell r="T406">
            <v>144</v>
          </cell>
          <cell r="U406">
            <v>288</v>
          </cell>
          <cell r="V406">
            <v>576</v>
          </cell>
          <cell r="W406">
            <v>288</v>
          </cell>
          <cell r="X406">
            <v>0</v>
          </cell>
        </row>
        <row r="407">
          <cell r="E407">
            <v>1002556</v>
          </cell>
          <cell r="F407" t="str">
            <v>021</v>
          </cell>
          <cell r="G407" t="str">
            <v>3453 - JUVIA'S PLACE</v>
          </cell>
          <cell r="H407" t="str">
            <v>F</v>
          </cell>
          <cell r="I407" t="str">
            <v>A</v>
          </cell>
          <cell r="J407" t="str">
            <v>SUMM</v>
          </cell>
          <cell r="K407">
            <v>7.5</v>
          </cell>
          <cell r="L407">
            <v>2880</v>
          </cell>
          <cell r="M407">
            <v>0</v>
          </cell>
          <cell r="N407">
            <v>432</v>
          </cell>
          <cell r="O407">
            <v>144</v>
          </cell>
          <cell r="P407">
            <v>288</v>
          </cell>
          <cell r="Q407">
            <v>144</v>
          </cell>
          <cell r="R407">
            <v>288</v>
          </cell>
          <cell r="S407">
            <v>288</v>
          </cell>
          <cell r="T407">
            <v>144</v>
          </cell>
          <cell r="U407">
            <v>432</v>
          </cell>
          <cell r="V407">
            <v>144</v>
          </cell>
          <cell r="W407">
            <v>288</v>
          </cell>
          <cell r="X407">
            <v>288</v>
          </cell>
        </row>
        <row r="408">
          <cell r="E408">
            <v>1002383</v>
          </cell>
          <cell r="F408" t="str">
            <v>021</v>
          </cell>
          <cell r="G408" t="str">
            <v>3453 - JUVIA'S PLACE</v>
          </cell>
          <cell r="H408" t="str">
            <v>C</v>
          </cell>
          <cell r="I408" t="str">
            <v>DI</v>
          </cell>
          <cell r="J408" t="str">
            <v>SUMM</v>
          </cell>
          <cell r="K408">
            <v>18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</row>
        <row r="409">
          <cell r="E409">
            <v>1200171</v>
          </cell>
          <cell r="F409" t="str">
            <v>021</v>
          </cell>
          <cell r="G409" t="str">
            <v>3453 - JUVIA'S PLACE</v>
          </cell>
          <cell r="H409" t="str">
            <v>E</v>
          </cell>
          <cell r="I409" t="str">
            <v>A</v>
          </cell>
          <cell r="J409" t="str">
            <v>BASC</v>
          </cell>
          <cell r="K409">
            <v>7.5</v>
          </cell>
          <cell r="L409">
            <v>9072</v>
          </cell>
          <cell r="M409">
            <v>864</v>
          </cell>
          <cell r="N409">
            <v>1296</v>
          </cell>
          <cell r="O409">
            <v>576</v>
          </cell>
          <cell r="P409">
            <v>720</v>
          </cell>
          <cell r="Q409">
            <v>576</v>
          </cell>
          <cell r="R409">
            <v>720</v>
          </cell>
          <cell r="S409">
            <v>864</v>
          </cell>
          <cell r="T409">
            <v>576</v>
          </cell>
          <cell r="U409">
            <v>720</v>
          </cell>
          <cell r="V409">
            <v>1008</v>
          </cell>
          <cell r="W409">
            <v>864</v>
          </cell>
          <cell r="X409">
            <v>288</v>
          </cell>
        </row>
        <row r="410">
          <cell r="E410">
            <v>1200160</v>
          </cell>
          <cell r="F410" t="str">
            <v>021</v>
          </cell>
          <cell r="G410" t="str">
            <v>3453 - JUVIA'S PLACE</v>
          </cell>
          <cell r="I410" t="str">
            <v>A</v>
          </cell>
          <cell r="J410" t="str">
            <v>BASC</v>
          </cell>
          <cell r="K410">
            <v>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</row>
        <row r="411">
          <cell r="E411">
            <v>1200165</v>
          </cell>
          <cell r="F411" t="str">
            <v>021</v>
          </cell>
          <cell r="G411" t="str">
            <v>3453 - JUVIA'S PLACE</v>
          </cell>
          <cell r="H411" t="str">
            <v>E</v>
          </cell>
          <cell r="I411" t="str">
            <v>A</v>
          </cell>
          <cell r="J411" t="str">
            <v>BASC</v>
          </cell>
          <cell r="K411">
            <v>9</v>
          </cell>
          <cell r="L411">
            <v>4896</v>
          </cell>
          <cell r="M411">
            <v>0</v>
          </cell>
          <cell r="N411">
            <v>144</v>
          </cell>
          <cell r="O411">
            <v>288</v>
          </cell>
          <cell r="P411">
            <v>288</v>
          </cell>
          <cell r="Q411">
            <v>288</v>
          </cell>
          <cell r="R411">
            <v>432</v>
          </cell>
          <cell r="S411">
            <v>720</v>
          </cell>
          <cell r="T411">
            <v>432</v>
          </cell>
          <cell r="U411">
            <v>576</v>
          </cell>
          <cell r="V411">
            <v>864</v>
          </cell>
          <cell r="W411">
            <v>576</v>
          </cell>
          <cell r="X411">
            <v>288</v>
          </cell>
        </row>
        <row r="412">
          <cell r="E412">
            <v>1200177</v>
          </cell>
          <cell r="F412" t="str">
            <v>021</v>
          </cell>
          <cell r="G412" t="str">
            <v>3453 - JUVIA'S PLACE</v>
          </cell>
          <cell r="H412" t="str">
            <v>F</v>
          </cell>
          <cell r="I412" t="str">
            <v>A</v>
          </cell>
          <cell r="J412" t="str">
            <v>BASC</v>
          </cell>
          <cell r="K412">
            <v>7.5</v>
          </cell>
          <cell r="L412">
            <v>2880</v>
          </cell>
          <cell r="M412">
            <v>288</v>
          </cell>
          <cell r="N412">
            <v>144</v>
          </cell>
          <cell r="O412">
            <v>288</v>
          </cell>
          <cell r="P412">
            <v>144</v>
          </cell>
          <cell r="Q412">
            <v>288</v>
          </cell>
          <cell r="R412">
            <v>0</v>
          </cell>
          <cell r="S412">
            <v>432</v>
          </cell>
          <cell r="T412">
            <v>288</v>
          </cell>
          <cell r="U412">
            <v>288</v>
          </cell>
          <cell r="V412">
            <v>144</v>
          </cell>
          <cell r="W412">
            <v>432</v>
          </cell>
          <cell r="X412">
            <v>144</v>
          </cell>
        </row>
        <row r="413">
          <cell r="E413">
            <v>1200212</v>
          </cell>
          <cell r="F413" t="str">
            <v>021</v>
          </cell>
          <cell r="G413" t="str">
            <v>3453 - JUVIA'S PLACE</v>
          </cell>
          <cell r="H413" t="str">
            <v>F</v>
          </cell>
          <cell r="I413" t="str">
            <v>A</v>
          </cell>
          <cell r="J413" t="str">
            <v>BASC</v>
          </cell>
          <cell r="K413">
            <v>12.5</v>
          </cell>
          <cell r="L413">
            <v>72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72</v>
          </cell>
          <cell r="W413">
            <v>0</v>
          </cell>
          <cell r="X413">
            <v>0</v>
          </cell>
        </row>
        <row r="414">
          <cell r="E414">
            <v>1200211</v>
          </cell>
          <cell r="F414" t="str">
            <v>021</v>
          </cell>
          <cell r="G414" t="str">
            <v>3453 - JUVIA'S PLACE</v>
          </cell>
          <cell r="H414" t="str">
            <v>F</v>
          </cell>
          <cell r="I414" t="str">
            <v>A</v>
          </cell>
          <cell r="J414" t="str">
            <v>BASC</v>
          </cell>
          <cell r="K414">
            <v>12.5</v>
          </cell>
          <cell r="L414">
            <v>72</v>
          </cell>
          <cell r="M414">
            <v>0</v>
          </cell>
          <cell r="N414">
            <v>0</v>
          </cell>
          <cell r="O414">
            <v>0</v>
          </cell>
          <cell r="P414">
            <v>72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E415">
            <v>1200222</v>
          </cell>
          <cell r="F415" t="str">
            <v>021</v>
          </cell>
          <cell r="G415" t="str">
            <v>3453 - JUVIA'S PLACE</v>
          </cell>
          <cell r="H415" t="str">
            <v>F</v>
          </cell>
          <cell r="I415" t="str">
            <v>A</v>
          </cell>
          <cell r="J415" t="str">
            <v>BASC</v>
          </cell>
          <cell r="K415">
            <v>12.5</v>
          </cell>
          <cell r="L415">
            <v>72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72</v>
          </cell>
          <cell r="X415">
            <v>0</v>
          </cell>
        </row>
        <row r="416">
          <cell r="E416">
            <v>1200223</v>
          </cell>
          <cell r="F416" t="str">
            <v>021</v>
          </cell>
          <cell r="G416" t="str">
            <v>3453 - JUVIA'S PLACE</v>
          </cell>
          <cell r="H416" t="str">
            <v>F</v>
          </cell>
          <cell r="I416" t="str">
            <v>A</v>
          </cell>
          <cell r="J416" t="str">
            <v>BASC</v>
          </cell>
          <cell r="K416">
            <v>12.5</v>
          </cell>
          <cell r="L416">
            <v>432</v>
          </cell>
          <cell r="M416">
            <v>0</v>
          </cell>
          <cell r="N416">
            <v>72</v>
          </cell>
          <cell r="O416">
            <v>0</v>
          </cell>
          <cell r="P416">
            <v>0</v>
          </cell>
          <cell r="Q416">
            <v>144</v>
          </cell>
          <cell r="R416">
            <v>0</v>
          </cell>
          <cell r="S416">
            <v>0</v>
          </cell>
          <cell r="T416">
            <v>72</v>
          </cell>
          <cell r="U416">
            <v>0</v>
          </cell>
          <cell r="V416">
            <v>144</v>
          </cell>
          <cell r="W416">
            <v>0</v>
          </cell>
          <cell r="X416">
            <v>0</v>
          </cell>
        </row>
        <row r="417">
          <cell r="E417">
            <v>1200219</v>
          </cell>
          <cell r="F417" t="str">
            <v>021</v>
          </cell>
          <cell r="G417" t="str">
            <v>3453 - JUVIA'S PLACE</v>
          </cell>
          <cell r="H417" t="str">
            <v>F</v>
          </cell>
          <cell r="I417" t="str">
            <v>A</v>
          </cell>
          <cell r="J417" t="str">
            <v>BASC</v>
          </cell>
          <cell r="K417">
            <v>12.5</v>
          </cell>
          <cell r="L417">
            <v>792</v>
          </cell>
          <cell r="M417">
            <v>0</v>
          </cell>
          <cell r="N417">
            <v>72</v>
          </cell>
          <cell r="O417">
            <v>72</v>
          </cell>
          <cell r="P417">
            <v>72</v>
          </cell>
          <cell r="Q417">
            <v>72</v>
          </cell>
          <cell r="R417">
            <v>0</v>
          </cell>
          <cell r="S417">
            <v>72</v>
          </cell>
          <cell r="T417">
            <v>72</v>
          </cell>
          <cell r="U417">
            <v>72</v>
          </cell>
          <cell r="V417">
            <v>144</v>
          </cell>
          <cell r="W417">
            <v>72</v>
          </cell>
          <cell r="X417">
            <v>72</v>
          </cell>
        </row>
        <row r="418">
          <cell r="E418">
            <v>1200220</v>
          </cell>
          <cell r="F418" t="str">
            <v>021</v>
          </cell>
          <cell r="G418" t="str">
            <v>3453 - JUVIA'S PLACE</v>
          </cell>
          <cell r="H418" t="str">
            <v>F</v>
          </cell>
          <cell r="I418" t="str">
            <v>A</v>
          </cell>
          <cell r="J418" t="str">
            <v>BASC</v>
          </cell>
          <cell r="K418">
            <v>12.5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</row>
        <row r="419">
          <cell r="E419">
            <v>1200218</v>
          </cell>
          <cell r="F419" t="str">
            <v>021</v>
          </cell>
          <cell r="G419" t="str">
            <v>3453 - JUVIA'S PLACE</v>
          </cell>
          <cell r="H419" t="str">
            <v>F</v>
          </cell>
          <cell r="I419" t="str">
            <v>A</v>
          </cell>
          <cell r="J419" t="str">
            <v>BASC</v>
          </cell>
          <cell r="K419">
            <v>12.5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</row>
        <row r="420">
          <cell r="E420">
            <v>1200236</v>
          </cell>
          <cell r="F420" t="str">
            <v>021</v>
          </cell>
          <cell r="G420" t="str">
            <v>3453 - JUVIA'S PLACE</v>
          </cell>
          <cell r="H420" t="str">
            <v>D</v>
          </cell>
          <cell r="I420" t="str">
            <v>A</v>
          </cell>
          <cell r="J420" t="str">
            <v>SUMM</v>
          </cell>
          <cell r="K420">
            <v>6</v>
          </cell>
          <cell r="L420">
            <v>16992</v>
          </cell>
          <cell r="M420">
            <v>2304</v>
          </cell>
          <cell r="N420">
            <v>1728</v>
          </cell>
          <cell r="O420">
            <v>864</v>
          </cell>
          <cell r="P420">
            <v>1440</v>
          </cell>
          <cell r="Q420">
            <v>864</v>
          </cell>
          <cell r="R420">
            <v>1152</v>
          </cell>
          <cell r="S420">
            <v>1296</v>
          </cell>
          <cell r="T420">
            <v>1440</v>
          </cell>
          <cell r="U420">
            <v>1728</v>
          </cell>
          <cell r="V420">
            <v>1728</v>
          </cell>
          <cell r="W420">
            <v>1728</v>
          </cell>
          <cell r="X420">
            <v>720</v>
          </cell>
        </row>
        <row r="421">
          <cell r="E421">
            <v>1200209</v>
          </cell>
          <cell r="F421" t="str">
            <v>021</v>
          </cell>
          <cell r="G421" t="str">
            <v>3453 - JUVIA'S PLACE</v>
          </cell>
          <cell r="H421" t="str">
            <v>F</v>
          </cell>
          <cell r="I421" t="str">
            <v>A</v>
          </cell>
          <cell r="J421" t="str">
            <v>BASC</v>
          </cell>
          <cell r="K421">
            <v>7.5</v>
          </cell>
          <cell r="L421">
            <v>720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144</v>
          </cell>
          <cell r="S421">
            <v>0</v>
          </cell>
          <cell r="T421">
            <v>0</v>
          </cell>
          <cell r="U421">
            <v>144</v>
          </cell>
          <cell r="V421">
            <v>144</v>
          </cell>
          <cell r="W421">
            <v>144</v>
          </cell>
          <cell r="X421">
            <v>144</v>
          </cell>
        </row>
        <row r="422">
          <cell r="E422">
            <v>1200207</v>
          </cell>
          <cell r="F422" t="str">
            <v>021</v>
          </cell>
          <cell r="G422" t="str">
            <v>3453 - JUVIA'S PLACE</v>
          </cell>
          <cell r="H422" t="str">
            <v>F</v>
          </cell>
          <cell r="I422" t="str">
            <v>A</v>
          </cell>
          <cell r="J422" t="str">
            <v>BASC</v>
          </cell>
          <cell r="K422">
            <v>7.5</v>
          </cell>
          <cell r="L422">
            <v>576</v>
          </cell>
          <cell r="M422">
            <v>0</v>
          </cell>
          <cell r="N422">
            <v>0</v>
          </cell>
          <cell r="O422">
            <v>0</v>
          </cell>
          <cell r="P422">
            <v>144</v>
          </cell>
          <cell r="Q422">
            <v>0</v>
          </cell>
          <cell r="R422">
            <v>0</v>
          </cell>
          <cell r="S422">
            <v>0</v>
          </cell>
          <cell r="T422">
            <v>144</v>
          </cell>
          <cell r="U422">
            <v>0</v>
          </cell>
          <cell r="V422">
            <v>0</v>
          </cell>
          <cell r="W422">
            <v>0</v>
          </cell>
          <cell r="X422">
            <v>288</v>
          </cell>
        </row>
        <row r="423">
          <cell r="E423">
            <v>1200205</v>
          </cell>
          <cell r="F423" t="str">
            <v>021</v>
          </cell>
          <cell r="G423" t="str">
            <v>3453 - JUVIA'S PLACE</v>
          </cell>
          <cell r="H423" t="str">
            <v>F</v>
          </cell>
          <cell r="I423" t="str">
            <v>A</v>
          </cell>
          <cell r="J423" t="str">
            <v>BASC</v>
          </cell>
          <cell r="K423">
            <v>7.5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</row>
        <row r="424">
          <cell r="E424">
            <v>1200234</v>
          </cell>
          <cell r="F424" t="str">
            <v>021</v>
          </cell>
          <cell r="G424" t="str">
            <v>3453 - JUVIA'S PLACE</v>
          </cell>
          <cell r="H424" t="str">
            <v>F</v>
          </cell>
          <cell r="I424" t="str">
            <v>DI</v>
          </cell>
          <cell r="J424" t="str">
            <v>BASC</v>
          </cell>
          <cell r="K424">
            <v>7.5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</row>
        <row r="425">
          <cell r="E425">
            <v>1200224</v>
          </cell>
          <cell r="F425" t="str">
            <v>021</v>
          </cell>
          <cell r="G425" t="str">
            <v>3453 - JUVIA'S PLACE</v>
          </cell>
          <cell r="H425" t="str">
            <v>F</v>
          </cell>
          <cell r="I425" t="str">
            <v>A</v>
          </cell>
          <cell r="J425" t="str">
            <v>BASC</v>
          </cell>
          <cell r="K425">
            <v>7.5</v>
          </cell>
          <cell r="L425">
            <v>1440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144</v>
          </cell>
          <cell r="R425">
            <v>144</v>
          </cell>
          <cell r="S425">
            <v>144</v>
          </cell>
          <cell r="T425">
            <v>144</v>
          </cell>
          <cell r="U425">
            <v>144</v>
          </cell>
          <cell r="V425">
            <v>576</v>
          </cell>
          <cell r="W425">
            <v>144</v>
          </cell>
          <cell r="X425">
            <v>0</v>
          </cell>
        </row>
        <row r="426">
          <cell r="E426">
            <v>1200230</v>
          </cell>
          <cell r="F426" t="str">
            <v>021</v>
          </cell>
          <cell r="G426" t="str">
            <v>3453 - JUVIA'S PLACE</v>
          </cell>
          <cell r="H426" t="str">
            <v>F</v>
          </cell>
          <cell r="I426" t="str">
            <v>DI</v>
          </cell>
          <cell r="J426" t="str">
            <v>BASC</v>
          </cell>
          <cell r="K426">
            <v>7.5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</row>
        <row r="427">
          <cell r="E427">
            <v>1200232</v>
          </cell>
          <cell r="F427" t="str">
            <v>021</v>
          </cell>
          <cell r="G427" t="str">
            <v>3453 - JUVIA'S PLACE</v>
          </cell>
          <cell r="H427" t="str">
            <v>F</v>
          </cell>
          <cell r="I427" t="str">
            <v>DI</v>
          </cell>
          <cell r="J427" t="str">
            <v>BASC</v>
          </cell>
          <cell r="K427">
            <v>7.5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</row>
        <row r="428">
          <cell r="E428">
            <v>1200375</v>
          </cell>
          <cell r="F428" t="str">
            <v>021</v>
          </cell>
          <cell r="G428" t="str">
            <v>3453 - JUVIA'S PLACE</v>
          </cell>
          <cell r="H428" t="str">
            <v>F</v>
          </cell>
          <cell r="I428" t="str">
            <v>DI</v>
          </cell>
          <cell r="J428" t="str">
            <v>BASC</v>
          </cell>
          <cell r="K428">
            <v>6.5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</row>
        <row r="429">
          <cell r="E429">
            <v>1200376</v>
          </cell>
          <cell r="F429" t="str">
            <v>021</v>
          </cell>
          <cell r="G429" t="str">
            <v>3453 - JUVIA'S PLACE</v>
          </cell>
          <cell r="H429" t="str">
            <v>F</v>
          </cell>
          <cell r="I429" t="str">
            <v>DI</v>
          </cell>
          <cell r="J429" t="str">
            <v>BASC</v>
          </cell>
          <cell r="K429">
            <v>7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</row>
        <row r="430">
          <cell r="E430">
            <v>1200377</v>
          </cell>
          <cell r="F430" t="str">
            <v>021</v>
          </cell>
          <cell r="G430" t="str">
            <v>3453 - JUVIA'S PLACE</v>
          </cell>
          <cell r="H430" t="str">
            <v>F</v>
          </cell>
          <cell r="I430" t="str">
            <v>DI</v>
          </cell>
          <cell r="J430" t="str">
            <v>BASC</v>
          </cell>
          <cell r="K430">
            <v>7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</row>
        <row r="431">
          <cell r="E431">
            <v>1200379</v>
          </cell>
          <cell r="F431" t="str">
            <v>021</v>
          </cell>
          <cell r="G431" t="str">
            <v>3453 - JUVIA'S PLACE</v>
          </cell>
          <cell r="H431" t="str">
            <v>F</v>
          </cell>
          <cell r="I431" t="str">
            <v>DI</v>
          </cell>
          <cell r="J431" t="str">
            <v>BASC</v>
          </cell>
          <cell r="K431">
            <v>7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</row>
        <row r="432">
          <cell r="E432">
            <v>1200402</v>
          </cell>
          <cell r="F432" t="str">
            <v>021</v>
          </cell>
          <cell r="G432" t="str">
            <v>3453 - JUVIA'S PLACE</v>
          </cell>
          <cell r="H432" t="str">
            <v>F</v>
          </cell>
          <cell r="I432" t="str">
            <v>DI</v>
          </cell>
          <cell r="J432" t="str">
            <v>BASC</v>
          </cell>
          <cell r="K432">
            <v>7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E433">
            <v>1200403</v>
          </cell>
          <cell r="F433" t="str">
            <v>021</v>
          </cell>
          <cell r="G433" t="str">
            <v>3453 - JUVIA'S PLACE</v>
          </cell>
          <cell r="H433" t="str">
            <v>F</v>
          </cell>
          <cell r="I433" t="str">
            <v>DI</v>
          </cell>
          <cell r="J433" t="str">
            <v>BASC</v>
          </cell>
          <cell r="K433">
            <v>7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</row>
        <row r="434">
          <cell r="E434">
            <v>1200445</v>
          </cell>
          <cell r="F434" t="str">
            <v>021</v>
          </cell>
          <cell r="G434" t="str">
            <v>3453 - JUVIA'S PLACE</v>
          </cell>
          <cell r="H434" t="str">
            <v>F</v>
          </cell>
          <cell r="I434" t="str">
            <v>A</v>
          </cell>
          <cell r="J434" t="str">
            <v>BASC</v>
          </cell>
          <cell r="K434">
            <v>7.5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</row>
        <row r="435">
          <cell r="E435">
            <v>1200447</v>
          </cell>
          <cell r="F435" t="str">
            <v>021</v>
          </cell>
          <cell r="G435" t="str">
            <v>3453 - JUVIA'S PLACE</v>
          </cell>
          <cell r="H435" t="str">
            <v>F</v>
          </cell>
          <cell r="I435" t="str">
            <v>A</v>
          </cell>
          <cell r="J435" t="str">
            <v>BASC</v>
          </cell>
          <cell r="K435">
            <v>7.5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</row>
        <row r="436">
          <cell r="E436">
            <v>1200446</v>
          </cell>
          <cell r="F436" t="str">
            <v>021</v>
          </cell>
          <cell r="G436" t="str">
            <v>3453 - JUVIA'S PLACE</v>
          </cell>
          <cell r="H436" t="str">
            <v>F</v>
          </cell>
          <cell r="I436" t="str">
            <v>A</v>
          </cell>
          <cell r="J436" t="str">
            <v>BASC</v>
          </cell>
          <cell r="K436">
            <v>7.5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</row>
        <row r="437">
          <cell r="E437">
            <v>1200449</v>
          </cell>
          <cell r="F437" t="str">
            <v>021</v>
          </cell>
          <cell r="G437" t="str">
            <v>3453 - JUVIA'S PLACE</v>
          </cell>
          <cell r="H437" t="str">
            <v>F</v>
          </cell>
          <cell r="I437" t="str">
            <v>A</v>
          </cell>
          <cell r="J437" t="str">
            <v>BASC</v>
          </cell>
          <cell r="K437">
            <v>7.5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</row>
        <row r="438">
          <cell r="E438">
            <v>1200401</v>
          </cell>
          <cell r="F438" t="str">
            <v>021</v>
          </cell>
          <cell r="G438" t="str">
            <v>3453 - JUVIA'S PLACE</v>
          </cell>
          <cell r="H438" t="str">
            <v>F</v>
          </cell>
          <cell r="I438" t="str">
            <v>A</v>
          </cell>
          <cell r="J438" t="str">
            <v>BASC</v>
          </cell>
          <cell r="K438">
            <v>10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</row>
        <row r="439">
          <cell r="E439">
            <v>1200404</v>
          </cell>
          <cell r="F439" t="str">
            <v>021</v>
          </cell>
          <cell r="G439" t="str">
            <v>3453 - JUVIA'S PLACE</v>
          </cell>
          <cell r="H439" t="str">
            <v>F</v>
          </cell>
          <cell r="I439" t="str">
            <v>A</v>
          </cell>
          <cell r="J439" t="str">
            <v>BASC</v>
          </cell>
          <cell r="K439">
            <v>10</v>
          </cell>
          <cell r="L439">
            <v>720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144</v>
          </cell>
          <cell r="S439">
            <v>0</v>
          </cell>
          <cell r="T439">
            <v>144</v>
          </cell>
          <cell r="U439">
            <v>0</v>
          </cell>
          <cell r="V439">
            <v>144</v>
          </cell>
          <cell r="W439">
            <v>0</v>
          </cell>
          <cell r="X439">
            <v>288</v>
          </cell>
        </row>
        <row r="440">
          <cell r="E440">
            <v>1200399</v>
          </cell>
          <cell r="F440" t="str">
            <v>021</v>
          </cell>
          <cell r="G440" t="str">
            <v>3453 - JUVIA'S PLACE</v>
          </cell>
          <cell r="H440" t="str">
            <v>F</v>
          </cell>
          <cell r="I440" t="str">
            <v>A</v>
          </cell>
          <cell r="J440" t="str">
            <v>BASC</v>
          </cell>
          <cell r="K440">
            <v>10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</row>
        <row r="441">
          <cell r="E441">
            <v>1200397</v>
          </cell>
          <cell r="F441" t="str">
            <v>021</v>
          </cell>
          <cell r="G441" t="str">
            <v>3453 - JUVIA'S PLACE</v>
          </cell>
          <cell r="H441" t="str">
            <v>F</v>
          </cell>
          <cell r="I441" t="str">
            <v>A</v>
          </cell>
          <cell r="J441" t="str">
            <v>BASC</v>
          </cell>
          <cell r="K441">
            <v>10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</row>
        <row r="442">
          <cell r="E442">
            <v>1200393</v>
          </cell>
          <cell r="F442" t="str">
            <v>021</v>
          </cell>
          <cell r="G442" t="str">
            <v>3453 - JUVIA'S PLACE</v>
          </cell>
          <cell r="H442" t="str">
            <v>E</v>
          </cell>
          <cell r="I442" t="str">
            <v>A</v>
          </cell>
          <cell r="J442" t="str">
            <v>BASC</v>
          </cell>
          <cell r="K442">
            <v>10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</row>
        <row r="443">
          <cell r="E443">
            <v>1200434</v>
          </cell>
          <cell r="F443" t="str">
            <v>021</v>
          </cell>
          <cell r="G443" t="str">
            <v>3453 - JUVIA'S PLACE</v>
          </cell>
          <cell r="H443" t="str">
            <v>F</v>
          </cell>
          <cell r="I443" t="str">
            <v>A</v>
          </cell>
          <cell r="J443" t="str">
            <v>BASC</v>
          </cell>
          <cell r="K443">
            <v>10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</row>
        <row r="444">
          <cell r="E444">
            <v>1200438</v>
          </cell>
          <cell r="F444" t="str">
            <v>021</v>
          </cell>
          <cell r="G444" t="str">
            <v>3453 - JUVIA'S PLACE</v>
          </cell>
          <cell r="H444" t="str">
            <v>F</v>
          </cell>
          <cell r="I444" t="str">
            <v>A</v>
          </cell>
          <cell r="J444" t="str">
            <v>BASC</v>
          </cell>
          <cell r="K444">
            <v>10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</row>
        <row r="445">
          <cell r="E445">
            <v>1200439</v>
          </cell>
          <cell r="F445" t="str">
            <v>021</v>
          </cell>
          <cell r="G445" t="str">
            <v>3453 - JUVIA'S PLACE</v>
          </cell>
          <cell r="H445" t="str">
            <v>E</v>
          </cell>
          <cell r="I445" t="str">
            <v>A</v>
          </cell>
          <cell r="J445" t="str">
            <v>BASC</v>
          </cell>
          <cell r="K445">
            <v>10</v>
          </cell>
          <cell r="L445">
            <v>576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144</v>
          </cell>
          <cell r="S445">
            <v>0</v>
          </cell>
          <cell r="T445">
            <v>144</v>
          </cell>
          <cell r="U445">
            <v>144</v>
          </cell>
          <cell r="V445">
            <v>0</v>
          </cell>
          <cell r="W445">
            <v>144</v>
          </cell>
          <cell r="X445">
            <v>0</v>
          </cell>
        </row>
        <row r="446">
          <cell r="E446">
            <v>1200440</v>
          </cell>
          <cell r="F446" t="str">
            <v>021</v>
          </cell>
          <cell r="G446" t="str">
            <v>3453 - JUVIA'S PLACE</v>
          </cell>
          <cell r="H446" t="str">
            <v>F</v>
          </cell>
          <cell r="I446" t="str">
            <v>A</v>
          </cell>
          <cell r="J446" t="str">
            <v>BASC</v>
          </cell>
          <cell r="K446">
            <v>10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</row>
        <row r="447">
          <cell r="E447">
            <v>1200505</v>
          </cell>
          <cell r="F447" t="str">
            <v>021</v>
          </cell>
          <cell r="G447" t="str">
            <v>3453 - JUVIA'S PLACE</v>
          </cell>
          <cell r="H447" t="str">
            <v>E</v>
          </cell>
          <cell r="I447" t="str">
            <v>A</v>
          </cell>
          <cell r="J447" t="str">
            <v>BASC</v>
          </cell>
          <cell r="K447">
            <v>8.5</v>
          </cell>
          <cell r="L447">
            <v>720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144</v>
          </cell>
          <cell r="V447">
            <v>288</v>
          </cell>
          <cell r="W447">
            <v>288</v>
          </cell>
          <cell r="X447">
            <v>0</v>
          </cell>
        </row>
        <row r="448">
          <cell r="E448">
            <v>1200597</v>
          </cell>
          <cell r="F448" t="str">
            <v>021</v>
          </cell>
          <cell r="G448" t="str">
            <v>3453 - JUVIA'S PLACE</v>
          </cell>
          <cell r="H448" t="str">
            <v>D</v>
          </cell>
          <cell r="I448" t="str">
            <v>A</v>
          </cell>
          <cell r="J448" t="str">
            <v>BASC</v>
          </cell>
          <cell r="K448">
            <v>8.5</v>
          </cell>
          <cell r="L448">
            <v>6192</v>
          </cell>
          <cell r="M448">
            <v>432</v>
          </cell>
          <cell r="N448">
            <v>432</v>
          </cell>
          <cell r="O448">
            <v>288</v>
          </cell>
          <cell r="P448">
            <v>432</v>
          </cell>
          <cell r="Q448">
            <v>288</v>
          </cell>
          <cell r="R448">
            <v>432</v>
          </cell>
          <cell r="S448">
            <v>432</v>
          </cell>
          <cell r="T448">
            <v>864</v>
          </cell>
          <cell r="U448">
            <v>720</v>
          </cell>
          <cell r="V448">
            <v>864</v>
          </cell>
          <cell r="W448">
            <v>720</v>
          </cell>
          <cell r="X448">
            <v>288</v>
          </cell>
        </row>
        <row r="449">
          <cell r="E449">
            <v>1200511</v>
          </cell>
          <cell r="F449" t="str">
            <v>021</v>
          </cell>
          <cell r="G449" t="str">
            <v>3453 - JUVIA'S PLACE</v>
          </cell>
          <cell r="H449" t="str">
            <v>F</v>
          </cell>
          <cell r="I449" t="str">
            <v>A</v>
          </cell>
          <cell r="J449" t="str">
            <v>BASC</v>
          </cell>
          <cell r="K449">
            <v>7</v>
          </cell>
          <cell r="L449">
            <v>3024</v>
          </cell>
          <cell r="M449">
            <v>144</v>
          </cell>
          <cell r="N449">
            <v>288</v>
          </cell>
          <cell r="O449">
            <v>0</v>
          </cell>
          <cell r="P449">
            <v>288</v>
          </cell>
          <cell r="Q449">
            <v>144</v>
          </cell>
          <cell r="R449">
            <v>288</v>
          </cell>
          <cell r="S449">
            <v>288</v>
          </cell>
          <cell r="T449">
            <v>432</v>
          </cell>
          <cell r="U449">
            <v>144</v>
          </cell>
          <cell r="V449">
            <v>432</v>
          </cell>
          <cell r="W449">
            <v>432</v>
          </cell>
          <cell r="X449">
            <v>144</v>
          </cell>
        </row>
        <row r="450">
          <cell r="E450">
            <v>1200514</v>
          </cell>
          <cell r="F450" t="str">
            <v>021</v>
          </cell>
          <cell r="G450" t="str">
            <v>3453 - JUVIA'S PLACE</v>
          </cell>
          <cell r="H450" t="str">
            <v>F</v>
          </cell>
          <cell r="I450" t="str">
            <v>A</v>
          </cell>
          <cell r="J450" t="str">
            <v>BASC</v>
          </cell>
          <cell r="K450">
            <v>7</v>
          </cell>
          <cell r="L450">
            <v>1296</v>
          </cell>
          <cell r="M450">
            <v>144</v>
          </cell>
          <cell r="N450">
            <v>0</v>
          </cell>
          <cell r="O450">
            <v>0</v>
          </cell>
          <cell r="P450">
            <v>0</v>
          </cell>
          <cell r="Q450">
            <v>288</v>
          </cell>
          <cell r="R450">
            <v>0</v>
          </cell>
          <cell r="S450">
            <v>0</v>
          </cell>
          <cell r="T450">
            <v>144</v>
          </cell>
          <cell r="U450">
            <v>288</v>
          </cell>
          <cell r="V450">
            <v>0</v>
          </cell>
          <cell r="W450">
            <v>0</v>
          </cell>
          <cell r="X450">
            <v>432</v>
          </cell>
        </row>
        <row r="451">
          <cell r="E451">
            <v>1200518</v>
          </cell>
          <cell r="F451" t="str">
            <v>021</v>
          </cell>
          <cell r="G451" t="str">
            <v>3453 - JUVIA'S PLACE</v>
          </cell>
          <cell r="H451" t="str">
            <v>E</v>
          </cell>
          <cell r="I451" t="str">
            <v>A</v>
          </cell>
          <cell r="J451" t="str">
            <v>BASC</v>
          </cell>
          <cell r="K451">
            <v>7</v>
          </cell>
          <cell r="L451">
            <v>7056</v>
          </cell>
          <cell r="M451">
            <v>432</v>
          </cell>
          <cell r="N451">
            <v>576</v>
          </cell>
          <cell r="O451">
            <v>432</v>
          </cell>
          <cell r="P451">
            <v>720</v>
          </cell>
          <cell r="Q451">
            <v>576</v>
          </cell>
          <cell r="R451">
            <v>576</v>
          </cell>
          <cell r="S451">
            <v>864</v>
          </cell>
          <cell r="T451">
            <v>576</v>
          </cell>
          <cell r="U451">
            <v>576</v>
          </cell>
          <cell r="V451">
            <v>720</v>
          </cell>
          <cell r="W451">
            <v>720</v>
          </cell>
          <cell r="X451">
            <v>288</v>
          </cell>
        </row>
        <row r="452">
          <cell r="E452">
            <v>1200510</v>
          </cell>
          <cell r="F452" t="str">
            <v>021</v>
          </cell>
          <cell r="G452" t="str">
            <v>3453 - JUVIA'S PLACE</v>
          </cell>
          <cell r="H452" t="str">
            <v>F</v>
          </cell>
          <cell r="I452" t="str">
            <v>A</v>
          </cell>
          <cell r="J452" t="str">
            <v>BASC</v>
          </cell>
          <cell r="K452">
            <v>11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</row>
        <row r="453">
          <cell r="E453">
            <v>1200427</v>
          </cell>
          <cell r="F453" t="str">
            <v>021</v>
          </cell>
          <cell r="G453" t="str">
            <v>3453 - JUVIA'S PLACE</v>
          </cell>
          <cell r="H453" t="str">
            <v>E</v>
          </cell>
          <cell r="I453" t="str">
            <v>A</v>
          </cell>
          <cell r="J453" t="str">
            <v>BASC</v>
          </cell>
          <cell r="K453">
            <v>7</v>
          </cell>
          <cell r="L453">
            <v>7344</v>
          </cell>
          <cell r="M453">
            <v>288</v>
          </cell>
          <cell r="N453">
            <v>144</v>
          </cell>
          <cell r="O453">
            <v>288</v>
          </cell>
          <cell r="P453">
            <v>288</v>
          </cell>
          <cell r="Q453">
            <v>432</v>
          </cell>
          <cell r="R453">
            <v>432</v>
          </cell>
          <cell r="S453">
            <v>1008</v>
          </cell>
          <cell r="T453">
            <v>1008</v>
          </cell>
          <cell r="U453">
            <v>864</v>
          </cell>
          <cell r="V453">
            <v>1152</v>
          </cell>
          <cell r="W453">
            <v>1008</v>
          </cell>
          <cell r="X453">
            <v>432</v>
          </cell>
        </row>
        <row r="454">
          <cell r="E454">
            <v>1200509</v>
          </cell>
          <cell r="F454" t="str">
            <v>021</v>
          </cell>
          <cell r="G454" t="str">
            <v>3453 - JUVIA'S PLACE</v>
          </cell>
          <cell r="H454" t="str">
            <v>F</v>
          </cell>
          <cell r="I454" t="str">
            <v>A</v>
          </cell>
          <cell r="J454" t="str">
            <v>BASC</v>
          </cell>
          <cell r="K454">
            <v>8.5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</row>
        <row r="455">
          <cell r="E455">
            <v>1200506</v>
          </cell>
          <cell r="F455" t="str">
            <v>021</v>
          </cell>
          <cell r="G455" t="str">
            <v>3453 - JUVIA'S PLACE</v>
          </cell>
          <cell r="H455" t="str">
            <v>F</v>
          </cell>
          <cell r="I455" t="str">
            <v>A</v>
          </cell>
          <cell r="J455" t="str">
            <v>BASC</v>
          </cell>
          <cell r="K455">
            <v>8.5</v>
          </cell>
          <cell r="L455">
            <v>864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144</v>
          </cell>
          <cell r="U455">
            <v>0</v>
          </cell>
          <cell r="V455">
            <v>288</v>
          </cell>
          <cell r="W455">
            <v>288</v>
          </cell>
          <cell r="X455">
            <v>144</v>
          </cell>
        </row>
        <row r="456">
          <cell r="E456">
            <v>1200507</v>
          </cell>
          <cell r="F456" t="str">
            <v>021</v>
          </cell>
          <cell r="G456" t="str">
            <v>3453 - JUVIA'S PLACE</v>
          </cell>
          <cell r="H456" t="str">
            <v>F</v>
          </cell>
          <cell r="I456" t="str">
            <v>A</v>
          </cell>
          <cell r="J456" t="str">
            <v>BASC</v>
          </cell>
          <cell r="K456">
            <v>8.5</v>
          </cell>
          <cell r="L456">
            <v>144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144</v>
          </cell>
          <cell r="X456">
            <v>0</v>
          </cell>
        </row>
        <row r="457">
          <cell r="E457">
            <v>1200596</v>
          </cell>
          <cell r="F457" t="str">
            <v>021</v>
          </cell>
          <cell r="G457" t="str">
            <v>3453 - JUVIA'S PLACE</v>
          </cell>
          <cell r="H457" t="str">
            <v>F</v>
          </cell>
          <cell r="I457" t="str">
            <v>A</v>
          </cell>
          <cell r="J457" t="str">
            <v>BASC</v>
          </cell>
          <cell r="K457">
            <v>8.5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</row>
        <row r="458">
          <cell r="E458">
            <v>1200451</v>
          </cell>
          <cell r="F458" t="str">
            <v>021</v>
          </cell>
          <cell r="G458" t="str">
            <v>3453 - JUVIA'S PLACE</v>
          </cell>
          <cell r="H458" t="str">
            <v>F</v>
          </cell>
          <cell r="I458" t="str">
            <v>A</v>
          </cell>
          <cell r="J458" t="str">
            <v>BASC</v>
          </cell>
          <cell r="K458">
            <v>7.5</v>
          </cell>
          <cell r="L458">
            <v>864</v>
          </cell>
          <cell r="M458">
            <v>0</v>
          </cell>
          <cell r="N458">
            <v>0</v>
          </cell>
          <cell r="O458">
            <v>0</v>
          </cell>
          <cell r="P458">
            <v>144</v>
          </cell>
          <cell r="Q458">
            <v>0</v>
          </cell>
          <cell r="R458">
            <v>0</v>
          </cell>
          <cell r="S458">
            <v>144</v>
          </cell>
          <cell r="T458">
            <v>144</v>
          </cell>
          <cell r="U458">
            <v>0</v>
          </cell>
          <cell r="V458">
            <v>288</v>
          </cell>
          <cell r="W458">
            <v>0</v>
          </cell>
          <cell r="X458">
            <v>144</v>
          </cell>
        </row>
        <row r="459">
          <cell r="E459">
            <v>1200462</v>
          </cell>
          <cell r="F459" t="str">
            <v>021</v>
          </cell>
          <cell r="G459" t="str">
            <v>3453 - JUVIA'S PLACE</v>
          </cell>
          <cell r="H459" t="str">
            <v>F</v>
          </cell>
          <cell r="I459" t="str">
            <v>A</v>
          </cell>
          <cell r="J459" t="str">
            <v>BASC</v>
          </cell>
          <cell r="K459">
            <v>7.5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</row>
        <row r="460">
          <cell r="E460">
            <v>1200444</v>
          </cell>
          <cell r="F460" t="str">
            <v>021</v>
          </cell>
          <cell r="G460" t="str">
            <v>3453 - JUVIA'S PLACE</v>
          </cell>
          <cell r="H460" t="str">
            <v>F</v>
          </cell>
          <cell r="I460" t="str">
            <v>A</v>
          </cell>
          <cell r="J460" t="str">
            <v>BASC</v>
          </cell>
          <cell r="K460">
            <v>7.5</v>
          </cell>
          <cell r="L460">
            <v>288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144</v>
          </cell>
          <cell r="S460">
            <v>144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</row>
        <row r="461">
          <cell r="E461">
            <v>1200452</v>
          </cell>
          <cell r="F461" t="str">
            <v>021</v>
          </cell>
          <cell r="G461" t="str">
            <v>3453 - JUVIA'S PLACE</v>
          </cell>
          <cell r="H461" t="str">
            <v>F</v>
          </cell>
          <cell r="I461" t="str">
            <v>A</v>
          </cell>
          <cell r="J461" t="str">
            <v>BASC</v>
          </cell>
          <cell r="K461">
            <v>7.5</v>
          </cell>
          <cell r="L461">
            <v>720</v>
          </cell>
          <cell r="M461">
            <v>0</v>
          </cell>
          <cell r="N461">
            <v>144</v>
          </cell>
          <cell r="O461">
            <v>0</v>
          </cell>
          <cell r="P461">
            <v>0</v>
          </cell>
          <cell r="Q461">
            <v>0</v>
          </cell>
          <cell r="R461">
            <v>144</v>
          </cell>
          <cell r="S461">
            <v>0</v>
          </cell>
          <cell r="T461">
            <v>144</v>
          </cell>
          <cell r="U461">
            <v>144</v>
          </cell>
          <cell r="V461">
            <v>0</v>
          </cell>
          <cell r="W461">
            <v>0</v>
          </cell>
          <cell r="X461">
            <v>144</v>
          </cell>
        </row>
        <row r="462">
          <cell r="E462">
            <v>1200524</v>
          </cell>
          <cell r="F462" t="str">
            <v>021</v>
          </cell>
          <cell r="G462" t="str">
            <v>3453 - JUVIA'S PLACE</v>
          </cell>
          <cell r="H462" t="str">
            <v>F</v>
          </cell>
          <cell r="I462" t="str">
            <v>A</v>
          </cell>
          <cell r="J462" t="str">
            <v>BASC</v>
          </cell>
          <cell r="K462">
            <v>6.5</v>
          </cell>
          <cell r="L462">
            <v>4032</v>
          </cell>
          <cell r="M462">
            <v>144</v>
          </cell>
          <cell r="N462">
            <v>288</v>
          </cell>
          <cell r="O462">
            <v>0</v>
          </cell>
          <cell r="P462">
            <v>432</v>
          </cell>
          <cell r="Q462">
            <v>288</v>
          </cell>
          <cell r="R462">
            <v>144</v>
          </cell>
          <cell r="S462">
            <v>720</v>
          </cell>
          <cell r="T462">
            <v>576</v>
          </cell>
          <cell r="U462">
            <v>288</v>
          </cell>
          <cell r="V462">
            <v>576</v>
          </cell>
          <cell r="W462">
            <v>576</v>
          </cell>
          <cell r="X462">
            <v>0</v>
          </cell>
        </row>
        <row r="463">
          <cell r="E463">
            <v>1200378</v>
          </cell>
          <cell r="F463" t="str">
            <v>021</v>
          </cell>
          <cell r="G463" t="str">
            <v>3453 - JUVIA'S PLACE</v>
          </cell>
          <cell r="H463" t="str">
            <v>F</v>
          </cell>
          <cell r="I463" t="str">
            <v>DI</v>
          </cell>
          <cell r="J463" t="str">
            <v>BASC</v>
          </cell>
          <cell r="K463">
            <v>6.5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</row>
        <row r="464">
          <cell r="E464">
            <v>1200768</v>
          </cell>
          <cell r="F464" t="str">
            <v>021</v>
          </cell>
          <cell r="G464" t="str">
            <v>3453 - JUVIA'S PLACE</v>
          </cell>
          <cell r="I464" t="str">
            <v>A</v>
          </cell>
          <cell r="J464" t="str">
            <v>BASC</v>
          </cell>
          <cell r="K464">
            <v>6.5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</row>
        <row r="465">
          <cell r="E465">
            <v>1200769</v>
          </cell>
          <cell r="F465" t="str">
            <v>021</v>
          </cell>
          <cell r="G465" t="str">
            <v>3453 - JUVIA'S PLACE</v>
          </cell>
          <cell r="I465" t="str">
            <v>A</v>
          </cell>
          <cell r="J465" t="str">
            <v>BASC</v>
          </cell>
          <cell r="K465">
            <v>6.5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</row>
        <row r="466">
          <cell r="E466">
            <v>1200770</v>
          </cell>
          <cell r="F466" t="str">
            <v>021</v>
          </cell>
          <cell r="G466" t="str">
            <v>3453 - JUVIA'S PLACE</v>
          </cell>
          <cell r="I466" t="str">
            <v>A</v>
          </cell>
          <cell r="J466" t="str">
            <v>BASC</v>
          </cell>
          <cell r="K466">
            <v>6.5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</row>
        <row r="467">
          <cell r="E467">
            <v>1200771</v>
          </cell>
          <cell r="F467" t="str">
            <v>021</v>
          </cell>
          <cell r="G467" t="str">
            <v>3453 - JUVIA'S PLACE</v>
          </cell>
          <cell r="I467" t="str">
            <v>A</v>
          </cell>
          <cell r="J467" t="str">
            <v>BASC</v>
          </cell>
          <cell r="K467">
            <v>6.5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</row>
        <row r="468">
          <cell r="E468">
            <v>1200772</v>
          </cell>
          <cell r="F468" t="str">
            <v>021</v>
          </cell>
          <cell r="G468" t="str">
            <v>3453 - JUVIA'S PLACE</v>
          </cell>
          <cell r="I468" t="str">
            <v>A</v>
          </cell>
          <cell r="J468" t="str">
            <v>BASC</v>
          </cell>
          <cell r="K468">
            <v>6.5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</row>
        <row r="469">
          <cell r="E469">
            <v>1200773</v>
          </cell>
          <cell r="F469" t="str">
            <v>021</v>
          </cell>
          <cell r="G469" t="str">
            <v>3453 - JUVIA'S PLACE</v>
          </cell>
          <cell r="I469" t="str">
            <v>A</v>
          </cell>
          <cell r="J469" t="str">
            <v>BASC</v>
          </cell>
          <cell r="K469">
            <v>6.5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E470">
            <v>1200762</v>
          </cell>
          <cell r="F470" t="str">
            <v>021</v>
          </cell>
          <cell r="G470" t="str">
            <v>3453 - JUVIA'S PLACE</v>
          </cell>
          <cell r="I470" t="str">
            <v>A</v>
          </cell>
          <cell r="J470" t="str">
            <v>BASC</v>
          </cell>
          <cell r="K470">
            <v>9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</row>
        <row r="471">
          <cell r="E471">
            <v>1200818</v>
          </cell>
          <cell r="F471" t="str">
            <v>021</v>
          </cell>
          <cell r="G471" t="str">
            <v>3453 - JUVIA'S PLACE</v>
          </cell>
          <cell r="I471" t="str">
            <v>A</v>
          </cell>
          <cell r="J471" t="str">
            <v>BASC</v>
          </cell>
          <cell r="K471">
            <v>9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</row>
        <row r="472">
          <cell r="E472">
            <v>1200747</v>
          </cell>
          <cell r="F472" t="str">
            <v>021</v>
          </cell>
          <cell r="G472" t="str">
            <v>3453 - JUVIA'S PLACE</v>
          </cell>
          <cell r="I472" t="str">
            <v>A</v>
          </cell>
          <cell r="J472" t="str">
            <v>BASC</v>
          </cell>
          <cell r="K472">
            <v>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</row>
        <row r="473">
          <cell r="E473">
            <v>1200748</v>
          </cell>
          <cell r="F473" t="str">
            <v>021</v>
          </cell>
          <cell r="G473" t="str">
            <v>3453 - JUVIA'S PLACE</v>
          </cell>
          <cell r="I473" t="str">
            <v>A</v>
          </cell>
          <cell r="J473" t="str">
            <v>BASC</v>
          </cell>
          <cell r="K473">
            <v>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</row>
        <row r="474">
          <cell r="E474">
            <v>1200749</v>
          </cell>
          <cell r="F474" t="str">
            <v>021</v>
          </cell>
          <cell r="G474" t="str">
            <v>3453 - JUVIA'S PLACE</v>
          </cell>
          <cell r="I474" t="str">
            <v>A</v>
          </cell>
          <cell r="J474" t="str">
            <v>BASC</v>
          </cell>
          <cell r="K474">
            <v>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75">
          <cell r="E475">
            <v>1200750</v>
          </cell>
          <cell r="F475" t="str">
            <v>021</v>
          </cell>
          <cell r="G475" t="str">
            <v>3453 - JUVIA'S PLACE</v>
          </cell>
          <cell r="I475" t="str">
            <v>A</v>
          </cell>
          <cell r="J475" t="str">
            <v>BASC</v>
          </cell>
          <cell r="K475">
            <v>8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</row>
        <row r="476">
          <cell r="E476">
            <v>1200751</v>
          </cell>
          <cell r="F476" t="str">
            <v>021</v>
          </cell>
          <cell r="G476" t="str">
            <v>3453 - JUVIA'S PLACE</v>
          </cell>
          <cell r="I476" t="str">
            <v>A</v>
          </cell>
          <cell r="J476" t="str">
            <v>BASC</v>
          </cell>
          <cell r="K476">
            <v>8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</row>
        <row r="477">
          <cell r="E477">
            <v>1200752</v>
          </cell>
          <cell r="F477" t="str">
            <v>021</v>
          </cell>
          <cell r="G477" t="str">
            <v>3453 - JUVIA'S PLACE</v>
          </cell>
          <cell r="I477" t="str">
            <v>A</v>
          </cell>
          <cell r="J477" t="str">
            <v>BASC</v>
          </cell>
          <cell r="K477">
            <v>8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</row>
        <row r="478">
          <cell r="E478">
            <v>1200794</v>
          </cell>
          <cell r="F478" t="str">
            <v>021</v>
          </cell>
          <cell r="G478" t="str">
            <v>3453 - JUVIA'S PLACE</v>
          </cell>
          <cell r="I478" t="str">
            <v>A</v>
          </cell>
          <cell r="J478" t="str">
            <v>BASC</v>
          </cell>
          <cell r="K478">
            <v>7.5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</row>
        <row r="479">
          <cell r="E479">
            <v>1200777</v>
          </cell>
          <cell r="F479" t="str">
            <v>021</v>
          </cell>
          <cell r="G479" t="str">
            <v>3453 - JUVIA'S PLACE</v>
          </cell>
          <cell r="I479" t="str">
            <v>A</v>
          </cell>
          <cell r="J479" t="str">
            <v>BASC</v>
          </cell>
          <cell r="K479">
            <v>9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</row>
        <row r="480">
          <cell r="E480">
            <v>1200785</v>
          </cell>
          <cell r="F480" t="str">
            <v>021</v>
          </cell>
          <cell r="G480" t="str">
            <v>3453 - JUVIA'S PLACE</v>
          </cell>
          <cell r="I480" t="str">
            <v>A</v>
          </cell>
          <cell r="J480" t="str">
            <v>BASC</v>
          </cell>
          <cell r="K480">
            <v>9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</row>
        <row r="481">
          <cell r="E481">
            <v>1200786</v>
          </cell>
          <cell r="F481" t="str">
            <v>021</v>
          </cell>
          <cell r="G481" t="str">
            <v>3453 - JUVIA'S PLACE</v>
          </cell>
          <cell r="I481" t="str">
            <v>A</v>
          </cell>
          <cell r="J481" t="str">
            <v>BASC</v>
          </cell>
          <cell r="K481">
            <v>9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</row>
        <row r="482">
          <cell r="E482">
            <v>1200788</v>
          </cell>
          <cell r="F482" t="str">
            <v>021</v>
          </cell>
          <cell r="G482" t="str">
            <v>3453 - JUVIA'S PLACE</v>
          </cell>
          <cell r="I482" t="str">
            <v>A</v>
          </cell>
          <cell r="J482" t="str">
            <v>BASC</v>
          </cell>
          <cell r="K482">
            <v>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</row>
        <row r="483">
          <cell r="E483">
            <v>1200787</v>
          </cell>
          <cell r="F483" t="str">
            <v>021</v>
          </cell>
          <cell r="G483" t="str">
            <v>3453 - JUVIA'S PLACE</v>
          </cell>
          <cell r="I483" t="str">
            <v>A</v>
          </cell>
          <cell r="J483" t="str">
            <v>BASC</v>
          </cell>
          <cell r="K483">
            <v>9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</row>
        <row r="484">
          <cell r="E484">
            <v>1200737</v>
          </cell>
          <cell r="F484" t="str">
            <v>021</v>
          </cell>
          <cell r="G484" t="str">
            <v>3453 - JUVIA'S PLACE</v>
          </cell>
          <cell r="I484" t="str">
            <v>A</v>
          </cell>
          <cell r="J484" t="str">
            <v>BASC</v>
          </cell>
          <cell r="K484">
            <v>6.5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E485">
            <v>1200738</v>
          </cell>
          <cell r="F485" t="str">
            <v>021</v>
          </cell>
          <cell r="G485" t="str">
            <v>3453 - JUVIA'S PLACE</v>
          </cell>
          <cell r="I485" t="str">
            <v>A</v>
          </cell>
          <cell r="J485" t="str">
            <v>BASC</v>
          </cell>
          <cell r="K485">
            <v>6.5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</row>
        <row r="486">
          <cell r="E486">
            <v>1200739</v>
          </cell>
          <cell r="F486" t="str">
            <v>021</v>
          </cell>
          <cell r="G486" t="str">
            <v>3453 - JUVIA'S PLACE</v>
          </cell>
          <cell r="I486" t="str">
            <v>A</v>
          </cell>
          <cell r="J486" t="str">
            <v>BASC</v>
          </cell>
          <cell r="K486">
            <v>6.5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</row>
        <row r="487">
          <cell r="E487">
            <v>1200740</v>
          </cell>
          <cell r="F487" t="str">
            <v>021</v>
          </cell>
          <cell r="G487" t="str">
            <v>3453 - JUVIA'S PLACE</v>
          </cell>
          <cell r="I487" t="str">
            <v>A</v>
          </cell>
          <cell r="J487" t="str">
            <v>BASC</v>
          </cell>
          <cell r="K487">
            <v>6.5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</row>
        <row r="488">
          <cell r="E488">
            <v>1200741</v>
          </cell>
          <cell r="F488" t="str">
            <v>021</v>
          </cell>
          <cell r="G488" t="str">
            <v>3453 - JUVIA'S PLACE</v>
          </cell>
          <cell r="I488" t="str">
            <v>A</v>
          </cell>
          <cell r="J488" t="str">
            <v>BASC</v>
          </cell>
          <cell r="K488">
            <v>6.5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</row>
        <row r="489">
          <cell r="E489">
            <v>1200742</v>
          </cell>
          <cell r="F489" t="str">
            <v>021</v>
          </cell>
          <cell r="G489" t="str">
            <v>3453 - JUVIA'S PLACE</v>
          </cell>
          <cell r="I489" t="str">
            <v>A</v>
          </cell>
          <cell r="J489" t="str">
            <v>BASC</v>
          </cell>
          <cell r="K489">
            <v>7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</row>
        <row r="490">
          <cell r="E490">
            <v>1200743</v>
          </cell>
          <cell r="F490" t="str">
            <v>021</v>
          </cell>
          <cell r="G490" t="str">
            <v>3453 - JUVIA'S PLACE</v>
          </cell>
          <cell r="I490" t="str">
            <v>A</v>
          </cell>
          <cell r="J490" t="str">
            <v>BASC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</row>
        <row r="491">
          <cell r="E491">
            <v>1200744</v>
          </cell>
          <cell r="F491" t="str">
            <v>021</v>
          </cell>
          <cell r="G491" t="str">
            <v>3453 - JUVIA'S PLACE</v>
          </cell>
          <cell r="I491" t="str">
            <v>A</v>
          </cell>
          <cell r="J491" t="str">
            <v>BASC</v>
          </cell>
          <cell r="K491">
            <v>7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E492">
            <v>1200746</v>
          </cell>
          <cell r="F492" t="str">
            <v>021</v>
          </cell>
          <cell r="G492" t="str">
            <v>3453 - JUVIA'S PLACE</v>
          </cell>
          <cell r="I492" t="str">
            <v>A</v>
          </cell>
          <cell r="J492" t="str">
            <v>BASC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</row>
        <row r="493">
          <cell r="E493">
            <v>1200745</v>
          </cell>
          <cell r="F493" t="str">
            <v>021</v>
          </cell>
          <cell r="G493" t="str">
            <v>3453 - JUVIA'S PLACE</v>
          </cell>
          <cell r="I493" t="str">
            <v>A</v>
          </cell>
          <cell r="J493" t="str">
            <v>BASC</v>
          </cell>
          <cell r="K493">
            <v>7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</row>
        <row r="494">
          <cell r="E494">
            <v>1200753</v>
          </cell>
          <cell r="F494" t="str">
            <v>021</v>
          </cell>
          <cell r="G494" t="str">
            <v>3453 - JUVIA'S PLACE</v>
          </cell>
          <cell r="I494" t="str">
            <v>A</v>
          </cell>
          <cell r="J494" t="str">
            <v>BASC</v>
          </cell>
          <cell r="K494">
            <v>7.5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</row>
        <row r="495">
          <cell r="E495">
            <v>1200754</v>
          </cell>
          <cell r="F495" t="str">
            <v>021</v>
          </cell>
          <cell r="G495" t="str">
            <v>3453 - JUVIA'S PLACE</v>
          </cell>
          <cell r="I495" t="str">
            <v>A</v>
          </cell>
          <cell r="J495" t="str">
            <v>BASC</v>
          </cell>
          <cell r="K495">
            <v>7.5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</row>
        <row r="496">
          <cell r="E496">
            <v>1200755</v>
          </cell>
          <cell r="F496" t="str">
            <v>021</v>
          </cell>
          <cell r="G496" t="str">
            <v>3453 - JUVIA'S PLACE</v>
          </cell>
          <cell r="I496" t="str">
            <v>A</v>
          </cell>
          <cell r="J496" t="str">
            <v>BASC</v>
          </cell>
          <cell r="K496">
            <v>7.5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</row>
        <row r="497">
          <cell r="E497">
            <v>1200756</v>
          </cell>
          <cell r="F497" t="str">
            <v>021</v>
          </cell>
          <cell r="G497" t="str">
            <v>3453 - JUVIA'S PLACE</v>
          </cell>
          <cell r="I497" t="str">
            <v>A</v>
          </cell>
          <cell r="J497" t="str">
            <v>BASC</v>
          </cell>
          <cell r="K497">
            <v>7.5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</row>
        <row r="498">
          <cell r="E498">
            <v>1200757</v>
          </cell>
          <cell r="F498" t="str">
            <v>021</v>
          </cell>
          <cell r="G498" t="str">
            <v>3453 - JUVIA'S PLACE</v>
          </cell>
          <cell r="I498" t="str">
            <v>A</v>
          </cell>
          <cell r="J498" t="str">
            <v>BASC</v>
          </cell>
          <cell r="K498">
            <v>7.5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</row>
        <row r="499">
          <cell r="E499">
            <v>1200764</v>
          </cell>
          <cell r="F499" t="str">
            <v>021</v>
          </cell>
          <cell r="G499" t="str">
            <v>3453 - JUVIA'S PLACE</v>
          </cell>
          <cell r="I499" t="str">
            <v>A</v>
          </cell>
          <cell r="J499" t="str">
            <v>BASC</v>
          </cell>
          <cell r="K499">
            <v>6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</row>
        <row r="500">
          <cell r="E500">
            <v>1200763</v>
          </cell>
          <cell r="F500" t="str">
            <v>021</v>
          </cell>
          <cell r="G500" t="str">
            <v>3453 - JUVIA'S PLACE</v>
          </cell>
          <cell r="I500" t="str">
            <v>A</v>
          </cell>
          <cell r="J500" t="str">
            <v>BASC</v>
          </cell>
          <cell r="K500">
            <v>6.5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</row>
        <row r="501">
          <cell r="E501">
            <v>1200758</v>
          </cell>
          <cell r="F501" t="str">
            <v>021</v>
          </cell>
          <cell r="G501" t="str">
            <v>3453 - JUVIA'S PLACE</v>
          </cell>
          <cell r="I501" t="str">
            <v>A</v>
          </cell>
          <cell r="J501" t="str">
            <v>BASC</v>
          </cell>
          <cell r="K501">
            <v>7.5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</row>
        <row r="502">
          <cell r="E502">
            <v>1200731</v>
          </cell>
          <cell r="F502" t="str">
            <v>021</v>
          </cell>
          <cell r="G502" t="str">
            <v>3453 - JUVIA'S PLACE</v>
          </cell>
          <cell r="I502" t="str">
            <v>A</v>
          </cell>
          <cell r="J502" t="str">
            <v>BASC</v>
          </cell>
          <cell r="K502">
            <v>9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</row>
        <row r="503">
          <cell r="E503">
            <v>1200812</v>
          </cell>
          <cell r="F503" t="str">
            <v>021</v>
          </cell>
          <cell r="G503" t="str">
            <v>3453 - JUVIA'S PLACE</v>
          </cell>
          <cell r="I503" t="str">
            <v>A</v>
          </cell>
          <cell r="J503" t="str">
            <v>BASC</v>
          </cell>
          <cell r="K503">
            <v>10.8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E504">
            <v>1200813</v>
          </cell>
          <cell r="F504" t="str">
            <v>021</v>
          </cell>
          <cell r="G504" t="str">
            <v>3453 - JUVIA'S PLACE</v>
          </cell>
          <cell r="I504" t="str">
            <v>A</v>
          </cell>
          <cell r="J504" t="str">
            <v>BASC</v>
          </cell>
          <cell r="K504">
            <v>10.8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</row>
        <row r="505">
          <cell r="E505">
            <v>1200898</v>
          </cell>
          <cell r="F505" t="str">
            <v>021</v>
          </cell>
          <cell r="G505" t="str">
            <v>3453 - JUVIA'S PLACE</v>
          </cell>
          <cell r="I505" t="str">
            <v>A</v>
          </cell>
          <cell r="J505" t="str">
            <v>BASC</v>
          </cell>
          <cell r="K505">
            <v>10.8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</row>
        <row r="506">
          <cell r="E506">
            <v>1200806</v>
          </cell>
          <cell r="F506" t="str">
            <v>021</v>
          </cell>
          <cell r="G506" t="str">
            <v>3453 - JUVIA'S PLACE</v>
          </cell>
          <cell r="I506" t="str">
            <v>A</v>
          </cell>
          <cell r="J506" t="str">
            <v>BASC</v>
          </cell>
          <cell r="K506">
            <v>10.8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</row>
        <row r="507">
          <cell r="E507">
            <v>1200811</v>
          </cell>
          <cell r="F507" t="str">
            <v>021</v>
          </cell>
          <cell r="G507" t="str">
            <v>3453 - JUVIA'S PLACE</v>
          </cell>
          <cell r="I507" t="str">
            <v>A</v>
          </cell>
          <cell r="J507" t="str">
            <v>BASC</v>
          </cell>
          <cell r="K507">
            <v>10.8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</row>
        <row r="508">
          <cell r="E508">
            <v>1200808</v>
          </cell>
          <cell r="F508" t="str">
            <v>021</v>
          </cell>
          <cell r="G508" t="str">
            <v>3453 - JUVIA'S PLACE</v>
          </cell>
          <cell r="I508" t="str">
            <v>A</v>
          </cell>
          <cell r="J508" t="str">
            <v>BASC</v>
          </cell>
          <cell r="K508">
            <v>10.8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</row>
        <row r="509">
          <cell r="E509">
            <v>1200805</v>
          </cell>
          <cell r="F509" t="str">
            <v>021</v>
          </cell>
          <cell r="G509" t="str">
            <v>3453 - JUVIA'S PLACE</v>
          </cell>
          <cell r="I509" t="str">
            <v>A</v>
          </cell>
          <cell r="J509" t="str">
            <v>BASC</v>
          </cell>
          <cell r="K509">
            <v>10.8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</row>
        <row r="510">
          <cell r="E510">
            <v>1200897</v>
          </cell>
          <cell r="F510" t="str">
            <v>021</v>
          </cell>
          <cell r="G510" t="str">
            <v>3453 - JUVIA'S PLACE</v>
          </cell>
          <cell r="I510" t="str">
            <v>A</v>
          </cell>
          <cell r="J510" t="str">
            <v>BASC</v>
          </cell>
          <cell r="K510">
            <v>10.8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</row>
        <row r="511">
          <cell r="E511">
            <v>1200809</v>
          </cell>
          <cell r="F511" t="str">
            <v>021</v>
          </cell>
          <cell r="G511" t="str">
            <v>3453 - JUVIA'S PLACE</v>
          </cell>
          <cell r="I511" t="str">
            <v>A</v>
          </cell>
          <cell r="J511" t="str">
            <v>BASC</v>
          </cell>
          <cell r="K511">
            <v>10.8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</row>
        <row r="512">
          <cell r="E512">
            <v>1200814</v>
          </cell>
          <cell r="F512" t="str">
            <v>021</v>
          </cell>
          <cell r="G512" t="str">
            <v>3453 - JUVIA'S PLACE</v>
          </cell>
          <cell r="I512" t="str">
            <v>A</v>
          </cell>
          <cell r="J512" t="str">
            <v>BASC</v>
          </cell>
          <cell r="K512">
            <v>10.8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</row>
        <row r="513">
          <cell r="E513">
            <v>1200807</v>
          </cell>
          <cell r="F513" t="str">
            <v>021</v>
          </cell>
          <cell r="G513" t="str">
            <v>3453 - JUVIA'S PLACE</v>
          </cell>
          <cell r="I513" t="str">
            <v>A</v>
          </cell>
          <cell r="J513" t="str">
            <v>BASC</v>
          </cell>
          <cell r="K513">
            <v>10.8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</row>
        <row r="514">
          <cell r="E514">
            <v>1200810</v>
          </cell>
          <cell r="F514" t="str">
            <v>021</v>
          </cell>
          <cell r="G514" t="str">
            <v>3453 - JUVIA'S PLACE</v>
          </cell>
          <cell r="I514" t="str">
            <v>A</v>
          </cell>
          <cell r="J514" t="str">
            <v>BASC</v>
          </cell>
          <cell r="K514">
            <v>10.8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</row>
        <row r="515">
          <cell r="E515">
            <v>1200798</v>
          </cell>
          <cell r="F515" t="str">
            <v>021</v>
          </cell>
          <cell r="G515" t="str">
            <v>3453 - JUVIA'S PLACE</v>
          </cell>
          <cell r="I515" t="str">
            <v>A</v>
          </cell>
          <cell r="J515" t="str">
            <v>BASC</v>
          </cell>
          <cell r="K515">
            <v>10.8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</row>
        <row r="516">
          <cell r="E516">
            <v>1200804</v>
          </cell>
          <cell r="F516" t="str">
            <v>021</v>
          </cell>
          <cell r="G516" t="str">
            <v>3453 - JUVIA'S PLACE</v>
          </cell>
          <cell r="I516" t="str">
            <v>A</v>
          </cell>
          <cell r="J516" t="str">
            <v>BASC</v>
          </cell>
          <cell r="K516">
            <v>10.8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</row>
        <row r="517">
          <cell r="E517">
            <v>1200803</v>
          </cell>
          <cell r="F517" t="str">
            <v>021</v>
          </cell>
          <cell r="G517" t="str">
            <v>3453 - JUVIA'S PLACE</v>
          </cell>
          <cell r="I517" t="str">
            <v>A</v>
          </cell>
          <cell r="J517" t="str">
            <v>BASC</v>
          </cell>
          <cell r="K517">
            <v>10.8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</row>
        <row r="518">
          <cell r="E518">
            <v>1200797</v>
          </cell>
          <cell r="F518" t="str">
            <v>021</v>
          </cell>
          <cell r="G518" t="str">
            <v>3453 - JUVIA'S PLACE</v>
          </cell>
          <cell r="I518" t="str">
            <v>A</v>
          </cell>
          <cell r="J518" t="str">
            <v>BASC</v>
          </cell>
          <cell r="K518">
            <v>10.8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E519">
            <v>1200800</v>
          </cell>
          <cell r="F519" t="str">
            <v>021</v>
          </cell>
          <cell r="G519" t="str">
            <v>3453 - JUVIA'S PLACE</v>
          </cell>
          <cell r="I519" t="str">
            <v>A</v>
          </cell>
          <cell r="J519" t="str">
            <v>BASC</v>
          </cell>
          <cell r="K519">
            <v>10.8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</row>
        <row r="520">
          <cell r="E520">
            <v>1200799</v>
          </cell>
          <cell r="F520" t="str">
            <v>021</v>
          </cell>
          <cell r="G520" t="str">
            <v>3453 - JUVIA'S PLACE</v>
          </cell>
          <cell r="I520" t="str">
            <v>A</v>
          </cell>
          <cell r="J520" t="str">
            <v>BASC</v>
          </cell>
          <cell r="K520">
            <v>10.8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E521">
            <v>1200801</v>
          </cell>
          <cell r="F521" t="str">
            <v>021</v>
          </cell>
          <cell r="G521" t="str">
            <v>3453 - JUVIA'S PLACE</v>
          </cell>
          <cell r="I521" t="str">
            <v>A</v>
          </cell>
          <cell r="J521" t="str">
            <v>BASC</v>
          </cell>
          <cell r="K521">
            <v>10.8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</row>
        <row r="522">
          <cell r="E522">
            <v>1200802</v>
          </cell>
          <cell r="F522" t="str">
            <v>021</v>
          </cell>
          <cell r="G522" t="str">
            <v>3453 - JUVIA'S PLACE</v>
          </cell>
          <cell r="I522" t="str">
            <v>A</v>
          </cell>
          <cell r="J522" t="str">
            <v>BASC</v>
          </cell>
          <cell r="K522">
            <v>10.8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E523">
            <v>1200891</v>
          </cell>
          <cell r="F523" t="str">
            <v>021</v>
          </cell>
          <cell r="G523" t="str">
            <v>3453 - JUVIA'S PLACE</v>
          </cell>
          <cell r="I523" t="str">
            <v>A</v>
          </cell>
          <cell r="J523" t="str">
            <v>BASC</v>
          </cell>
          <cell r="K523">
            <v>3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</row>
        <row r="524">
          <cell r="E524">
            <v>1000368</v>
          </cell>
          <cell r="F524" t="str">
            <v>021</v>
          </cell>
          <cell r="G524" t="str">
            <v>3453 - JUVIA'S PLACE</v>
          </cell>
          <cell r="H524" t="str">
            <v>E</v>
          </cell>
          <cell r="I524" t="str">
            <v>A</v>
          </cell>
          <cell r="J524" t="str">
            <v>BASC</v>
          </cell>
          <cell r="K524">
            <v>12.5</v>
          </cell>
          <cell r="L524">
            <v>13104</v>
          </cell>
          <cell r="M524">
            <v>1944</v>
          </cell>
          <cell r="N524">
            <v>1512</v>
          </cell>
          <cell r="O524">
            <v>648</v>
          </cell>
          <cell r="P524">
            <v>1296</v>
          </cell>
          <cell r="Q524">
            <v>936</v>
          </cell>
          <cell r="R524">
            <v>1008</v>
          </cell>
          <cell r="S524">
            <v>1152</v>
          </cell>
          <cell r="T524">
            <v>864</v>
          </cell>
          <cell r="U524">
            <v>936</v>
          </cell>
          <cell r="V524">
            <v>1224</v>
          </cell>
          <cell r="W524">
            <v>1080</v>
          </cell>
          <cell r="X524">
            <v>504</v>
          </cell>
        </row>
        <row r="525">
          <cell r="E525">
            <v>1001949</v>
          </cell>
          <cell r="F525" t="str">
            <v>021</v>
          </cell>
          <cell r="G525" t="str">
            <v>3453 - JUVIA'S PLACE</v>
          </cell>
          <cell r="H525" t="str">
            <v>F</v>
          </cell>
          <cell r="I525" t="str">
            <v>A</v>
          </cell>
          <cell r="J525" t="str">
            <v>BASC</v>
          </cell>
          <cell r="K525">
            <v>14.4</v>
          </cell>
          <cell r="L525">
            <v>1872</v>
          </cell>
          <cell r="M525">
            <v>144</v>
          </cell>
          <cell r="N525">
            <v>72</v>
          </cell>
          <cell r="O525">
            <v>216</v>
          </cell>
          <cell r="P525">
            <v>144</v>
          </cell>
          <cell r="Q525">
            <v>144</v>
          </cell>
          <cell r="R525">
            <v>216</v>
          </cell>
          <cell r="S525">
            <v>72</v>
          </cell>
          <cell r="T525">
            <v>288</v>
          </cell>
          <cell r="U525">
            <v>0</v>
          </cell>
          <cell r="V525">
            <v>360</v>
          </cell>
          <cell r="W525">
            <v>216</v>
          </cell>
          <cell r="X525">
            <v>0</v>
          </cell>
        </row>
        <row r="526">
          <cell r="E526">
            <v>1001962</v>
          </cell>
          <cell r="F526" t="str">
            <v>021</v>
          </cell>
          <cell r="G526" t="str">
            <v>3453 - JUVIA'S PLACE</v>
          </cell>
          <cell r="H526" t="str">
            <v>F</v>
          </cell>
          <cell r="I526" t="str">
            <v>A</v>
          </cell>
          <cell r="J526" t="str">
            <v>BASC</v>
          </cell>
          <cell r="K526">
            <v>14.4</v>
          </cell>
          <cell r="L526">
            <v>2448</v>
          </cell>
          <cell r="M526">
            <v>144</v>
          </cell>
          <cell r="N526">
            <v>216</v>
          </cell>
          <cell r="O526">
            <v>72</v>
          </cell>
          <cell r="P526">
            <v>288</v>
          </cell>
          <cell r="Q526">
            <v>216</v>
          </cell>
          <cell r="R526">
            <v>216</v>
          </cell>
          <cell r="S526">
            <v>288</v>
          </cell>
          <cell r="T526">
            <v>216</v>
          </cell>
          <cell r="U526">
            <v>144</v>
          </cell>
          <cell r="V526">
            <v>288</v>
          </cell>
          <cell r="W526">
            <v>216</v>
          </cell>
          <cell r="X526">
            <v>144</v>
          </cell>
        </row>
        <row r="527">
          <cell r="E527">
            <v>1001963</v>
          </cell>
          <cell r="F527" t="str">
            <v>021</v>
          </cell>
          <cell r="G527" t="str">
            <v>3453 - JUVIA'S PLACE</v>
          </cell>
          <cell r="H527" t="str">
            <v>F</v>
          </cell>
          <cell r="I527" t="str">
            <v>A</v>
          </cell>
          <cell r="J527" t="str">
            <v>BASC</v>
          </cell>
          <cell r="K527">
            <v>14.4</v>
          </cell>
          <cell r="L527">
            <v>1368</v>
          </cell>
          <cell r="M527">
            <v>72</v>
          </cell>
          <cell r="N527">
            <v>72</v>
          </cell>
          <cell r="O527">
            <v>144</v>
          </cell>
          <cell r="P527">
            <v>144</v>
          </cell>
          <cell r="Q527">
            <v>72</v>
          </cell>
          <cell r="R527">
            <v>72</v>
          </cell>
          <cell r="S527">
            <v>216</v>
          </cell>
          <cell r="T527">
            <v>72</v>
          </cell>
          <cell r="U527">
            <v>216</v>
          </cell>
          <cell r="V527">
            <v>72</v>
          </cell>
          <cell r="W527">
            <v>72</v>
          </cell>
          <cell r="X527">
            <v>144</v>
          </cell>
        </row>
        <row r="528">
          <cell r="E528">
            <v>1001874</v>
          </cell>
          <cell r="F528" t="str">
            <v>021</v>
          </cell>
          <cell r="G528" t="str">
            <v>3453 - JUVIA'S PLACE</v>
          </cell>
          <cell r="H528" t="str">
            <v>F</v>
          </cell>
          <cell r="I528" t="str">
            <v>A</v>
          </cell>
          <cell r="J528" t="str">
            <v>BASC</v>
          </cell>
          <cell r="K528">
            <v>14.4</v>
          </cell>
          <cell r="L528">
            <v>2448</v>
          </cell>
          <cell r="M528">
            <v>216</v>
          </cell>
          <cell r="N528">
            <v>144</v>
          </cell>
          <cell r="O528">
            <v>216</v>
          </cell>
          <cell r="P528">
            <v>288</v>
          </cell>
          <cell r="Q528">
            <v>216</v>
          </cell>
          <cell r="R528">
            <v>72</v>
          </cell>
          <cell r="S528">
            <v>288</v>
          </cell>
          <cell r="T528">
            <v>144</v>
          </cell>
          <cell r="U528">
            <v>288</v>
          </cell>
          <cell r="V528">
            <v>216</v>
          </cell>
          <cell r="W528">
            <v>216</v>
          </cell>
          <cell r="X528">
            <v>144</v>
          </cell>
        </row>
        <row r="529">
          <cell r="E529">
            <v>1200214</v>
          </cell>
          <cell r="F529" t="str">
            <v>021</v>
          </cell>
          <cell r="G529" t="str">
            <v>3453 - JUVIA'S PLACE</v>
          </cell>
          <cell r="H529" t="str">
            <v>F</v>
          </cell>
          <cell r="I529" t="str">
            <v>A</v>
          </cell>
          <cell r="J529" t="str">
            <v>BASC</v>
          </cell>
          <cell r="K529">
            <v>12.5</v>
          </cell>
          <cell r="L529">
            <v>216</v>
          </cell>
          <cell r="M529">
            <v>0</v>
          </cell>
          <cell r="N529">
            <v>0</v>
          </cell>
          <cell r="O529">
            <v>0</v>
          </cell>
          <cell r="P529">
            <v>72</v>
          </cell>
          <cell r="Q529">
            <v>0</v>
          </cell>
          <cell r="R529">
            <v>72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72</v>
          </cell>
          <cell r="X529">
            <v>0</v>
          </cell>
        </row>
        <row r="530">
          <cell r="E530">
            <v>1200242</v>
          </cell>
          <cell r="F530" t="str">
            <v>021</v>
          </cell>
          <cell r="G530" t="str">
            <v>3453 - JUVIA'S PLACE</v>
          </cell>
          <cell r="H530" t="str">
            <v>F</v>
          </cell>
          <cell r="I530" t="str">
            <v>A</v>
          </cell>
          <cell r="J530" t="str">
            <v>BASC</v>
          </cell>
          <cell r="K530">
            <v>12.5</v>
          </cell>
          <cell r="L530">
            <v>6408</v>
          </cell>
          <cell r="M530">
            <v>504</v>
          </cell>
          <cell r="N530">
            <v>576</v>
          </cell>
          <cell r="O530">
            <v>504</v>
          </cell>
          <cell r="P530">
            <v>648</v>
          </cell>
          <cell r="Q530">
            <v>504</v>
          </cell>
          <cell r="R530">
            <v>504</v>
          </cell>
          <cell r="S530">
            <v>720</v>
          </cell>
          <cell r="T530">
            <v>504</v>
          </cell>
          <cell r="U530">
            <v>504</v>
          </cell>
          <cell r="V530">
            <v>648</v>
          </cell>
          <cell r="W530">
            <v>576</v>
          </cell>
          <cell r="X530">
            <v>216</v>
          </cell>
        </row>
        <row r="531">
          <cell r="E531">
            <v>1200243</v>
          </cell>
          <cell r="F531" t="str">
            <v>021</v>
          </cell>
          <cell r="G531" t="str">
            <v>3453 - JUVIA'S PLACE</v>
          </cell>
          <cell r="H531" t="str">
            <v>D</v>
          </cell>
          <cell r="I531" t="str">
            <v>A</v>
          </cell>
          <cell r="J531" t="str">
            <v>BASC</v>
          </cell>
          <cell r="K531">
            <v>12.5</v>
          </cell>
          <cell r="L531">
            <v>11448</v>
          </cell>
          <cell r="M531">
            <v>1008</v>
          </cell>
          <cell r="N531">
            <v>1008</v>
          </cell>
          <cell r="O531">
            <v>792</v>
          </cell>
          <cell r="P531">
            <v>1008</v>
          </cell>
          <cell r="Q531">
            <v>936</v>
          </cell>
          <cell r="R531">
            <v>936</v>
          </cell>
          <cell r="S531">
            <v>1224</v>
          </cell>
          <cell r="T531">
            <v>792</v>
          </cell>
          <cell r="U531">
            <v>1080</v>
          </cell>
          <cell r="V531">
            <v>1152</v>
          </cell>
          <cell r="W531">
            <v>1080</v>
          </cell>
          <cell r="X531">
            <v>432</v>
          </cell>
        </row>
        <row r="532">
          <cell r="E532">
            <v>1001611</v>
          </cell>
          <cell r="F532" t="str">
            <v>021</v>
          </cell>
          <cell r="G532" t="str">
            <v>3453 - JUVIA'S PLACE</v>
          </cell>
          <cell r="H532" t="str">
            <v>D</v>
          </cell>
          <cell r="I532" t="str">
            <v>A</v>
          </cell>
          <cell r="J532" t="str">
            <v>BASC</v>
          </cell>
          <cell r="K532">
            <v>10</v>
          </cell>
          <cell r="L532">
            <v>38520</v>
          </cell>
          <cell r="M532">
            <v>6480</v>
          </cell>
          <cell r="N532">
            <v>2640</v>
          </cell>
          <cell r="O532">
            <v>2160</v>
          </cell>
          <cell r="P532">
            <v>3480</v>
          </cell>
          <cell r="Q532">
            <v>3000</v>
          </cell>
          <cell r="R532">
            <v>3000</v>
          </cell>
          <cell r="S532">
            <v>3600</v>
          </cell>
          <cell r="T532">
            <v>3240</v>
          </cell>
          <cell r="U532">
            <v>3120</v>
          </cell>
          <cell r="V532">
            <v>3360</v>
          </cell>
          <cell r="W532">
            <v>3000</v>
          </cell>
          <cell r="X532">
            <v>1440</v>
          </cell>
        </row>
        <row r="533">
          <cell r="E533">
            <v>1000586</v>
          </cell>
          <cell r="F533" t="str">
            <v>021</v>
          </cell>
          <cell r="G533" t="str">
            <v>3453 - JUVIA'S PLACE</v>
          </cell>
          <cell r="H533" t="str">
            <v>E</v>
          </cell>
          <cell r="I533" t="str">
            <v>A</v>
          </cell>
          <cell r="J533" t="str">
            <v>BASC</v>
          </cell>
          <cell r="K533">
            <v>9</v>
          </cell>
          <cell r="L533">
            <v>10944</v>
          </cell>
          <cell r="M533">
            <v>1008</v>
          </cell>
          <cell r="N533">
            <v>1152</v>
          </cell>
          <cell r="O533">
            <v>720</v>
          </cell>
          <cell r="P533">
            <v>1152</v>
          </cell>
          <cell r="Q533">
            <v>720</v>
          </cell>
          <cell r="R533">
            <v>720</v>
          </cell>
          <cell r="S533">
            <v>1296</v>
          </cell>
          <cell r="T533">
            <v>1008</v>
          </cell>
          <cell r="U533">
            <v>720</v>
          </cell>
          <cell r="V533">
            <v>1152</v>
          </cell>
          <cell r="W533">
            <v>864</v>
          </cell>
          <cell r="X533">
            <v>432</v>
          </cell>
        </row>
        <row r="534">
          <cell r="E534">
            <v>1000579</v>
          </cell>
          <cell r="F534" t="str">
            <v>021</v>
          </cell>
          <cell r="G534" t="str">
            <v>3453 - JUVIA'S PLACE</v>
          </cell>
          <cell r="H534" t="str">
            <v>F</v>
          </cell>
          <cell r="I534" t="str">
            <v>A</v>
          </cell>
          <cell r="J534" t="str">
            <v>BASC</v>
          </cell>
          <cell r="K534">
            <v>9</v>
          </cell>
          <cell r="L534">
            <v>1296</v>
          </cell>
          <cell r="M534">
            <v>144</v>
          </cell>
          <cell r="N534">
            <v>0</v>
          </cell>
          <cell r="O534">
            <v>144</v>
          </cell>
          <cell r="P534">
            <v>0</v>
          </cell>
          <cell r="Q534">
            <v>144</v>
          </cell>
          <cell r="R534">
            <v>288</v>
          </cell>
          <cell r="S534">
            <v>0</v>
          </cell>
          <cell r="T534">
            <v>288</v>
          </cell>
          <cell r="U534">
            <v>0</v>
          </cell>
          <cell r="V534">
            <v>144</v>
          </cell>
          <cell r="W534">
            <v>144</v>
          </cell>
          <cell r="X534">
            <v>0</v>
          </cell>
        </row>
        <row r="535">
          <cell r="E535">
            <v>1000587</v>
          </cell>
          <cell r="F535" t="str">
            <v>021</v>
          </cell>
          <cell r="G535" t="str">
            <v>3453 - JUVIA'S PLACE</v>
          </cell>
          <cell r="H535" t="str">
            <v>E</v>
          </cell>
          <cell r="I535" t="str">
            <v>A</v>
          </cell>
          <cell r="J535" t="str">
            <v>BASC</v>
          </cell>
          <cell r="K535">
            <v>9</v>
          </cell>
          <cell r="L535">
            <v>8496</v>
          </cell>
          <cell r="M535">
            <v>720</v>
          </cell>
          <cell r="N535">
            <v>720</v>
          </cell>
          <cell r="O535">
            <v>432</v>
          </cell>
          <cell r="P535">
            <v>1152</v>
          </cell>
          <cell r="Q535">
            <v>576</v>
          </cell>
          <cell r="R535">
            <v>576</v>
          </cell>
          <cell r="S535">
            <v>864</v>
          </cell>
          <cell r="T535">
            <v>720</v>
          </cell>
          <cell r="U535">
            <v>720</v>
          </cell>
          <cell r="V535">
            <v>864</v>
          </cell>
          <cell r="W535">
            <v>864</v>
          </cell>
          <cell r="X535">
            <v>288</v>
          </cell>
        </row>
        <row r="536">
          <cell r="E536">
            <v>1000076</v>
          </cell>
          <cell r="F536" t="str">
            <v>021</v>
          </cell>
          <cell r="G536" t="str">
            <v>3453 - JUVIA'S PLACE</v>
          </cell>
          <cell r="H536" t="str">
            <v>E</v>
          </cell>
          <cell r="I536" t="str">
            <v>A</v>
          </cell>
          <cell r="J536" t="str">
            <v>BASC</v>
          </cell>
          <cell r="K536">
            <v>9</v>
          </cell>
          <cell r="L536">
            <v>6912</v>
          </cell>
          <cell r="M536">
            <v>576</v>
          </cell>
          <cell r="N536">
            <v>864</v>
          </cell>
          <cell r="O536">
            <v>720</v>
          </cell>
          <cell r="P536">
            <v>576</v>
          </cell>
          <cell r="Q536">
            <v>576</v>
          </cell>
          <cell r="R536">
            <v>720</v>
          </cell>
          <cell r="S536">
            <v>576</v>
          </cell>
          <cell r="T536">
            <v>576</v>
          </cell>
          <cell r="U536">
            <v>432</v>
          </cell>
          <cell r="V536">
            <v>720</v>
          </cell>
          <cell r="W536">
            <v>432</v>
          </cell>
          <cell r="X536">
            <v>144</v>
          </cell>
        </row>
        <row r="537">
          <cell r="E537">
            <v>1000590</v>
          </cell>
          <cell r="F537" t="str">
            <v>021</v>
          </cell>
          <cell r="G537" t="str">
            <v>3453 - JUVIA'S PLACE</v>
          </cell>
          <cell r="H537" t="str">
            <v>F</v>
          </cell>
          <cell r="I537" t="str">
            <v>A</v>
          </cell>
          <cell r="J537" t="str">
            <v>BASC</v>
          </cell>
          <cell r="K537">
            <v>9</v>
          </cell>
          <cell r="L537">
            <v>1440</v>
          </cell>
          <cell r="M537">
            <v>144</v>
          </cell>
          <cell r="N537">
            <v>144</v>
          </cell>
          <cell r="O537">
            <v>144</v>
          </cell>
          <cell r="P537">
            <v>0</v>
          </cell>
          <cell r="Q537">
            <v>144</v>
          </cell>
          <cell r="R537">
            <v>144</v>
          </cell>
          <cell r="S537">
            <v>144</v>
          </cell>
          <cell r="T537">
            <v>144</v>
          </cell>
          <cell r="U537">
            <v>144</v>
          </cell>
          <cell r="V537">
            <v>288</v>
          </cell>
          <cell r="W537">
            <v>0</v>
          </cell>
          <cell r="X537">
            <v>0</v>
          </cell>
        </row>
        <row r="538">
          <cell r="E538">
            <v>1000580</v>
          </cell>
          <cell r="F538" t="str">
            <v>021</v>
          </cell>
          <cell r="G538" t="str">
            <v>3453 - JUVIA'S PLACE</v>
          </cell>
          <cell r="H538" t="str">
            <v>F</v>
          </cell>
          <cell r="I538" t="str">
            <v>A</v>
          </cell>
          <cell r="J538" t="str">
            <v>BASC</v>
          </cell>
          <cell r="K538">
            <v>9</v>
          </cell>
          <cell r="L538">
            <v>10368</v>
          </cell>
          <cell r="M538">
            <v>1008</v>
          </cell>
          <cell r="N538">
            <v>864</v>
          </cell>
          <cell r="O538">
            <v>864</v>
          </cell>
          <cell r="P538">
            <v>1008</v>
          </cell>
          <cell r="Q538">
            <v>1008</v>
          </cell>
          <cell r="R538">
            <v>576</v>
          </cell>
          <cell r="S538">
            <v>1152</v>
          </cell>
          <cell r="T538">
            <v>864</v>
          </cell>
          <cell r="U538">
            <v>720</v>
          </cell>
          <cell r="V538">
            <v>1008</v>
          </cell>
          <cell r="W538">
            <v>864</v>
          </cell>
          <cell r="X538">
            <v>432</v>
          </cell>
        </row>
        <row r="539">
          <cell r="E539">
            <v>1000704</v>
          </cell>
          <cell r="F539" t="str">
            <v>021</v>
          </cell>
          <cell r="G539" t="str">
            <v>3453 - JUVIA'S PLACE</v>
          </cell>
          <cell r="H539" t="str">
            <v>E</v>
          </cell>
          <cell r="I539" t="str">
            <v>A</v>
          </cell>
          <cell r="J539" t="str">
            <v>BASC</v>
          </cell>
          <cell r="K539">
            <v>6.5</v>
          </cell>
          <cell r="L539">
            <v>7200</v>
          </cell>
          <cell r="M539">
            <v>576</v>
          </cell>
          <cell r="N539">
            <v>864</v>
          </cell>
          <cell r="O539">
            <v>288</v>
          </cell>
          <cell r="P539">
            <v>864</v>
          </cell>
          <cell r="Q539">
            <v>720</v>
          </cell>
          <cell r="R539">
            <v>432</v>
          </cell>
          <cell r="S539">
            <v>432</v>
          </cell>
          <cell r="T539">
            <v>864</v>
          </cell>
          <cell r="U539">
            <v>576</v>
          </cell>
          <cell r="V539">
            <v>576</v>
          </cell>
          <cell r="W539">
            <v>720</v>
          </cell>
          <cell r="X539">
            <v>288</v>
          </cell>
        </row>
        <row r="540">
          <cell r="E540">
            <v>1000668</v>
          </cell>
          <cell r="F540" t="str">
            <v>021</v>
          </cell>
          <cell r="G540" t="str">
            <v>3453 - JUVIA'S PLACE</v>
          </cell>
          <cell r="H540" t="str">
            <v>E</v>
          </cell>
          <cell r="I540" t="str">
            <v>A</v>
          </cell>
          <cell r="J540" t="str">
            <v>BASC</v>
          </cell>
          <cell r="K540">
            <v>7.5</v>
          </cell>
          <cell r="L540">
            <v>8064</v>
          </cell>
          <cell r="M540">
            <v>1440</v>
          </cell>
          <cell r="N540">
            <v>576</v>
          </cell>
          <cell r="O540">
            <v>576</v>
          </cell>
          <cell r="P540">
            <v>432</v>
          </cell>
          <cell r="Q540">
            <v>576</v>
          </cell>
          <cell r="R540">
            <v>576</v>
          </cell>
          <cell r="S540">
            <v>864</v>
          </cell>
          <cell r="T540">
            <v>576</v>
          </cell>
          <cell r="U540">
            <v>576</v>
          </cell>
          <cell r="V540">
            <v>720</v>
          </cell>
          <cell r="W540">
            <v>864</v>
          </cell>
          <cell r="X540">
            <v>288</v>
          </cell>
        </row>
        <row r="541">
          <cell r="E541">
            <v>1000675</v>
          </cell>
          <cell r="F541" t="str">
            <v>021</v>
          </cell>
          <cell r="G541" t="str">
            <v>3453 - JUVIA'S PLACE</v>
          </cell>
          <cell r="H541" t="str">
            <v>F</v>
          </cell>
          <cell r="I541" t="str">
            <v>A</v>
          </cell>
          <cell r="J541" t="str">
            <v>BASC</v>
          </cell>
          <cell r="K541">
            <v>7.5</v>
          </cell>
          <cell r="L541">
            <v>5328</v>
          </cell>
          <cell r="M541">
            <v>576</v>
          </cell>
          <cell r="N541">
            <v>720</v>
          </cell>
          <cell r="O541">
            <v>144</v>
          </cell>
          <cell r="P541">
            <v>576</v>
          </cell>
          <cell r="Q541">
            <v>288</v>
          </cell>
          <cell r="R541">
            <v>576</v>
          </cell>
          <cell r="S541">
            <v>144</v>
          </cell>
          <cell r="T541">
            <v>576</v>
          </cell>
          <cell r="U541">
            <v>432</v>
          </cell>
          <cell r="V541">
            <v>576</v>
          </cell>
          <cell r="W541">
            <v>288</v>
          </cell>
          <cell r="X541">
            <v>432</v>
          </cell>
        </row>
        <row r="542">
          <cell r="E542">
            <v>1000666</v>
          </cell>
          <cell r="F542" t="str">
            <v>021</v>
          </cell>
          <cell r="G542" t="str">
            <v>3453 - JUVIA'S PLACE</v>
          </cell>
          <cell r="H542" t="str">
            <v>F</v>
          </cell>
          <cell r="I542" t="str">
            <v>A</v>
          </cell>
          <cell r="J542" t="str">
            <v>BASC</v>
          </cell>
          <cell r="K542">
            <v>7.5</v>
          </cell>
          <cell r="L542">
            <v>4896</v>
          </cell>
          <cell r="M542">
            <v>576</v>
          </cell>
          <cell r="N542">
            <v>576</v>
          </cell>
          <cell r="O542">
            <v>288</v>
          </cell>
          <cell r="P542">
            <v>432</v>
          </cell>
          <cell r="Q542">
            <v>432</v>
          </cell>
          <cell r="R542">
            <v>144</v>
          </cell>
          <cell r="S542">
            <v>576</v>
          </cell>
          <cell r="T542">
            <v>432</v>
          </cell>
          <cell r="U542">
            <v>288</v>
          </cell>
          <cell r="V542">
            <v>720</v>
          </cell>
          <cell r="W542">
            <v>144</v>
          </cell>
          <cell r="X542">
            <v>288</v>
          </cell>
        </row>
        <row r="543">
          <cell r="E543">
            <v>1001053</v>
          </cell>
          <cell r="F543" t="str">
            <v>021</v>
          </cell>
          <cell r="G543" t="str">
            <v>3453 - JUVIA'S PLACE</v>
          </cell>
          <cell r="H543" t="str">
            <v>F</v>
          </cell>
          <cell r="I543" t="str">
            <v>A</v>
          </cell>
          <cell r="J543" t="str">
            <v>BASC</v>
          </cell>
          <cell r="K543">
            <v>7.5</v>
          </cell>
          <cell r="L543">
            <v>6048</v>
          </cell>
          <cell r="M543">
            <v>576</v>
          </cell>
          <cell r="N543">
            <v>720</v>
          </cell>
          <cell r="O543">
            <v>432</v>
          </cell>
          <cell r="P543">
            <v>576</v>
          </cell>
          <cell r="Q543">
            <v>432</v>
          </cell>
          <cell r="R543">
            <v>288</v>
          </cell>
          <cell r="S543">
            <v>576</v>
          </cell>
          <cell r="T543">
            <v>576</v>
          </cell>
          <cell r="U543">
            <v>288</v>
          </cell>
          <cell r="V543">
            <v>720</v>
          </cell>
          <cell r="W543">
            <v>432</v>
          </cell>
          <cell r="X543">
            <v>432</v>
          </cell>
        </row>
        <row r="544">
          <cell r="E544">
            <v>1001082</v>
          </cell>
          <cell r="F544" t="str">
            <v>021</v>
          </cell>
          <cell r="G544" t="str">
            <v>3453 - JUVIA'S PLACE</v>
          </cell>
          <cell r="H544" t="str">
            <v>F</v>
          </cell>
          <cell r="I544" t="str">
            <v>A</v>
          </cell>
          <cell r="J544" t="str">
            <v>BASC</v>
          </cell>
          <cell r="K544">
            <v>7.5</v>
          </cell>
          <cell r="L544">
            <v>4896</v>
          </cell>
          <cell r="M544">
            <v>576</v>
          </cell>
          <cell r="N544">
            <v>720</v>
          </cell>
          <cell r="O544">
            <v>0</v>
          </cell>
          <cell r="P544">
            <v>576</v>
          </cell>
          <cell r="Q544">
            <v>432</v>
          </cell>
          <cell r="R544">
            <v>288</v>
          </cell>
          <cell r="S544">
            <v>432</v>
          </cell>
          <cell r="T544">
            <v>288</v>
          </cell>
          <cell r="U544">
            <v>432</v>
          </cell>
          <cell r="V544">
            <v>432</v>
          </cell>
          <cell r="W544">
            <v>432</v>
          </cell>
          <cell r="X544">
            <v>288</v>
          </cell>
        </row>
        <row r="545">
          <cell r="E545">
            <v>1001055</v>
          </cell>
          <cell r="F545" t="str">
            <v>021</v>
          </cell>
          <cell r="G545" t="str">
            <v>3453 - JUVIA'S PLACE</v>
          </cell>
          <cell r="H545" t="str">
            <v>F</v>
          </cell>
          <cell r="I545" t="str">
            <v>A</v>
          </cell>
          <cell r="J545" t="str">
            <v>BASC</v>
          </cell>
          <cell r="K545">
            <v>7.5</v>
          </cell>
          <cell r="L545">
            <v>6048</v>
          </cell>
          <cell r="M545">
            <v>576</v>
          </cell>
          <cell r="N545">
            <v>720</v>
          </cell>
          <cell r="O545">
            <v>432</v>
          </cell>
          <cell r="P545">
            <v>432</v>
          </cell>
          <cell r="Q545">
            <v>576</v>
          </cell>
          <cell r="R545">
            <v>288</v>
          </cell>
          <cell r="S545">
            <v>576</v>
          </cell>
          <cell r="T545">
            <v>576</v>
          </cell>
          <cell r="U545">
            <v>432</v>
          </cell>
          <cell r="V545">
            <v>720</v>
          </cell>
          <cell r="W545">
            <v>576</v>
          </cell>
          <cell r="X545">
            <v>144</v>
          </cell>
        </row>
        <row r="546">
          <cell r="E546">
            <v>1001080</v>
          </cell>
          <cell r="F546" t="str">
            <v>021</v>
          </cell>
          <cell r="G546" t="str">
            <v>3453 - JUVIA'S PLACE</v>
          </cell>
          <cell r="H546" t="str">
            <v>F</v>
          </cell>
          <cell r="I546" t="str">
            <v>A</v>
          </cell>
          <cell r="J546" t="str">
            <v>BASC</v>
          </cell>
          <cell r="K546">
            <v>7.5</v>
          </cell>
          <cell r="L546">
            <v>5040</v>
          </cell>
          <cell r="M546">
            <v>720</v>
          </cell>
          <cell r="N546">
            <v>432</v>
          </cell>
          <cell r="O546">
            <v>432</v>
          </cell>
          <cell r="P546">
            <v>432</v>
          </cell>
          <cell r="Q546">
            <v>432</v>
          </cell>
          <cell r="R546">
            <v>432</v>
          </cell>
          <cell r="S546">
            <v>432</v>
          </cell>
          <cell r="T546">
            <v>288</v>
          </cell>
          <cell r="U546">
            <v>432</v>
          </cell>
          <cell r="V546">
            <v>432</v>
          </cell>
          <cell r="W546">
            <v>576</v>
          </cell>
          <cell r="X546">
            <v>0</v>
          </cell>
        </row>
        <row r="547">
          <cell r="E547">
            <v>1001079</v>
          </cell>
          <cell r="F547" t="str">
            <v>021</v>
          </cell>
          <cell r="G547" t="str">
            <v>3453 - JUVIA'S PLACE</v>
          </cell>
          <cell r="H547" t="str">
            <v>F</v>
          </cell>
          <cell r="I547" t="str">
            <v>A</v>
          </cell>
          <cell r="J547" t="str">
            <v>BASC</v>
          </cell>
          <cell r="K547">
            <v>7.5</v>
          </cell>
          <cell r="L547">
            <v>5616</v>
          </cell>
          <cell r="M547">
            <v>720</v>
          </cell>
          <cell r="N547">
            <v>576</v>
          </cell>
          <cell r="O547">
            <v>432</v>
          </cell>
          <cell r="P547">
            <v>288</v>
          </cell>
          <cell r="Q547">
            <v>432</v>
          </cell>
          <cell r="R547">
            <v>720</v>
          </cell>
          <cell r="S547">
            <v>288</v>
          </cell>
          <cell r="T547">
            <v>432</v>
          </cell>
          <cell r="U547">
            <v>288</v>
          </cell>
          <cell r="V547">
            <v>576</v>
          </cell>
          <cell r="W547">
            <v>432</v>
          </cell>
          <cell r="X547">
            <v>432</v>
          </cell>
        </row>
        <row r="548">
          <cell r="E548">
            <v>1001081</v>
          </cell>
          <cell r="F548" t="str">
            <v>021</v>
          </cell>
          <cell r="G548" t="str">
            <v>3453 - JUVIA'S PLACE</v>
          </cell>
          <cell r="H548" t="str">
            <v>F</v>
          </cell>
          <cell r="I548" t="str">
            <v>A</v>
          </cell>
          <cell r="J548" t="str">
            <v>BASC</v>
          </cell>
          <cell r="K548">
            <v>7.5</v>
          </cell>
          <cell r="L548">
            <v>4608</v>
          </cell>
          <cell r="M548">
            <v>576</v>
          </cell>
          <cell r="N548">
            <v>576</v>
          </cell>
          <cell r="O548">
            <v>288</v>
          </cell>
          <cell r="P548">
            <v>432</v>
          </cell>
          <cell r="Q548">
            <v>288</v>
          </cell>
          <cell r="R548">
            <v>144</v>
          </cell>
          <cell r="S548">
            <v>432</v>
          </cell>
          <cell r="T548">
            <v>432</v>
          </cell>
          <cell r="U548">
            <v>288</v>
          </cell>
          <cell r="V548">
            <v>576</v>
          </cell>
          <cell r="W548">
            <v>432</v>
          </cell>
          <cell r="X548">
            <v>144</v>
          </cell>
        </row>
        <row r="549">
          <cell r="E549">
            <v>1001052</v>
          </cell>
          <cell r="F549" t="str">
            <v>021</v>
          </cell>
          <cell r="G549" t="str">
            <v>3453 - JUVIA'S PLACE</v>
          </cell>
          <cell r="H549" t="str">
            <v>F</v>
          </cell>
          <cell r="I549" t="str">
            <v>A</v>
          </cell>
          <cell r="J549" t="str">
            <v>BASC</v>
          </cell>
          <cell r="K549">
            <v>7</v>
          </cell>
          <cell r="L549">
            <v>4896</v>
          </cell>
          <cell r="M549">
            <v>720</v>
          </cell>
          <cell r="N549">
            <v>432</v>
          </cell>
          <cell r="O549">
            <v>432</v>
          </cell>
          <cell r="P549">
            <v>288</v>
          </cell>
          <cell r="Q549">
            <v>288</v>
          </cell>
          <cell r="R549">
            <v>288</v>
          </cell>
          <cell r="S549">
            <v>432</v>
          </cell>
          <cell r="T549">
            <v>432</v>
          </cell>
          <cell r="U549">
            <v>432</v>
          </cell>
          <cell r="V549">
            <v>432</v>
          </cell>
          <cell r="W549">
            <v>432</v>
          </cell>
          <cell r="X549">
            <v>288</v>
          </cell>
        </row>
        <row r="550">
          <cell r="E550">
            <v>1001057</v>
          </cell>
          <cell r="F550" t="str">
            <v>021</v>
          </cell>
          <cell r="G550" t="str">
            <v>3453 - JUVIA'S PLACE</v>
          </cell>
          <cell r="H550" t="str">
            <v>F</v>
          </cell>
          <cell r="I550" t="str">
            <v>A</v>
          </cell>
          <cell r="J550" t="str">
            <v>WINT</v>
          </cell>
          <cell r="K550">
            <v>7</v>
          </cell>
          <cell r="L550">
            <v>4896</v>
          </cell>
          <cell r="M550">
            <v>576</v>
          </cell>
          <cell r="N550">
            <v>432</v>
          </cell>
          <cell r="O550">
            <v>432</v>
          </cell>
          <cell r="P550">
            <v>288</v>
          </cell>
          <cell r="Q550">
            <v>576</v>
          </cell>
          <cell r="R550">
            <v>144</v>
          </cell>
          <cell r="S550">
            <v>576</v>
          </cell>
          <cell r="T550">
            <v>288</v>
          </cell>
          <cell r="U550">
            <v>432</v>
          </cell>
          <cell r="V550">
            <v>432</v>
          </cell>
          <cell r="W550">
            <v>576</v>
          </cell>
          <cell r="X550">
            <v>144</v>
          </cell>
        </row>
        <row r="551">
          <cell r="E551">
            <v>1002272</v>
          </cell>
          <cell r="F551" t="str">
            <v>021</v>
          </cell>
          <cell r="G551" t="str">
            <v>3453 - JUVIA'S PLACE</v>
          </cell>
          <cell r="I551" t="str">
            <v>A</v>
          </cell>
          <cell r="J551" t="str">
            <v>BASC</v>
          </cell>
          <cell r="K551">
            <v>7.5</v>
          </cell>
          <cell r="L551">
            <v>432</v>
          </cell>
          <cell r="M551">
            <v>288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144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</row>
        <row r="552">
          <cell r="E552">
            <v>1002389</v>
          </cell>
          <cell r="F552" t="str">
            <v>021</v>
          </cell>
          <cell r="G552" t="str">
            <v>3453 - JUVIA'S PLACE</v>
          </cell>
          <cell r="H552" t="str">
            <v>F</v>
          </cell>
          <cell r="I552" t="str">
            <v>A</v>
          </cell>
          <cell r="J552" t="str">
            <v>BASC</v>
          </cell>
          <cell r="K552">
            <v>7.5</v>
          </cell>
          <cell r="L552">
            <v>4896</v>
          </cell>
          <cell r="M552">
            <v>576</v>
          </cell>
          <cell r="N552">
            <v>432</v>
          </cell>
          <cell r="O552">
            <v>0</v>
          </cell>
          <cell r="P552">
            <v>576</v>
          </cell>
          <cell r="Q552">
            <v>144</v>
          </cell>
          <cell r="R552">
            <v>432</v>
          </cell>
          <cell r="S552">
            <v>288</v>
          </cell>
          <cell r="T552">
            <v>288</v>
          </cell>
          <cell r="U552">
            <v>432</v>
          </cell>
          <cell r="V552">
            <v>720</v>
          </cell>
          <cell r="W552">
            <v>720</v>
          </cell>
          <cell r="X552">
            <v>288</v>
          </cell>
        </row>
        <row r="553">
          <cell r="E553">
            <v>1002392</v>
          </cell>
          <cell r="F553" t="str">
            <v>021</v>
          </cell>
          <cell r="G553" t="str">
            <v>3453 - JUVIA'S PLACE</v>
          </cell>
          <cell r="H553" t="str">
            <v>F</v>
          </cell>
          <cell r="I553" t="str">
            <v>A</v>
          </cell>
          <cell r="J553" t="str">
            <v>BASC</v>
          </cell>
          <cell r="K553">
            <v>7.5</v>
          </cell>
          <cell r="L553">
            <v>2736</v>
          </cell>
          <cell r="M553">
            <v>288</v>
          </cell>
          <cell r="N553">
            <v>432</v>
          </cell>
          <cell r="O553">
            <v>0</v>
          </cell>
          <cell r="P553">
            <v>144</v>
          </cell>
          <cell r="Q553">
            <v>144</v>
          </cell>
          <cell r="R553">
            <v>288</v>
          </cell>
          <cell r="S553">
            <v>288</v>
          </cell>
          <cell r="T553">
            <v>0</v>
          </cell>
          <cell r="U553">
            <v>432</v>
          </cell>
          <cell r="V553">
            <v>144</v>
          </cell>
          <cell r="W553">
            <v>432</v>
          </cell>
          <cell r="X553">
            <v>144</v>
          </cell>
        </row>
        <row r="554">
          <cell r="E554">
            <v>1002240</v>
          </cell>
          <cell r="F554" t="str">
            <v>021</v>
          </cell>
          <cell r="G554" t="str">
            <v>3453 - JUVIA'S PLACE</v>
          </cell>
          <cell r="H554" t="str">
            <v>F</v>
          </cell>
          <cell r="I554" t="str">
            <v>A</v>
          </cell>
          <cell r="J554" t="str">
            <v>BASC</v>
          </cell>
          <cell r="K554">
            <v>12</v>
          </cell>
          <cell r="L554">
            <v>3888</v>
          </cell>
          <cell r="M554">
            <v>216</v>
          </cell>
          <cell r="N554">
            <v>216</v>
          </cell>
          <cell r="O554">
            <v>360</v>
          </cell>
          <cell r="P554">
            <v>432</v>
          </cell>
          <cell r="Q554">
            <v>288</v>
          </cell>
          <cell r="R554">
            <v>288</v>
          </cell>
          <cell r="S554">
            <v>288</v>
          </cell>
          <cell r="T554">
            <v>504</v>
          </cell>
          <cell r="U554">
            <v>288</v>
          </cell>
          <cell r="V554">
            <v>432</v>
          </cell>
          <cell r="W554">
            <v>288</v>
          </cell>
          <cell r="X554">
            <v>288</v>
          </cell>
        </row>
        <row r="555">
          <cell r="E555">
            <v>1001867</v>
          </cell>
          <cell r="F555" t="str">
            <v>021</v>
          </cell>
          <cell r="G555" t="str">
            <v>3453 - JUVIA'S PLACE</v>
          </cell>
          <cell r="H555" t="str">
            <v>F</v>
          </cell>
          <cell r="I555" t="str">
            <v>A</v>
          </cell>
          <cell r="J555" t="str">
            <v>BASC</v>
          </cell>
          <cell r="K555">
            <v>12</v>
          </cell>
          <cell r="L555">
            <v>3816</v>
          </cell>
          <cell r="M555">
            <v>288</v>
          </cell>
          <cell r="N555">
            <v>432</v>
          </cell>
          <cell r="O555">
            <v>216</v>
          </cell>
          <cell r="P555">
            <v>432</v>
          </cell>
          <cell r="Q555">
            <v>216</v>
          </cell>
          <cell r="R555">
            <v>360</v>
          </cell>
          <cell r="S555">
            <v>432</v>
          </cell>
          <cell r="T555">
            <v>288</v>
          </cell>
          <cell r="U555">
            <v>288</v>
          </cell>
          <cell r="V555">
            <v>360</v>
          </cell>
          <cell r="W555">
            <v>432</v>
          </cell>
          <cell r="X555">
            <v>72</v>
          </cell>
        </row>
        <row r="556">
          <cell r="E556">
            <v>1001898</v>
          </cell>
          <cell r="F556" t="str">
            <v>021</v>
          </cell>
          <cell r="G556" t="str">
            <v>3453 - JUVIA'S PLACE</v>
          </cell>
          <cell r="H556" t="str">
            <v>F</v>
          </cell>
          <cell r="I556" t="str">
            <v>A</v>
          </cell>
          <cell r="J556" t="str">
            <v>BASC</v>
          </cell>
          <cell r="K556">
            <v>12</v>
          </cell>
          <cell r="L556">
            <v>4104</v>
          </cell>
          <cell r="M556">
            <v>288</v>
          </cell>
          <cell r="N556">
            <v>288</v>
          </cell>
          <cell r="O556">
            <v>432</v>
          </cell>
          <cell r="P556">
            <v>360</v>
          </cell>
          <cell r="Q556">
            <v>432</v>
          </cell>
          <cell r="R556">
            <v>288</v>
          </cell>
          <cell r="S556">
            <v>432</v>
          </cell>
          <cell r="T556">
            <v>432</v>
          </cell>
          <cell r="U556">
            <v>216</v>
          </cell>
          <cell r="V556">
            <v>432</v>
          </cell>
          <cell r="W556">
            <v>360</v>
          </cell>
          <cell r="X556">
            <v>144</v>
          </cell>
        </row>
        <row r="557">
          <cell r="E557">
            <v>1002186</v>
          </cell>
          <cell r="F557" t="str">
            <v>021</v>
          </cell>
          <cell r="G557" t="str">
            <v>3453 - JUVIA'S PLACE</v>
          </cell>
          <cell r="H557" t="str">
            <v>D</v>
          </cell>
          <cell r="I557" t="str">
            <v>A</v>
          </cell>
          <cell r="J557" t="str">
            <v>BASC</v>
          </cell>
          <cell r="K557">
            <v>10</v>
          </cell>
          <cell r="L557">
            <v>27504</v>
          </cell>
          <cell r="M557">
            <v>3744</v>
          </cell>
          <cell r="N557">
            <v>2304</v>
          </cell>
          <cell r="O557">
            <v>1440</v>
          </cell>
          <cell r="P557">
            <v>2448</v>
          </cell>
          <cell r="Q557">
            <v>1584</v>
          </cell>
          <cell r="R557">
            <v>1728</v>
          </cell>
          <cell r="S557">
            <v>3168</v>
          </cell>
          <cell r="T557">
            <v>3312</v>
          </cell>
          <cell r="U557">
            <v>2304</v>
          </cell>
          <cell r="V557">
            <v>2304</v>
          </cell>
          <cell r="W557">
            <v>2304</v>
          </cell>
          <cell r="X557">
            <v>864</v>
          </cell>
        </row>
        <row r="558">
          <cell r="E558">
            <v>1002636</v>
          </cell>
          <cell r="F558" t="str">
            <v>021</v>
          </cell>
          <cell r="G558" t="str">
            <v>3453 - JUVIA'S PLACE</v>
          </cell>
          <cell r="H558" t="str">
            <v>D</v>
          </cell>
          <cell r="I558" t="str">
            <v>A</v>
          </cell>
          <cell r="J558" t="str">
            <v>BASC</v>
          </cell>
          <cell r="K558">
            <v>6</v>
          </cell>
          <cell r="L558">
            <v>22032</v>
          </cell>
          <cell r="M558">
            <v>3024</v>
          </cell>
          <cell r="N558">
            <v>2304</v>
          </cell>
          <cell r="O558">
            <v>1584</v>
          </cell>
          <cell r="P558">
            <v>1584</v>
          </cell>
          <cell r="Q558">
            <v>1296</v>
          </cell>
          <cell r="R558">
            <v>1440</v>
          </cell>
          <cell r="S558">
            <v>1440</v>
          </cell>
          <cell r="T558">
            <v>2016</v>
          </cell>
          <cell r="U558">
            <v>2160</v>
          </cell>
          <cell r="V558">
            <v>2304</v>
          </cell>
          <cell r="W558">
            <v>1872</v>
          </cell>
          <cell r="X558">
            <v>1008</v>
          </cell>
        </row>
        <row r="559">
          <cell r="E559">
            <v>1200054</v>
          </cell>
          <cell r="F559" t="str">
            <v>021</v>
          </cell>
          <cell r="G559" t="str">
            <v>3453 - JUVIA'S PLACE</v>
          </cell>
          <cell r="H559" t="str">
            <v>F</v>
          </cell>
          <cell r="I559" t="str">
            <v>A</v>
          </cell>
          <cell r="J559" t="str">
            <v>BASC</v>
          </cell>
          <cell r="K559">
            <v>7.5</v>
          </cell>
          <cell r="L559">
            <v>2736</v>
          </cell>
          <cell r="M559">
            <v>288</v>
          </cell>
          <cell r="N559">
            <v>144</v>
          </cell>
          <cell r="O559">
            <v>144</v>
          </cell>
          <cell r="P559">
            <v>288</v>
          </cell>
          <cell r="Q559">
            <v>144</v>
          </cell>
          <cell r="R559">
            <v>144</v>
          </cell>
          <cell r="S559">
            <v>432</v>
          </cell>
          <cell r="T559">
            <v>144</v>
          </cell>
          <cell r="U559">
            <v>144</v>
          </cell>
          <cell r="V559">
            <v>576</v>
          </cell>
          <cell r="W559">
            <v>144</v>
          </cell>
          <cell r="X559">
            <v>144</v>
          </cell>
        </row>
        <row r="560">
          <cell r="E560">
            <v>1200057</v>
          </cell>
          <cell r="F560" t="str">
            <v>021</v>
          </cell>
          <cell r="G560" t="str">
            <v>3453 - JUVIA'S PLACE</v>
          </cell>
          <cell r="H560" t="str">
            <v>F</v>
          </cell>
          <cell r="I560" t="str">
            <v>A</v>
          </cell>
          <cell r="J560" t="str">
            <v>BASC</v>
          </cell>
          <cell r="K560">
            <v>7.5</v>
          </cell>
          <cell r="L560">
            <v>4896</v>
          </cell>
          <cell r="M560">
            <v>432</v>
          </cell>
          <cell r="N560">
            <v>576</v>
          </cell>
          <cell r="O560">
            <v>144</v>
          </cell>
          <cell r="P560">
            <v>576</v>
          </cell>
          <cell r="Q560">
            <v>432</v>
          </cell>
          <cell r="R560">
            <v>288</v>
          </cell>
          <cell r="S560">
            <v>288</v>
          </cell>
          <cell r="T560">
            <v>576</v>
          </cell>
          <cell r="U560">
            <v>288</v>
          </cell>
          <cell r="V560">
            <v>432</v>
          </cell>
          <cell r="W560">
            <v>576</v>
          </cell>
          <cell r="X560">
            <v>288</v>
          </cell>
        </row>
        <row r="561">
          <cell r="E561">
            <v>1002558</v>
          </cell>
          <cell r="F561" t="str">
            <v>021</v>
          </cell>
          <cell r="G561" t="str">
            <v>3453 - JUVIA'S PLACE</v>
          </cell>
          <cell r="H561" t="str">
            <v>F</v>
          </cell>
          <cell r="I561" t="str">
            <v>A</v>
          </cell>
          <cell r="J561" t="str">
            <v>SUMM</v>
          </cell>
          <cell r="K561">
            <v>7.5</v>
          </cell>
          <cell r="L561">
            <v>2736</v>
          </cell>
          <cell r="M561">
            <v>288</v>
          </cell>
          <cell r="N561">
            <v>0</v>
          </cell>
          <cell r="O561">
            <v>144</v>
          </cell>
          <cell r="P561">
            <v>288</v>
          </cell>
          <cell r="Q561">
            <v>144</v>
          </cell>
          <cell r="R561">
            <v>288</v>
          </cell>
          <cell r="S561">
            <v>288</v>
          </cell>
          <cell r="T561">
            <v>288</v>
          </cell>
          <cell r="U561">
            <v>144</v>
          </cell>
          <cell r="V561">
            <v>432</v>
          </cell>
          <cell r="W561">
            <v>288</v>
          </cell>
          <cell r="X561">
            <v>144</v>
          </cell>
        </row>
        <row r="562">
          <cell r="E562">
            <v>1002555</v>
          </cell>
          <cell r="F562" t="str">
            <v>021</v>
          </cell>
          <cell r="G562" t="str">
            <v>3453 - JUVIA'S PLACE</v>
          </cell>
          <cell r="H562" t="str">
            <v>F</v>
          </cell>
          <cell r="I562" t="str">
            <v>A</v>
          </cell>
          <cell r="J562" t="str">
            <v>SUMM</v>
          </cell>
          <cell r="K562">
            <v>7.5</v>
          </cell>
          <cell r="L562">
            <v>4896</v>
          </cell>
          <cell r="M562">
            <v>576</v>
          </cell>
          <cell r="N562">
            <v>144</v>
          </cell>
          <cell r="O562">
            <v>432</v>
          </cell>
          <cell r="P562">
            <v>288</v>
          </cell>
          <cell r="Q562">
            <v>432</v>
          </cell>
          <cell r="R562">
            <v>288</v>
          </cell>
          <cell r="S562">
            <v>576</v>
          </cell>
          <cell r="T562">
            <v>576</v>
          </cell>
          <cell r="U562">
            <v>288</v>
          </cell>
          <cell r="V562">
            <v>576</v>
          </cell>
          <cell r="W562">
            <v>288</v>
          </cell>
          <cell r="X562">
            <v>432</v>
          </cell>
        </row>
        <row r="563">
          <cell r="E563">
            <v>1200173</v>
          </cell>
          <cell r="F563" t="str">
            <v>021</v>
          </cell>
          <cell r="G563" t="str">
            <v>3453 - JUVIA'S PLACE</v>
          </cell>
          <cell r="H563" t="str">
            <v>E</v>
          </cell>
          <cell r="I563" t="str">
            <v>A</v>
          </cell>
          <cell r="J563" t="str">
            <v>BASC</v>
          </cell>
          <cell r="K563">
            <v>7.5</v>
          </cell>
          <cell r="L563">
            <v>9648</v>
          </cell>
          <cell r="M563">
            <v>1152</v>
          </cell>
          <cell r="N563">
            <v>1296</v>
          </cell>
          <cell r="O563">
            <v>432</v>
          </cell>
          <cell r="P563">
            <v>864</v>
          </cell>
          <cell r="Q563">
            <v>720</v>
          </cell>
          <cell r="R563">
            <v>864</v>
          </cell>
          <cell r="S563">
            <v>720</v>
          </cell>
          <cell r="T563">
            <v>864</v>
          </cell>
          <cell r="U563">
            <v>720</v>
          </cell>
          <cell r="V563">
            <v>864</v>
          </cell>
          <cell r="W563">
            <v>1008</v>
          </cell>
          <cell r="X563">
            <v>144</v>
          </cell>
        </row>
        <row r="564">
          <cell r="E564">
            <v>1200159</v>
          </cell>
          <cell r="F564" t="str">
            <v>021</v>
          </cell>
          <cell r="G564" t="str">
            <v>3453 - JUVIA'S PLACE</v>
          </cell>
          <cell r="H564" t="str">
            <v>E</v>
          </cell>
          <cell r="I564" t="str">
            <v>A</v>
          </cell>
          <cell r="J564" t="str">
            <v>BASC</v>
          </cell>
          <cell r="K564">
            <v>9</v>
          </cell>
          <cell r="L564">
            <v>4608</v>
          </cell>
          <cell r="M564">
            <v>288</v>
          </cell>
          <cell r="N564">
            <v>432</v>
          </cell>
          <cell r="O564">
            <v>432</v>
          </cell>
          <cell r="P564">
            <v>288</v>
          </cell>
          <cell r="Q564">
            <v>432</v>
          </cell>
          <cell r="R564">
            <v>432</v>
          </cell>
          <cell r="S564">
            <v>432</v>
          </cell>
          <cell r="T564">
            <v>288</v>
          </cell>
          <cell r="U564">
            <v>432</v>
          </cell>
          <cell r="V564">
            <v>576</v>
          </cell>
          <cell r="W564">
            <v>432</v>
          </cell>
          <cell r="X564">
            <v>144</v>
          </cell>
        </row>
        <row r="565">
          <cell r="E565">
            <v>1200164</v>
          </cell>
          <cell r="F565" t="str">
            <v>021</v>
          </cell>
          <cell r="G565" t="str">
            <v>3453 - JUVIA'S PLACE</v>
          </cell>
          <cell r="H565" t="str">
            <v>E</v>
          </cell>
          <cell r="I565" t="str">
            <v>A</v>
          </cell>
          <cell r="J565" t="str">
            <v>BASC</v>
          </cell>
          <cell r="K565">
            <v>9</v>
          </cell>
          <cell r="L565">
            <v>7920</v>
          </cell>
          <cell r="M565">
            <v>288</v>
          </cell>
          <cell r="N565">
            <v>576</v>
          </cell>
          <cell r="O565">
            <v>576</v>
          </cell>
          <cell r="P565">
            <v>576</v>
          </cell>
          <cell r="Q565">
            <v>720</v>
          </cell>
          <cell r="R565">
            <v>576</v>
          </cell>
          <cell r="S565">
            <v>720</v>
          </cell>
          <cell r="T565">
            <v>864</v>
          </cell>
          <cell r="U565">
            <v>1008</v>
          </cell>
          <cell r="V565">
            <v>720</v>
          </cell>
          <cell r="W565">
            <v>864</v>
          </cell>
          <cell r="X565">
            <v>432</v>
          </cell>
        </row>
        <row r="566">
          <cell r="E566">
            <v>1200172</v>
          </cell>
          <cell r="F566" t="str">
            <v>021</v>
          </cell>
          <cell r="G566" t="str">
            <v>3453 - JUVIA'S PLACE</v>
          </cell>
          <cell r="H566" t="str">
            <v>E</v>
          </cell>
          <cell r="I566" t="str">
            <v>A</v>
          </cell>
          <cell r="J566" t="str">
            <v>BASC</v>
          </cell>
          <cell r="K566">
            <v>7.5</v>
          </cell>
          <cell r="L566">
            <v>10512</v>
          </cell>
          <cell r="M566">
            <v>1440</v>
          </cell>
          <cell r="N566">
            <v>1152</v>
          </cell>
          <cell r="O566">
            <v>576</v>
          </cell>
          <cell r="P566">
            <v>864</v>
          </cell>
          <cell r="Q566">
            <v>864</v>
          </cell>
          <cell r="R566">
            <v>720</v>
          </cell>
          <cell r="S566">
            <v>864</v>
          </cell>
          <cell r="T566">
            <v>864</v>
          </cell>
          <cell r="U566">
            <v>1008</v>
          </cell>
          <cell r="V566">
            <v>864</v>
          </cell>
          <cell r="W566">
            <v>864</v>
          </cell>
          <cell r="X566">
            <v>432</v>
          </cell>
        </row>
        <row r="567">
          <cell r="E567">
            <v>1200176</v>
          </cell>
          <cell r="F567" t="str">
            <v>021</v>
          </cell>
          <cell r="G567" t="str">
            <v>3453 - JUVIA'S PLACE</v>
          </cell>
          <cell r="H567" t="str">
            <v>F</v>
          </cell>
          <cell r="I567" t="str">
            <v>A</v>
          </cell>
          <cell r="J567" t="str">
            <v>BASC</v>
          </cell>
          <cell r="K567">
            <v>7.5</v>
          </cell>
          <cell r="L567">
            <v>2304</v>
          </cell>
          <cell r="M567">
            <v>288</v>
          </cell>
          <cell r="N567">
            <v>288</v>
          </cell>
          <cell r="O567">
            <v>0</v>
          </cell>
          <cell r="P567">
            <v>288</v>
          </cell>
          <cell r="Q567">
            <v>144</v>
          </cell>
          <cell r="R567">
            <v>144</v>
          </cell>
          <cell r="S567">
            <v>288</v>
          </cell>
          <cell r="T567">
            <v>144</v>
          </cell>
          <cell r="U567">
            <v>144</v>
          </cell>
          <cell r="V567">
            <v>288</v>
          </cell>
          <cell r="W567">
            <v>288</v>
          </cell>
          <cell r="X567">
            <v>0</v>
          </cell>
        </row>
        <row r="568">
          <cell r="E568">
            <v>1002586</v>
          </cell>
          <cell r="F568" t="str">
            <v>021</v>
          </cell>
          <cell r="G568" t="str">
            <v>3453 - JUVIA'S PLACE</v>
          </cell>
          <cell r="H568" t="str">
            <v>E</v>
          </cell>
          <cell r="I568" t="str">
            <v>A</v>
          </cell>
          <cell r="J568" t="str">
            <v>BASC</v>
          </cell>
          <cell r="K568">
            <v>9.5</v>
          </cell>
          <cell r="L568">
            <v>11448</v>
          </cell>
          <cell r="M568">
            <v>1152</v>
          </cell>
          <cell r="N568">
            <v>1008</v>
          </cell>
          <cell r="O568">
            <v>792</v>
          </cell>
          <cell r="P568">
            <v>1152</v>
          </cell>
          <cell r="Q568">
            <v>1008</v>
          </cell>
          <cell r="R568">
            <v>864</v>
          </cell>
          <cell r="S568">
            <v>1080</v>
          </cell>
          <cell r="T568">
            <v>936</v>
          </cell>
          <cell r="U568">
            <v>936</v>
          </cell>
          <cell r="V568">
            <v>1224</v>
          </cell>
          <cell r="W568">
            <v>936</v>
          </cell>
          <cell r="X568">
            <v>360</v>
          </cell>
        </row>
        <row r="569">
          <cell r="E569">
            <v>1200227</v>
          </cell>
          <cell r="F569" t="str">
            <v>021</v>
          </cell>
          <cell r="G569" t="str">
            <v>3453 - JUVIA'S PLACE</v>
          </cell>
          <cell r="H569" t="str">
            <v>F</v>
          </cell>
          <cell r="I569" t="str">
            <v>A</v>
          </cell>
          <cell r="J569" t="str">
            <v>BASC</v>
          </cell>
          <cell r="K569">
            <v>7.5</v>
          </cell>
          <cell r="L569">
            <v>2016</v>
          </cell>
          <cell r="M569">
            <v>0</v>
          </cell>
          <cell r="N569">
            <v>0</v>
          </cell>
          <cell r="O569">
            <v>0</v>
          </cell>
          <cell r="P569">
            <v>432</v>
          </cell>
          <cell r="Q569">
            <v>0</v>
          </cell>
          <cell r="R569">
            <v>432</v>
          </cell>
          <cell r="S569">
            <v>288</v>
          </cell>
          <cell r="T569">
            <v>0</v>
          </cell>
          <cell r="U569">
            <v>288</v>
          </cell>
          <cell r="V569">
            <v>288</v>
          </cell>
          <cell r="W569">
            <v>288</v>
          </cell>
          <cell r="X569">
            <v>0</v>
          </cell>
        </row>
        <row r="570">
          <cell r="E570">
            <v>1200371</v>
          </cell>
          <cell r="F570" t="str">
            <v>021</v>
          </cell>
          <cell r="G570" t="str">
            <v>3453 - JUVIA'S PLACE</v>
          </cell>
          <cell r="H570" t="str">
            <v>F</v>
          </cell>
          <cell r="I570" t="str">
            <v>A</v>
          </cell>
          <cell r="J570" t="str">
            <v>BASC</v>
          </cell>
          <cell r="K570">
            <v>9</v>
          </cell>
          <cell r="L570">
            <v>3744</v>
          </cell>
          <cell r="M570">
            <v>144</v>
          </cell>
          <cell r="N570">
            <v>432</v>
          </cell>
          <cell r="O570">
            <v>144</v>
          </cell>
          <cell r="P570">
            <v>432</v>
          </cell>
          <cell r="Q570">
            <v>0</v>
          </cell>
          <cell r="R570">
            <v>576</v>
          </cell>
          <cell r="S570">
            <v>288</v>
          </cell>
          <cell r="T570">
            <v>288</v>
          </cell>
          <cell r="U570">
            <v>432</v>
          </cell>
          <cell r="V570">
            <v>432</v>
          </cell>
          <cell r="W570">
            <v>288</v>
          </cell>
          <cell r="X570">
            <v>288</v>
          </cell>
        </row>
        <row r="571">
          <cell r="E571">
            <v>1200504</v>
          </cell>
          <cell r="F571" t="str">
            <v>021</v>
          </cell>
          <cell r="G571" t="str">
            <v>3453 - JUVIA'S PLACE</v>
          </cell>
          <cell r="H571" t="str">
            <v>E</v>
          </cell>
          <cell r="I571" t="str">
            <v>A</v>
          </cell>
          <cell r="J571" t="str">
            <v>BASC</v>
          </cell>
          <cell r="K571">
            <v>8.5</v>
          </cell>
          <cell r="L571">
            <v>4176</v>
          </cell>
          <cell r="M571">
            <v>144</v>
          </cell>
          <cell r="N571">
            <v>288</v>
          </cell>
          <cell r="O571">
            <v>288</v>
          </cell>
          <cell r="P571">
            <v>432</v>
          </cell>
          <cell r="Q571">
            <v>288</v>
          </cell>
          <cell r="R571">
            <v>144</v>
          </cell>
          <cell r="S571">
            <v>576</v>
          </cell>
          <cell r="T571">
            <v>288</v>
          </cell>
          <cell r="U571">
            <v>432</v>
          </cell>
          <cell r="V571">
            <v>432</v>
          </cell>
          <cell r="W571">
            <v>720</v>
          </cell>
          <cell r="X571">
            <v>144</v>
          </cell>
        </row>
        <row r="572">
          <cell r="E572">
            <v>1200500</v>
          </cell>
          <cell r="F572" t="str">
            <v>021</v>
          </cell>
          <cell r="G572" t="str">
            <v>3453 - JUVIA'S PLACE</v>
          </cell>
          <cell r="H572" t="str">
            <v>F</v>
          </cell>
          <cell r="I572" t="str">
            <v>A</v>
          </cell>
          <cell r="J572" t="str">
            <v>BASC</v>
          </cell>
          <cell r="K572">
            <v>6.5</v>
          </cell>
          <cell r="L572">
            <v>6912</v>
          </cell>
          <cell r="M572">
            <v>576</v>
          </cell>
          <cell r="N572">
            <v>432</v>
          </cell>
          <cell r="O572">
            <v>720</v>
          </cell>
          <cell r="P572">
            <v>432</v>
          </cell>
          <cell r="Q572">
            <v>720</v>
          </cell>
          <cell r="R572">
            <v>432</v>
          </cell>
          <cell r="S572">
            <v>864</v>
          </cell>
          <cell r="T572">
            <v>432</v>
          </cell>
          <cell r="U572">
            <v>432</v>
          </cell>
          <cell r="V572">
            <v>1008</v>
          </cell>
          <cell r="W572">
            <v>432</v>
          </cell>
          <cell r="X572">
            <v>432</v>
          </cell>
        </row>
        <row r="573">
          <cell r="E573">
            <v>1000093</v>
          </cell>
          <cell r="F573" t="str">
            <v>021</v>
          </cell>
          <cell r="G573" t="str">
            <v>3453 - JUVIA'S PLACE</v>
          </cell>
          <cell r="H573" t="str">
            <v>E</v>
          </cell>
          <cell r="I573" t="str">
            <v>A</v>
          </cell>
          <cell r="J573" t="str">
            <v>BASC</v>
          </cell>
          <cell r="K573">
            <v>10</v>
          </cell>
          <cell r="L573">
            <v>12852</v>
          </cell>
          <cell r="M573">
            <v>2808</v>
          </cell>
          <cell r="N573">
            <v>1620</v>
          </cell>
          <cell r="O573">
            <v>648</v>
          </cell>
          <cell r="P573">
            <v>1080</v>
          </cell>
          <cell r="Q573">
            <v>756</v>
          </cell>
          <cell r="R573">
            <v>864</v>
          </cell>
          <cell r="S573">
            <v>972</v>
          </cell>
          <cell r="T573">
            <v>864</v>
          </cell>
          <cell r="U573">
            <v>756</v>
          </cell>
          <cell r="V573">
            <v>1080</v>
          </cell>
          <cell r="W573">
            <v>972</v>
          </cell>
          <cell r="X573">
            <v>432</v>
          </cell>
        </row>
        <row r="574">
          <cell r="E574">
            <v>1001612</v>
          </cell>
          <cell r="F574" t="str">
            <v>021</v>
          </cell>
          <cell r="G574" t="str">
            <v>3453 - JUVIA'S PLACE</v>
          </cell>
          <cell r="H574" t="str">
            <v>D</v>
          </cell>
          <cell r="I574" t="str">
            <v>A</v>
          </cell>
          <cell r="J574" t="str">
            <v>BASC</v>
          </cell>
          <cell r="K574">
            <v>10</v>
          </cell>
          <cell r="L574">
            <v>30840</v>
          </cell>
          <cell r="M574">
            <v>3960</v>
          </cell>
          <cell r="N574">
            <v>2160</v>
          </cell>
          <cell r="O574">
            <v>1800</v>
          </cell>
          <cell r="P574">
            <v>3360</v>
          </cell>
          <cell r="Q574">
            <v>2160</v>
          </cell>
          <cell r="R574">
            <v>2640</v>
          </cell>
          <cell r="S574">
            <v>2880</v>
          </cell>
          <cell r="T574">
            <v>2520</v>
          </cell>
          <cell r="U574">
            <v>2640</v>
          </cell>
          <cell r="V574">
            <v>3000</v>
          </cell>
          <cell r="W574">
            <v>2640</v>
          </cell>
          <cell r="X574">
            <v>1080</v>
          </cell>
        </row>
        <row r="575">
          <cell r="E575">
            <v>1000359</v>
          </cell>
          <cell r="F575" t="str">
            <v>021</v>
          </cell>
          <cell r="G575" t="str">
            <v>3453 - JUVIA'S PLACE</v>
          </cell>
          <cell r="H575" t="str">
            <v>F</v>
          </cell>
          <cell r="I575" t="str">
            <v>A</v>
          </cell>
          <cell r="J575" t="str">
            <v>BASC</v>
          </cell>
          <cell r="K575">
            <v>12.5</v>
          </cell>
          <cell r="L575">
            <v>5280</v>
          </cell>
          <cell r="M575">
            <v>864</v>
          </cell>
          <cell r="N575">
            <v>1152</v>
          </cell>
          <cell r="O575">
            <v>384</v>
          </cell>
          <cell r="P575">
            <v>288</v>
          </cell>
          <cell r="Q575">
            <v>384</v>
          </cell>
          <cell r="R575">
            <v>192</v>
          </cell>
          <cell r="S575">
            <v>576</v>
          </cell>
          <cell r="T575">
            <v>288</v>
          </cell>
          <cell r="U575">
            <v>288</v>
          </cell>
          <cell r="V575">
            <v>480</v>
          </cell>
          <cell r="W575">
            <v>192</v>
          </cell>
          <cell r="X575">
            <v>192</v>
          </cell>
        </row>
        <row r="576">
          <cell r="E576">
            <v>1000082</v>
          </cell>
          <cell r="F576" t="str">
            <v>021</v>
          </cell>
          <cell r="G576" t="str">
            <v>3453 - JUVIA'S PLACE</v>
          </cell>
          <cell r="H576" t="str">
            <v>F</v>
          </cell>
          <cell r="I576" t="str">
            <v>A</v>
          </cell>
          <cell r="J576" t="str">
            <v>BASC</v>
          </cell>
          <cell r="K576">
            <v>9</v>
          </cell>
          <cell r="L576">
            <v>5328</v>
          </cell>
          <cell r="M576">
            <v>432</v>
          </cell>
          <cell r="N576">
            <v>576</v>
          </cell>
          <cell r="O576">
            <v>432</v>
          </cell>
          <cell r="P576">
            <v>576</v>
          </cell>
          <cell r="Q576">
            <v>288</v>
          </cell>
          <cell r="R576">
            <v>432</v>
          </cell>
          <cell r="S576">
            <v>576</v>
          </cell>
          <cell r="T576">
            <v>432</v>
          </cell>
          <cell r="U576">
            <v>432</v>
          </cell>
          <cell r="V576">
            <v>576</v>
          </cell>
          <cell r="W576">
            <v>432</v>
          </cell>
          <cell r="X576">
            <v>144</v>
          </cell>
        </row>
        <row r="577">
          <cell r="E577">
            <v>1000583</v>
          </cell>
          <cell r="F577" t="str">
            <v>021</v>
          </cell>
          <cell r="G577" t="str">
            <v>3453 - JUVIA'S PLACE</v>
          </cell>
          <cell r="H577" t="str">
            <v>E</v>
          </cell>
          <cell r="I577" t="str">
            <v>A</v>
          </cell>
          <cell r="J577" t="str">
            <v>BASC</v>
          </cell>
          <cell r="K577">
            <v>9</v>
          </cell>
          <cell r="L577">
            <v>16416</v>
          </cell>
          <cell r="M577">
            <v>1728</v>
          </cell>
          <cell r="N577">
            <v>1584</v>
          </cell>
          <cell r="O577">
            <v>1008</v>
          </cell>
          <cell r="P577">
            <v>2016</v>
          </cell>
          <cell r="Q577">
            <v>1440</v>
          </cell>
          <cell r="R577">
            <v>1296</v>
          </cell>
          <cell r="S577">
            <v>1584</v>
          </cell>
          <cell r="T577">
            <v>1008</v>
          </cell>
          <cell r="U577">
            <v>1296</v>
          </cell>
          <cell r="V577">
            <v>1584</v>
          </cell>
          <cell r="W577">
            <v>1296</v>
          </cell>
          <cell r="X577">
            <v>576</v>
          </cell>
        </row>
        <row r="578">
          <cell r="E578">
            <v>1000582</v>
          </cell>
          <cell r="F578" t="str">
            <v>021</v>
          </cell>
          <cell r="G578" t="str">
            <v>3453 - JUVIA'S PLACE</v>
          </cell>
          <cell r="H578" t="str">
            <v>F</v>
          </cell>
          <cell r="I578" t="str">
            <v>A</v>
          </cell>
          <cell r="J578" t="str">
            <v>BASC</v>
          </cell>
          <cell r="K578">
            <v>9</v>
          </cell>
          <cell r="L578">
            <v>15696</v>
          </cell>
          <cell r="M578">
            <v>1872</v>
          </cell>
          <cell r="N578">
            <v>1008</v>
          </cell>
          <cell r="O578">
            <v>1152</v>
          </cell>
          <cell r="P578">
            <v>1584</v>
          </cell>
          <cell r="Q578">
            <v>1296</v>
          </cell>
          <cell r="R578">
            <v>1296</v>
          </cell>
          <cell r="S578">
            <v>1728</v>
          </cell>
          <cell r="T578">
            <v>1296</v>
          </cell>
          <cell r="U578">
            <v>1152</v>
          </cell>
          <cell r="V578">
            <v>1440</v>
          </cell>
          <cell r="W578">
            <v>1296</v>
          </cell>
          <cell r="X578">
            <v>576</v>
          </cell>
        </row>
        <row r="579">
          <cell r="E579">
            <v>1000077</v>
          </cell>
          <cell r="F579" t="str">
            <v>021</v>
          </cell>
          <cell r="G579" t="str">
            <v>3453 - JUVIA'S PLACE</v>
          </cell>
          <cell r="H579" t="str">
            <v>E</v>
          </cell>
          <cell r="I579" t="str">
            <v>A</v>
          </cell>
          <cell r="J579" t="str">
            <v>BASC</v>
          </cell>
          <cell r="K579">
            <v>9</v>
          </cell>
          <cell r="L579">
            <v>7056</v>
          </cell>
          <cell r="M579">
            <v>720</v>
          </cell>
          <cell r="N579">
            <v>576</v>
          </cell>
          <cell r="O579">
            <v>576</v>
          </cell>
          <cell r="P579">
            <v>1008</v>
          </cell>
          <cell r="Q579">
            <v>288</v>
          </cell>
          <cell r="R579">
            <v>576</v>
          </cell>
          <cell r="S579">
            <v>1008</v>
          </cell>
          <cell r="T579">
            <v>432</v>
          </cell>
          <cell r="U579">
            <v>288</v>
          </cell>
          <cell r="V579">
            <v>864</v>
          </cell>
          <cell r="W579">
            <v>576</v>
          </cell>
          <cell r="X579">
            <v>144</v>
          </cell>
        </row>
        <row r="580">
          <cell r="E580">
            <v>1000672</v>
          </cell>
          <cell r="F580" t="str">
            <v>021</v>
          </cell>
          <cell r="G580" t="str">
            <v>3453 - JUVIA'S PLACE</v>
          </cell>
          <cell r="H580" t="str">
            <v>E</v>
          </cell>
          <cell r="I580" t="str">
            <v>A</v>
          </cell>
          <cell r="J580" t="str">
            <v>BASC</v>
          </cell>
          <cell r="K580">
            <v>7.5</v>
          </cell>
          <cell r="L580">
            <v>9360</v>
          </cell>
          <cell r="M580">
            <v>1440</v>
          </cell>
          <cell r="N580">
            <v>720</v>
          </cell>
          <cell r="O580">
            <v>576</v>
          </cell>
          <cell r="P580">
            <v>864</v>
          </cell>
          <cell r="Q580">
            <v>576</v>
          </cell>
          <cell r="R580">
            <v>720</v>
          </cell>
          <cell r="S580">
            <v>720</v>
          </cell>
          <cell r="T580">
            <v>864</v>
          </cell>
          <cell r="U580">
            <v>720</v>
          </cell>
          <cell r="V580">
            <v>864</v>
          </cell>
          <cell r="W580">
            <v>1008</v>
          </cell>
          <cell r="X580">
            <v>288</v>
          </cell>
        </row>
        <row r="581">
          <cell r="E581">
            <v>1000665</v>
          </cell>
          <cell r="F581" t="str">
            <v>021</v>
          </cell>
          <cell r="G581" t="str">
            <v>3453 - JUVIA'S PLACE</v>
          </cell>
          <cell r="H581" t="str">
            <v>E</v>
          </cell>
          <cell r="I581" t="str">
            <v>A</v>
          </cell>
          <cell r="J581" t="str">
            <v>BASC</v>
          </cell>
          <cell r="K581">
            <v>7.5</v>
          </cell>
          <cell r="L581">
            <v>7200</v>
          </cell>
          <cell r="M581">
            <v>1296</v>
          </cell>
          <cell r="N581">
            <v>432</v>
          </cell>
          <cell r="O581">
            <v>576</v>
          </cell>
          <cell r="P581">
            <v>576</v>
          </cell>
          <cell r="Q581">
            <v>576</v>
          </cell>
          <cell r="R581">
            <v>288</v>
          </cell>
          <cell r="S581">
            <v>576</v>
          </cell>
          <cell r="T581">
            <v>864</v>
          </cell>
          <cell r="U581">
            <v>576</v>
          </cell>
          <cell r="V581">
            <v>576</v>
          </cell>
          <cell r="W581">
            <v>720</v>
          </cell>
          <cell r="X581">
            <v>144</v>
          </cell>
        </row>
        <row r="582">
          <cell r="E582">
            <v>1000674</v>
          </cell>
          <cell r="F582" t="str">
            <v>021</v>
          </cell>
          <cell r="G582" t="str">
            <v>3453 - JUVIA'S PLACE</v>
          </cell>
          <cell r="H582" t="str">
            <v>F</v>
          </cell>
          <cell r="I582" t="str">
            <v>A</v>
          </cell>
          <cell r="J582" t="str">
            <v>BASC</v>
          </cell>
          <cell r="K582">
            <v>7.5</v>
          </cell>
          <cell r="L582">
            <v>5184</v>
          </cell>
          <cell r="M582">
            <v>576</v>
          </cell>
          <cell r="N582">
            <v>576</v>
          </cell>
          <cell r="O582">
            <v>432</v>
          </cell>
          <cell r="P582">
            <v>576</v>
          </cell>
          <cell r="Q582">
            <v>144</v>
          </cell>
          <cell r="R582">
            <v>432</v>
          </cell>
          <cell r="S582">
            <v>432</v>
          </cell>
          <cell r="T582">
            <v>432</v>
          </cell>
          <cell r="U582">
            <v>432</v>
          </cell>
          <cell r="V582">
            <v>576</v>
          </cell>
          <cell r="W582">
            <v>576</v>
          </cell>
          <cell r="X582">
            <v>0</v>
          </cell>
        </row>
        <row r="583">
          <cell r="E583">
            <v>1000671</v>
          </cell>
          <cell r="F583" t="str">
            <v>021</v>
          </cell>
          <cell r="G583" t="str">
            <v>3453 - JUVIA'S PLACE</v>
          </cell>
          <cell r="H583" t="str">
            <v>E</v>
          </cell>
          <cell r="I583" t="str">
            <v>A</v>
          </cell>
          <cell r="J583" t="str">
            <v>BASC</v>
          </cell>
          <cell r="K583">
            <v>7.5</v>
          </cell>
          <cell r="L583">
            <v>8784</v>
          </cell>
          <cell r="M583">
            <v>1440</v>
          </cell>
          <cell r="N583">
            <v>720</v>
          </cell>
          <cell r="O583">
            <v>576</v>
          </cell>
          <cell r="P583">
            <v>720</v>
          </cell>
          <cell r="Q583">
            <v>576</v>
          </cell>
          <cell r="R583">
            <v>576</v>
          </cell>
          <cell r="S583">
            <v>864</v>
          </cell>
          <cell r="T583">
            <v>576</v>
          </cell>
          <cell r="U583">
            <v>864</v>
          </cell>
          <cell r="V583">
            <v>576</v>
          </cell>
          <cell r="W583">
            <v>1008</v>
          </cell>
          <cell r="X583">
            <v>288</v>
          </cell>
        </row>
        <row r="584">
          <cell r="E584">
            <v>1000744</v>
          </cell>
          <cell r="F584" t="str">
            <v>021</v>
          </cell>
          <cell r="G584" t="str">
            <v>3453 - JUVIA'S PLACE</v>
          </cell>
          <cell r="H584" t="str">
            <v>F</v>
          </cell>
          <cell r="I584" t="str">
            <v>A</v>
          </cell>
          <cell r="J584" t="str">
            <v>BASC</v>
          </cell>
          <cell r="K584">
            <v>7.5</v>
          </cell>
          <cell r="L584">
            <v>5904</v>
          </cell>
          <cell r="M584">
            <v>576</v>
          </cell>
          <cell r="N584">
            <v>576</v>
          </cell>
          <cell r="O584">
            <v>576</v>
          </cell>
          <cell r="P584">
            <v>432</v>
          </cell>
          <cell r="Q584">
            <v>288</v>
          </cell>
          <cell r="R584">
            <v>576</v>
          </cell>
          <cell r="S584">
            <v>432</v>
          </cell>
          <cell r="T584">
            <v>576</v>
          </cell>
          <cell r="U584">
            <v>288</v>
          </cell>
          <cell r="V584">
            <v>720</v>
          </cell>
          <cell r="W584">
            <v>432</v>
          </cell>
          <cell r="X584">
            <v>432</v>
          </cell>
        </row>
        <row r="585">
          <cell r="E585">
            <v>1000739</v>
          </cell>
          <cell r="F585" t="str">
            <v>021</v>
          </cell>
          <cell r="G585" t="str">
            <v>3453 - JUVIA'S PLACE</v>
          </cell>
          <cell r="H585" t="str">
            <v>F</v>
          </cell>
          <cell r="I585" t="str">
            <v>A</v>
          </cell>
          <cell r="J585" t="str">
            <v>BASC</v>
          </cell>
          <cell r="K585">
            <v>7.5</v>
          </cell>
          <cell r="L585">
            <v>4032</v>
          </cell>
          <cell r="M585">
            <v>432</v>
          </cell>
          <cell r="N585">
            <v>432</v>
          </cell>
          <cell r="O585">
            <v>432</v>
          </cell>
          <cell r="P585">
            <v>144</v>
          </cell>
          <cell r="Q585">
            <v>144</v>
          </cell>
          <cell r="R585">
            <v>432</v>
          </cell>
          <cell r="S585">
            <v>288</v>
          </cell>
          <cell r="T585">
            <v>288</v>
          </cell>
          <cell r="U585">
            <v>432</v>
          </cell>
          <cell r="V585">
            <v>288</v>
          </cell>
          <cell r="W585">
            <v>432</v>
          </cell>
          <cell r="X585">
            <v>288</v>
          </cell>
        </row>
        <row r="586">
          <cell r="E586">
            <v>1001059</v>
          </cell>
          <cell r="F586" t="str">
            <v>021</v>
          </cell>
          <cell r="G586" t="str">
            <v>3453 - JUVIA'S PLACE</v>
          </cell>
          <cell r="H586" t="str">
            <v>E</v>
          </cell>
          <cell r="I586" t="str">
            <v>A</v>
          </cell>
          <cell r="J586" t="str">
            <v>BASC</v>
          </cell>
          <cell r="K586">
            <v>7.5</v>
          </cell>
          <cell r="L586">
            <v>13248</v>
          </cell>
          <cell r="M586">
            <v>2160</v>
          </cell>
          <cell r="N586">
            <v>1296</v>
          </cell>
          <cell r="O586">
            <v>576</v>
          </cell>
          <cell r="P586">
            <v>1296</v>
          </cell>
          <cell r="Q586">
            <v>1152</v>
          </cell>
          <cell r="R586">
            <v>864</v>
          </cell>
          <cell r="S586">
            <v>1152</v>
          </cell>
          <cell r="T586">
            <v>1008</v>
          </cell>
          <cell r="U586">
            <v>864</v>
          </cell>
          <cell r="V586">
            <v>1296</v>
          </cell>
          <cell r="W586">
            <v>1008</v>
          </cell>
          <cell r="X586">
            <v>576</v>
          </cell>
        </row>
        <row r="587">
          <cell r="E587">
            <v>1001058</v>
          </cell>
          <cell r="F587" t="str">
            <v>021</v>
          </cell>
          <cell r="G587" t="str">
            <v>3453 - JUVIA'S PLACE</v>
          </cell>
          <cell r="H587" t="str">
            <v>F</v>
          </cell>
          <cell r="I587" t="str">
            <v>A</v>
          </cell>
          <cell r="J587" t="str">
            <v>BASC</v>
          </cell>
          <cell r="K587">
            <v>7</v>
          </cell>
          <cell r="L587">
            <v>6624</v>
          </cell>
          <cell r="M587">
            <v>1008</v>
          </cell>
          <cell r="N587">
            <v>576</v>
          </cell>
          <cell r="O587">
            <v>288</v>
          </cell>
          <cell r="P587">
            <v>576</v>
          </cell>
          <cell r="Q587">
            <v>576</v>
          </cell>
          <cell r="R587">
            <v>144</v>
          </cell>
          <cell r="S587">
            <v>864</v>
          </cell>
          <cell r="T587">
            <v>576</v>
          </cell>
          <cell r="U587">
            <v>576</v>
          </cell>
          <cell r="V587">
            <v>720</v>
          </cell>
          <cell r="W587">
            <v>576</v>
          </cell>
          <cell r="X587">
            <v>144</v>
          </cell>
        </row>
        <row r="588">
          <cell r="E588">
            <v>1002106</v>
          </cell>
          <cell r="F588" t="str">
            <v>021</v>
          </cell>
          <cell r="G588" t="str">
            <v>3453 - JUVIA'S PLACE</v>
          </cell>
          <cell r="H588" t="str">
            <v>F</v>
          </cell>
          <cell r="I588" t="str">
            <v>A</v>
          </cell>
          <cell r="J588" t="str">
            <v>BASC</v>
          </cell>
          <cell r="K588">
            <v>7.5</v>
          </cell>
          <cell r="L588">
            <v>7920</v>
          </cell>
          <cell r="M588">
            <v>1296</v>
          </cell>
          <cell r="N588">
            <v>720</v>
          </cell>
          <cell r="O588">
            <v>288</v>
          </cell>
          <cell r="P588">
            <v>720</v>
          </cell>
          <cell r="Q588">
            <v>576</v>
          </cell>
          <cell r="R588">
            <v>576</v>
          </cell>
          <cell r="S588">
            <v>720</v>
          </cell>
          <cell r="T588">
            <v>720</v>
          </cell>
          <cell r="U588">
            <v>720</v>
          </cell>
          <cell r="V588">
            <v>720</v>
          </cell>
          <cell r="W588">
            <v>576</v>
          </cell>
          <cell r="X588">
            <v>288</v>
          </cell>
        </row>
        <row r="589">
          <cell r="E589">
            <v>1002274</v>
          </cell>
          <cell r="F589" t="str">
            <v>021</v>
          </cell>
          <cell r="G589" t="str">
            <v>3453 - JUVIA'S PLACE</v>
          </cell>
          <cell r="H589" t="str">
            <v>E</v>
          </cell>
          <cell r="I589" t="str">
            <v>A</v>
          </cell>
          <cell r="J589" t="str">
            <v>BASC</v>
          </cell>
          <cell r="K589">
            <v>7.5</v>
          </cell>
          <cell r="L589">
            <v>17424</v>
          </cell>
          <cell r="M589">
            <v>2592</v>
          </cell>
          <cell r="N589">
            <v>1296</v>
          </cell>
          <cell r="O589">
            <v>1008</v>
          </cell>
          <cell r="P589">
            <v>1584</v>
          </cell>
          <cell r="Q589">
            <v>1152</v>
          </cell>
          <cell r="R589">
            <v>1440</v>
          </cell>
          <cell r="S589">
            <v>1296</v>
          </cell>
          <cell r="T589">
            <v>1440</v>
          </cell>
          <cell r="U589">
            <v>1584</v>
          </cell>
          <cell r="V589">
            <v>1584</v>
          </cell>
          <cell r="W589">
            <v>1584</v>
          </cell>
          <cell r="X589">
            <v>864</v>
          </cell>
        </row>
        <row r="590">
          <cell r="E590">
            <v>1002275</v>
          </cell>
          <cell r="F590" t="str">
            <v>021</v>
          </cell>
          <cell r="G590" t="str">
            <v>3453 - JUVIA'S PLACE</v>
          </cell>
          <cell r="H590" t="str">
            <v>F</v>
          </cell>
          <cell r="I590" t="str">
            <v>A</v>
          </cell>
          <cell r="J590" t="str">
            <v>BASC</v>
          </cell>
          <cell r="K590">
            <v>7.5</v>
          </cell>
          <cell r="L590">
            <v>7776</v>
          </cell>
          <cell r="M590">
            <v>864</v>
          </cell>
          <cell r="N590">
            <v>720</v>
          </cell>
          <cell r="O590">
            <v>432</v>
          </cell>
          <cell r="P590">
            <v>864</v>
          </cell>
          <cell r="Q590">
            <v>432</v>
          </cell>
          <cell r="R590">
            <v>432</v>
          </cell>
          <cell r="S590">
            <v>864</v>
          </cell>
          <cell r="T590">
            <v>720</v>
          </cell>
          <cell r="U590">
            <v>576</v>
          </cell>
          <cell r="V590">
            <v>720</v>
          </cell>
          <cell r="W590">
            <v>864</v>
          </cell>
          <cell r="X590">
            <v>288</v>
          </cell>
        </row>
        <row r="591">
          <cell r="E591">
            <v>1002273</v>
          </cell>
          <cell r="F591" t="str">
            <v>021</v>
          </cell>
          <cell r="G591" t="str">
            <v>3453 - JUVIA'S PLACE</v>
          </cell>
          <cell r="H591" t="str">
            <v>E</v>
          </cell>
          <cell r="I591" t="str">
            <v>A</v>
          </cell>
          <cell r="J591" t="str">
            <v>BASC</v>
          </cell>
          <cell r="K591">
            <v>7.5</v>
          </cell>
          <cell r="L591">
            <v>15120</v>
          </cell>
          <cell r="M591">
            <v>2016</v>
          </cell>
          <cell r="N591">
            <v>1152</v>
          </cell>
          <cell r="O591">
            <v>1008</v>
          </cell>
          <cell r="P591">
            <v>1440</v>
          </cell>
          <cell r="Q591">
            <v>1008</v>
          </cell>
          <cell r="R591">
            <v>1152</v>
          </cell>
          <cell r="S591">
            <v>1440</v>
          </cell>
          <cell r="T591">
            <v>1296</v>
          </cell>
          <cell r="U591">
            <v>1152</v>
          </cell>
          <cell r="V591">
            <v>1296</v>
          </cell>
          <cell r="W591">
            <v>1584</v>
          </cell>
          <cell r="X591">
            <v>576</v>
          </cell>
        </row>
        <row r="592">
          <cell r="E592">
            <v>1002399</v>
          </cell>
          <cell r="F592" t="str">
            <v>021</v>
          </cell>
          <cell r="G592" t="str">
            <v>3453 - JUVIA'S PLACE</v>
          </cell>
          <cell r="H592" t="str">
            <v>F</v>
          </cell>
          <cell r="I592" t="str">
            <v>A</v>
          </cell>
          <cell r="J592" t="str">
            <v>BASC</v>
          </cell>
          <cell r="K592">
            <v>7.5</v>
          </cell>
          <cell r="L592">
            <v>4896</v>
          </cell>
          <cell r="M592">
            <v>432</v>
          </cell>
          <cell r="N592">
            <v>576</v>
          </cell>
          <cell r="O592">
            <v>288</v>
          </cell>
          <cell r="P592">
            <v>576</v>
          </cell>
          <cell r="Q592">
            <v>0</v>
          </cell>
          <cell r="R592">
            <v>576</v>
          </cell>
          <cell r="S592">
            <v>576</v>
          </cell>
          <cell r="T592">
            <v>144</v>
          </cell>
          <cell r="U592">
            <v>576</v>
          </cell>
          <cell r="V592">
            <v>432</v>
          </cell>
          <cell r="W592">
            <v>576</v>
          </cell>
          <cell r="X592">
            <v>144</v>
          </cell>
        </row>
        <row r="593">
          <cell r="E593">
            <v>1002402</v>
          </cell>
          <cell r="F593" t="str">
            <v>021</v>
          </cell>
          <cell r="G593" t="str">
            <v>3453 - JUVIA'S PLACE</v>
          </cell>
          <cell r="H593" t="str">
            <v>F</v>
          </cell>
          <cell r="I593" t="str">
            <v>A</v>
          </cell>
          <cell r="J593" t="str">
            <v>BASC</v>
          </cell>
          <cell r="K593">
            <v>7.5</v>
          </cell>
          <cell r="L593">
            <v>5472</v>
          </cell>
          <cell r="M593">
            <v>576</v>
          </cell>
          <cell r="N593">
            <v>576</v>
          </cell>
          <cell r="O593">
            <v>432</v>
          </cell>
          <cell r="P593">
            <v>576</v>
          </cell>
          <cell r="Q593">
            <v>288</v>
          </cell>
          <cell r="R593">
            <v>432</v>
          </cell>
          <cell r="S593">
            <v>288</v>
          </cell>
          <cell r="T593">
            <v>576</v>
          </cell>
          <cell r="U593">
            <v>288</v>
          </cell>
          <cell r="V593">
            <v>576</v>
          </cell>
          <cell r="W593">
            <v>576</v>
          </cell>
          <cell r="X593">
            <v>288</v>
          </cell>
        </row>
        <row r="594">
          <cell r="E594">
            <v>1200163</v>
          </cell>
          <cell r="F594" t="str">
            <v>021</v>
          </cell>
          <cell r="G594" t="str">
            <v>3453 - JUVIA'S PLACE</v>
          </cell>
          <cell r="H594" t="str">
            <v>E</v>
          </cell>
          <cell r="I594" t="str">
            <v>A</v>
          </cell>
          <cell r="J594" t="str">
            <v>BASC</v>
          </cell>
          <cell r="K594">
            <v>9</v>
          </cell>
          <cell r="L594">
            <v>7632</v>
          </cell>
          <cell r="M594">
            <v>720</v>
          </cell>
          <cell r="N594">
            <v>864</v>
          </cell>
          <cell r="O594">
            <v>576</v>
          </cell>
          <cell r="P594">
            <v>432</v>
          </cell>
          <cell r="Q594">
            <v>720</v>
          </cell>
          <cell r="R594">
            <v>576</v>
          </cell>
          <cell r="S594">
            <v>576</v>
          </cell>
          <cell r="T594">
            <v>576</v>
          </cell>
          <cell r="U594">
            <v>720</v>
          </cell>
          <cell r="V594">
            <v>864</v>
          </cell>
          <cell r="W594">
            <v>576</v>
          </cell>
          <cell r="X594">
            <v>432</v>
          </cell>
        </row>
        <row r="595">
          <cell r="E595">
            <v>1200215</v>
          </cell>
          <cell r="F595" t="str">
            <v>021</v>
          </cell>
          <cell r="G595" t="str">
            <v>3453 - JUVIA'S PLACE</v>
          </cell>
          <cell r="H595" t="str">
            <v>F</v>
          </cell>
          <cell r="I595" t="str">
            <v>A</v>
          </cell>
          <cell r="J595" t="str">
            <v>BASC</v>
          </cell>
          <cell r="K595">
            <v>12.5</v>
          </cell>
          <cell r="L595">
            <v>2592</v>
          </cell>
          <cell r="M595">
            <v>144</v>
          </cell>
          <cell r="N595">
            <v>144</v>
          </cell>
          <cell r="O595">
            <v>288</v>
          </cell>
          <cell r="P595">
            <v>216</v>
          </cell>
          <cell r="Q595">
            <v>144</v>
          </cell>
          <cell r="R595">
            <v>216</v>
          </cell>
          <cell r="S595">
            <v>288</v>
          </cell>
          <cell r="T595">
            <v>288</v>
          </cell>
          <cell r="U595">
            <v>72</v>
          </cell>
          <cell r="V595">
            <v>504</v>
          </cell>
          <cell r="W595">
            <v>144</v>
          </cell>
          <cell r="X595">
            <v>144</v>
          </cell>
        </row>
        <row r="596">
          <cell r="E596">
            <v>1200238</v>
          </cell>
          <cell r="F596" t="str">
            <v>021</v>
          </cell>
          <cell r="G596" t="str">
            <v>3453 - JUVIA'S PLACE</v>
          </cell>
          <cell r="H596" t="str">
            <v>D</v>
          </cell>
          <cell r="I596" t="str">
            <v>A</v>
          </cell>
          <cell r="J596" t="str">
            <v>SUMM</v>
          </cell>
          <cell r="K596">
            <v>6</v>
          </cell>
          <cell r="L596">
            <v>11952</v>
          </cell>
          <cell r="M596">
            <v>1152</v>
          </cell>
          <cell r="N596">
            <v>1152</v>
          </cell>
          <cell r="O596">
            <v>432</v>
          </cell>
          <cell r="P596">
            <v>1008</v>
          </cell>
          <cell r="Q596">
            <v>864</v>
          </cell>
          <cell r="R596">
            <v>864</v>
          </cell>
          <cell r="S596">
            <v>864</v>
          </cell>
          <cell r="T596">
            <v>864</v>
          </cell>
          <cell r="U596">
            <v>1440</v>
          </cell>
          <cell r="V596">
            <v>1440</v>
          </cell>
          <cell r="W596">
            <v>1152</v>
          </cell>
          <cell r="X596">
            <v>720</v>
          </cell>
        </row>
        <row r="597">
          <cell r="E597">
            <v>1200364</v>
          </cell>
          <cell r="F597" t="str">
            <v>021</v>
          </cell>
          <cell r="G597" t="str">
            <v>3453 - JUVIA'S PLACE</v>
          </cell>
          <cell r="H597" t="str">
            <v>D</v>
          </cell>
          <cell r="I597" t="str">
            <v>A</v>
          </cell>
          <cell r="J597" t="str">
            <v>BASC</v>
          </cell>
          <cell r="K597">
            <v>12.5</v>
          </cell>
          <cell r="L597">
            <v>9720</v>
          </cell>
          <cell r="M597">
            <v>648</v>
          </cell>
          <cell r="N597">
            <v>720</v>
          </cell>
          <cell r="O597">
            <v>576</v>
          </cell>
          <cell r="P597">
            <v>1152</v>
          </cell>
          <cell r="Q597">
            <v>792</v>
          </cell>
          <cell r="R597">
            <v>720</v>
          </cell>
          <cell r="S597">
            <v>1152</v>
          </cell>
          <cell r="T597">
            <v>792</v>
          </cell>
          <cell r="U597">
            <v>864</v>
          </cell>
          <cell r="V597">
            <v>1080</v>
          </cell>
          <cell r="W597">
            <v>792</v>
          </cell>
          <cell r="X597">
            <v>432</v>
          </cell>
        </row>
        <row r="598">
          <cell r="E598">
            <v>1200240</v>
          </cell>
          <cell r="F598" t="str">
            <v>021</v>
          </cell>
          <cell r="G598" t="str">
            <v>3453 - JUVIA'S PLACE</v>
          </cell>
          <cell r="H598" t="str">
            <v>D</v>
          </cell>
          <cell r="I598" t="str">
            <v>A</v>
          </cell>
          <cell r="J598" t="str">
            <v>BASC</v>
          </cell>
          <cell r="K598">
            <v>12.5</v>
          </cell>
          <cell r="L598">
            <v>9216</v>
          </cell>
          <cell r="M598">
            <v>576</v>
          </cell>
          <cell r="N598">
            <v>792</v>
          </cell>
          <cell r="O598">
            <v>576</v>
          </cell>
          <cell r="P598">
            <v>1008</v>
          </cell>
          <cell r="Q598">
            <v>792</v>
          </cell>
          <cell r="R598">
            <v>648</v>
          </cell>
          <cell r="S598">
            <v>1008</v>
          </cell>
          <cell r="T598">
            <v>792</v>
          </cell>
          <cell r="U598">
            <v>792</v>
          </cell>
          <cell r="V598">
            <v>1008</v>
          </cell>
          <cell r="W598">
            <v>792</v>
          </cell>
          <cell r="X598">
            <v>432</v>
          </cell>
        </row>
        <row r="599">
          <cell r="E599">
            <v>1200369</v>
          </cell>
          <cell r="F599" t="str">
            <v>021</v>
          </cell>
          <cell r="G599" t="str">
            <v>3453 - JUVIA'S PLACE</v>
          </cell>
          <cell r="H599" t="str">
            <v>F</v>
          </cell>
          <cell r="I599" t="str">
            <v>A</v>
          </cell>
          <cell r="J599" t="str">
            <v>BASC</v>
          </cell>
          <cell r="K599">
            <v>9</v>
          </cell>
          <cell r="L599">
            <v>3600</v>
          </cell>
          <cell r="M599">
            <v>432</v>
          </cell>
          <cell r="N599">
            <v>288</v>
          </cell>
          <cell r="O599">
            <v>0</v>
          </cell>
          <cell r="P599">
            <v>288</v>
          </cell>
          <cell r="Q599">
            <v>144</v>
          </cell>
          <cell r="R599">
            <v>432</v>
          </cell>
          <cell r="S599">
            <v>288</v>
          </cell>
          <cell r="T599">
            <v>144</v>
          </cell>
          <cell r="U599">
            <v>432</v>
          </cell>
          <cell r="V599">
            <v>432</v>
          </cell>
          <cell r="W599">
            <v>432</v>
          </cell>
          <cell r="X599">
            <v>288</v>
          </cell>
        </row>
        <row r="600">
          <cell r="E600">
            <v>1200495</v>
          </cell>
          <cell r="F600" t="str">
            <v>021</v>
          </cell>
          <cell r="G600" t="str">
            <v>3453 - JUVIA'S PLACE</v>
          </cell>
          <cell r="H600" t="str">
            <v>E</v>
          </cell>
          <cell r="I600" t="str">
            <v>A</v>
          </cell>
          <cell r="J600" t="str">
            <v>BASC</v>
          </cell>
          <cell r="K600">
            <v>6.5</v>
          </cell>
          <cell r="L600">
            <v>12528</v>
          </cell>
          <cell r="M600">
            <v>1008</v>
          </cell>
          <cell r="N600">
            <v>1296</v>
          </cell>
          <cell r="O600">
            <v>720</v>
          </cell>
          <cell r="P600">
            <v>1296</v>
          </cell>
          <cell r="Q600">
            <v>1008</v>
          </cell>
          <cell r="R600">
            <v>1008</v>
          </cell>
          <cell r="S600">
            <v>1296</v>
          </cell>
          <cell r="T600">
            <v>864</v>
          </cell>
          <cell r="U600">
            <v>1008</v>
          </cell>
          <cell r="V600">
            <v>1440</v>
          </cell>
          <cell r="W600">
            <v>1008</v>
          </cell>
          <cell r="X600">
            <v>576</v>
          </cell>
        </row>
        <row r="601">
          <cell r="E601">
            <v>1200592</v>
          </cell>
          <cell r="F601" t="str">
            <v>021</v>
          </cell>
          <cell r="G601" t="str">
            <v>3453 - JUVIA'S PLACE</v>
          </cell>
          <cell r="H601" t="str">
            <v>E</v>
          </cell>
          <cell r="I601" t="str">
            <v>A</v>
          </cell>
          <cell r="J601" t="str">
            <v>BASC</v>
          </cell>
          <cell r="K601">
            <v>7.5</v>
          </cell>
          <cell r="L601">
            <v>6048</v>
          </cell>
          <cell r="M601">
            <v>288</v>
          </cell>
          <cell r="N601">
            <v>576</v>
          </cell>
          <cell r="O601">
            <v>144</v>
          </cell>
          <cell r="P601">
            <v>432</v>
          </cell>
          <cell r="Q601">
            <v>576</v>
          </cell>
          <cell r="R601">
            <v>288</v>
          </cell>
          <cell r="S601">
            <v>864</v>
          </cell>
          <cell r="T601">
            <v>288</v>
          </cell>
          <cell r="U601">
            <v>576</v>
          </cell>
          <cell r="V601">
            <v>1008</v>
          </cell>
          <cell r="W601">
            <v>720</v>
          </cell>
          <cell r="X601">
            <v>288</v>
          </cell>
        </row>
        <row r="602">
          <cell r="E602">
            <v>1000094</v>
          </cell>
          <cell r="F602" t="str">
            <v>021</v>
          </cell>
          <cell r="G602" t="str">
            <v>3453 - JUVIA'S PLACE</v>
          </cell>
          <cell r="H602" t="str">
            <v>E</v>
          </cell>
          <cell r="I602" t="str">
            <v>A</v>
          </cell>
          <cell r="J602" t="str">
            <v>BASC</v>
          </cell>
          <cell r="K602">
            <v>10</v>
          </cell>
          <cell r="L602">
            <v>10152</v>
          </cell>
          <cell r="M602">
            <v>2592</v>
          </cell>
          <cell r="N602">
            <v>1728</v>
          </cell>
          <cell r="O602">
            <v>216</v>
          </cell>
          <cell r="P602">
            <v>540</v>
          </cell>
          <cell r="Q602">
            <v>432</v>
          </cell>
          <cell r="R602">
            <v>864</v>
          </cell>
          <cell r="S602">
            <v>756</v>
          </cell>
          <cell r="T602">
            <v>648</v>
          </cell>
          <cell r="U602">
            <v>864</v>
          </cell>
          <cell r="V602">
            <v>540</v>
          </cell>
          <cell r="W602">
            <v>756</v>
          </cell>
          <cell r="X602">
            <v>216</v>
          </cell>
        </row>
        <row r="603">
          <cell r="E603">
            <v>1000097</v>
          </cell>
          <cell r="F603" t="str">
            <v>021</v>
          </cell>
          <cell r="G603" t="str">
            <v>3453 - JUVIA'S PLACE</v>
          </cell>
          <cell r="H603" t="str">
            <v>E</v>
          </cell>
          <cell r="I603" t="str">
            <v>A</v>
          </cell>
          <cell r="J603" t="str">
            <v>BASC</v>
          </cell>
          <cell r="K603">
            <v>12.5</v>
          </cell>
          <cell r="L603">
            <v>7680</v>
          </cell>
          <cell r="M603">
            <v>1344</v>
          </cell>
          <cell r="N603">
            <v>768</v>
          </cell>
          <cell r="O603">
            <v>480</v>
          </cell>
          <cell r="P603">
            <v>672</v>
          </cell>
          <cell r="Q603">
            <v>480</v>
          </cell>
          <cell r="R603">
            <v>672</v>
          </cell>
          <cell r="S603">
            <v>672</v>
          </cell>
          <cell r="T603">
            <v>576</v>
          </cell>
          <cell r="U603">
            <v>672</v>
          </cell>
          <cell r="V603">
            <v>480</v>
          </cell>
          <cell r="W603">
            <v>672</v>
          </cell>
          <cell r="X603">
            <v>192</v>
          </cell>
        </row>
        <row r="604">
          <cell r="E604">
            <v>1000803</v>
          </cell>
          <cell r="F604" t="str">
            <v>021</v>
          </cell>
          <cell r="G604" t="str">
            <v>3453 - JUVIA'S PLACE</v>
          </cell>
          <cell r="H604" t="str">
            <v>F</v>
          </cell>
          <cell r="I604" t="str">
            <v>A</v>
          </cell>
          <cell r="J604" t="str">
            <v>BASC</v>
          </cell>
          <cell r="K604">
            <v>7.5</v>
          </cell>
          <cell r="L604">
            <v>6768</v>
          </cell>
          <cell r="M604">
            <v>576</v>
          </cell>
          <cell r="N604">
            <v>864</v>
          </cell>
          <cell r="O604">
            <v>432</v>
          </cell>
          <cell r="P604">
            <v>720</v>
          </cell>
          <cell r="Q604">
            <v>432</v>
          </cell>
          <cell r="R604">
            <v>576</v>
          </cell>
          <cell r="S604">
            <v>864</v>
          </cell>
          <cell r="T604">
            <v>432</v>
          </cell>
          <cell r="U604">
            <v>432</v>
          </cell>
          <cell r="V604">
            <v>720</v>
          </cell>
          <cell r="W604">
            <v>576</v>
          </cell>
          <cell r="X604">
            <v>144</v>
          </cell>
        </row>
        <row r="605">
          <cell r="E605">
            <v>1000593</v>
          </cell>
          <cell r="F605" t="str">
            <v>021</v>
          </cell>
          <cell r="G605" t="str">
            <v>3453 - JUVIA'S PLACE</v>
          </cell>
          <cell r="H605" t="str">
            <v>E</v>
          </cell>
          <cell r="I605" t="str">
            <v>A</v>
          </cell>
          <cell r="J605" t="str">
            <v>BASC</v>
          </cell>
          <cell r="K605">
            <v>9</v>
          </cell>
          <cell r="L605">
            <v>6912</v>
          </cell>
          <cell r="M605">
            <v>576</v>
          </cell>
          <cell r="N605">
            <v>864</v>
          </cell>
          <cell r="O605">
            <v>576</v>
          </cell>
          <cell r="P605">
            <v>720</v>
          </cell>
          <cell r="Q605">
            <v>576</v>
          </cell>
          <cell r="R605">
            <v>432</v>
          </cell>
          <cell r="S605">
            <v>864</v>
          </cell>
          <cell r="T605">
            <v>432</v>
          </cell>
          <cell r="U605">
            <v>576</v>
          </cell>
          <cell r="V605">
            <v>432</v>
          </cell>
          <cell r="W605">
            <v>576</v>
          </cell>
          <cell r="X605">
            <v>288</v>
          </cell>
        </row>
        <row r="606">
          <cell r="E606">
            <v>1000083</v>
          </cell>
          <cell r="F606" t="str">
            <v>021</v>
          </cell>
          <cell r="G606" t="str">
            <v>3453 - JUVIA'S PLACE</v>
          </cell>
          <cell r="H606" t="str">
            <v>F</v>
          </cell>
          <cell r="I606" t="str">
            <v>A</v>
          </cell>
          <cell r="J606" t="str">
            <v>BASC</v>
          </cell>
          <cell r="K606">
            <v>9</v>
          </cell>
          <cell r="L606">
            <v>9648</v>
          </cell>
          <cell r="M606">
            <v>1008</v>
          </cell>
          <cell r="N606">
            <v>720</v>
          </cell>
          <cell r="O606">
            <v>864</v>
          </cell>
          <cell r="P606">
            <v>864</v>
          </cell>
          <cell r="Q606">
            <v>1008</v>
          </cell>
          <cell r="R606">
            <v>576</v>
          </cell>
          <cell r="S606">
            <v>1008</v>
          </cell>
          <cell r="T606">
            <v>864</v>
          </cell>
          <cell r="U606">
            <v>576</v>
          </cell>
          <cell r="V606">
            <v>1008</v>
          </cell>
          <cell r="W606">
            <v>720</v>
          </cell>
          <cell r="X606">
            <v>432</v>
          </cell>
        </row>
        <row r="607">
          <cell r="E607">
            <v>1000591</v>
          </cell>
          <cell r="F607" t="str">
            <v>021</v>
          </cell>
          <cell r="G607" t="str">
            <v>3453 - JUVIA'S PLACE</v>
          </cell>
          <cell r="H607" t="str">
            <v>E</v>
          </cell>
          <cell r="I607" t="str">
            <v>A</v>
          </cell>
          <cell r="J607" t="str">
            <v>BASC</v>
          </cell>
          <cell r="K607">
            <v>9</v>
          </cell>
          <cell r="L607">
            <v>15120</v>
          </cell>
          <cell r="M607">
            <v>1728</v>
          </cell>
          <cell r="N607">
            <v>1728</v>
          </cell>
          <cell r="O607">
            <v>1008</v>
          </cell>
          <cell r="P607">
            <v>1728</v>
          </cell>
          <cell r="Q607">
            <v>1152</v>
          </cell>
          <cell r="R607">
            <v>1152</v>
          </cell>
          <cell r="S607">
            <v>1296</v>
          </cell>
          <cell r="T607">
            <v>1296</v>
          </cell>
          <cell r="U607">
            <v>1008</v>
          </cell>
          <cell r="V607">
            <v>1296</v>
          </cell>
          <cell r="W607">
            <v>1008</v>
          </cell>
          <cell r="X607">
            <v>720</v>
          </cell>
        </row>
        <row r="608">
          <cell r="E608">
            <v>1000095</v>
          </cell>
          <cell r="F608" t="str">
            <v>021</v>
          </cell>
          <cell r="G608" t="str">
            <v>3453 - JUVIA'S PLACE</v>
          </cell>
          <cell r="H608" t="str">
            <v>E</v>
          </cell>
          <cell r="I608" t="str">
            <v>A</v>
          </cell>
          <cell r="J608" t="str">
            <v>BASC</v>
          </cell>
          <cell r="K608">
            <v>10</v>
          </cell>
          <cell r="L608">
            <v>11880</v>
          </cell>
          <cell r="M608">
            <v>2160</v>
          </cell>
          <cell r="N608">
            <v>1620</v>
          </cell>
          <cell r="O608">
            <v>432</v>
          </cell>
          <cell r="P608">
            <v>972</v>
          </cell>
          <cell r="Q608">
            <v>648</v>
          </cell>
          <cell r="R608">
            <v>1188</v>
          </cell>
          <cell r="S608">
            <v>972</v>
          </cell>
          <cell r="T608">
            <v>756</v>
          </cell>
          <cell r="U608">
            <v>756</v>
          </cell>
          <cell r="V608">
            <v>1080</v>
          </cell>
          <cell r="W608">
            <v>864</v>
          </cell>
          <cell r="X608">
            <v>432</v>
          </cell>
        </row>
        <row r="609">
          <cell r="E609">
            <v>1001083</v>
          </cell>
          <cell r="F609" t="str">
            <v>021</v>
          </cell>
          <cell r="G609" t="str">
            <v>3453 - JUVIA'S PLACE</v>
          </cell>
          <cell r="H609" t="str">
            <v>F</v>
          </cell>
          <cell r="I609" t="str">
            <v>A</v>
          </cell>
          <cell r="J609" t="str">
            <v>BASC</v>
          </cell>
          <cell r="K609">
            <v>7.5</v>
          </cell>
          <cell r="L609">
            <v>2736</v>
          </cell>
          <cell r="M609">
            <v>0</v>
          </cell>
          <cell r="N609">
            <v>144</v>
          </cell>
          <cell r="O609">
            <v>144</v>
          </cell>
          <cell r="P609">
            <v>288</v>
          </cell>
          <cell r="Q609">
            <v>144</v>
          </cell>
          <cell r="R609">
            <v>432</v>
          </cell>
          <cell r="S609">
            <v>0</v>
          </cell>
          <cell r="T609">
            <v>432</v>
          </cell>
          <cell r="U609">
            <v>144</v>
          </cell>
          <cell r="V609">
            <v>576</v>
          </cell>
          <cell r="W609">
            <v>432</v>
          </cell>
          <cell r="X609">
            <v>0</v>
          </cell>
        </row>
        <row r="610">
          <cell r="E610">
            <v>1002276</v>
          </cell>
          <cell r="F610" t="str">
            <v>021</v>
          </cell>
          <cell r="G610" t="str">
            <v>3453 - JUVIA'S PLACE</v>
          </cell>
          <cell r="H610" t="str">
            <v>E</v>
          </cell>
          <cell r="I610" t="str">
            <v>A</v>
          </cell>
          <cell r="J610" t="str">
            <v>BASC</v>
          </cell>
          <cell r="K610">
            <v>7.5</v>
          </cell>
          <cell r="L610">
            <v>16560</v>
          </cell>
          <cell r="M610">
            <v>2880</v>
          </cell>
          <cell r="N610">
            <v>864</v>
          </cell>
          <cell r="O610">
            <v>1008</v>
          </cell>
          <cell r="P610">
            <v>1584</v>
          </cell>
          <cell r="Q610">
            <v>1296</v>
          </cell>
          <cell r="R610">
            <v>1008</v>
          </cell>
          <cell r="S610">
            <v>1728</v>
          </cell>
          <cell r="T610">
            <v>1152</v>
          </cell>
          <cell r="U610">
            <v>1296</v>
          </cell>
          <cell r="V610">
            <v>1584</v>
          </cell>
          <cell r="W610">
            <v>1584</v>
          </cell>
          <cell r="X610">
            <v>576</v>
          </cell>
        </row>
        <row r="611">
          <cell r="E611">
            <v>1002183</v>
          </cell>
          <cell r="F611" t="str">
            <v>021</v>
          </cell>
          <cell r="G611" t="str">
            <v>3453 - JUVIA'S PLACE</v>
          </cell>
          <cell r="H611" t="str">
            <v>E</v>
          </cell>
          <cell r="I611" t="str">
            <v>A</v>
          </cell>
          <cell r="J611" t="str">
            <v>BASC</v>
          </cell>
          <cell r="K611">
            <v>10</v>
          </cell>
          <cell r="L611">
            <v>14400</v>
          </cell>
          <cell r="M611">
            <v>2016</v>
          </cell>
          <cell r="N611">
            <v>1296</v>
          </cell>
          <cell r="O611">
            <v>864</v>
          </cell>
          <cell r="P611">
            <v>1152</v>
          </cell>
          <cell r="Q611">
            <v>864</v>
          </cell>
          <cell r="R611">
            <v>864</v>
          </cell>
          <cell r="S611">
            <v>1296</v>
          </cell>
          <cell r="T611">
            <v>1584</v>
          </cell>
          <cell r="U611">
            <v>1440</v>
          </cell>
          <cell r="V611">
            <v>1440</v>
          </cell>
          <cell r="W611">
            <v>1008</v>
          </cell>
          <cell r="X611">
            <v>576</v>
          </cell>
        </row>
        <row r="612">
          <cell r="E612">
            <v>1002184</v>
          </cell>
          <cell r="F612" t="str">
            <v>021</v>
          </cell>
          <cell r="G612" t="str">
            <v>3453 - JUVIA'S PLACE</v>
          </cell>
          <cell r="H612" t="str">
            <v>E</v>
          </cell>
          <cell r="I612" t="str">
            <v>A</v>
          </cell>
          <cell r="J612" t="str">
            <v>BASC</v>
          </cell>
          <cell r="K612">
            <v>10</v>
          </cell>
          <cell r="L612">
            <v>9216</v>
          </cell>
          <cell r="M612">
            <v>720</v>
          </cell>
          <cell r="N612">
            <v>1296</v>
          </cell>
          <cell r="O612">
            <v>144</v>
          </cell>
          <cell r="P612">
            <v>864</v>
          </cell>
          <cell r="Q612">
            <v>576</v>
          </cell>
          <cell r="R612">
            <v>432</v>
          </cell>
          <cell r="S612">
            <v>1008</v>
          </cell>
          <cell r="T612">
            <v>1008</v>
          </cell>
          <cell r="U612">
            <v>1008</v>
          </cell>
          <cell r="V612">
            <v>864</v>
          </cell>
          <cell r="W612">
            <v>1008</v>
          </cell>
          <cell r="X612">
            <v>288</v>
          </cell>
        </row>
        <row r="613">
          <cell r="E613">
            <v>1200210</v>
          </cell>
          <cell r="F613" t="str">
            <v>021</v>
          </cell>
          <cell r="G613" t="str">
            <v>3453 - JUVIA'S PLACE</v>
          </cell>
          <cell r="H613" t="str">
            <v>F</v>
          </cell>
          <cell r="I613" t="str">
            <v>A</v>
          </cell>
          <cell r="J613" t="str">
            <v>BASC</v>
          </cell>
          <cell r="K613">
            <v>7.5</v>
          </cell>
          <cell r="L613">
            <v>4752</v>
          </cell>
          <cell r="M613">
            <v>144</v>
          </cell>
          <cell r="N613">
            <v>576</v>
          </cell>
          <cell r="O613">
            <v>288</v>
          </cell>
          <cell r="P613">
            <v>432</v>
          </cell>
          <cell r="Q613">
            <v>288</v>
          </cell>
          <cell r="R613">
            <v>288</v>
          </cell>
          <cell r="S613">
            <v>432</v>
          </cell>
          <cell r="T613">
            <v>288</v>
          </cell>
          <cell r="U613">
            <v>576</v>
          </cell>
          <cell r="V613">
            <v>432</v>
          </cell>
          <cell r="W613">
            <v>576</v>
          </cell>
          <cell r="X613">
            <v>432</v>
          </cell>
        </row>
        <row r="614">
          <cell r="E614">
            <v>1002041</v>
          </cell>
          <cell r="F614" t="str">
            <v>021</v>
          </cell>
          <cell r="G614" t="str">
            <v>3453 - JUVIA'S PLACE</v>
          </cell>
          <cell r="H614" t="str">
            <v>C</v>
          </cell>
          <cell r="I614" t="str">
            <v>A</v>
          </cell>
          <cell r="J614" t="str">
            <v>BASC</v>
          </cell>
          <cell r="K614">
            <v>19</v>
          </cell>
          <cell r="L614">
            <v>31824</v>
          </cell>
          <cell r="M614">
            <v>5664</v>
          </cell>
          <cell r="N614">
            <v>2832</v>
          </cell>
          <cell r="O614">
            <v>1632</v>
          </cell>
          <cell r="P614">
            <v>2736</v>
          </cell>
          <cell r="Q614">
            <v>2400</v>
          </cell>
          <cell r="R614">
            <v>3072</v>
          </cell>
          <cell r="S614">
            <v>3456</v>
          </cell>
          <cell r="T614">
            <v>2688</v>
          </cell>
          <cell r="U614">
            <v>1920</v>
          </cell>
          <cell r="V614">
            <v>2352</v>
          </cell>
          <cell r="W614">
            <v>2064</v>
          </cell>
          <cell r="X614">
            <v>1008</v>
          </cell>
        </row>
        <row r="615">
          <cell r="E615">
            <v>1200248</v>
          </cell>
          <cell r="F615" t="str">
            <v>021</v>
          </cell>
          <cell r="G615" t="str">
            <v>3453 - JUVIA'S PLACE</v>
          </cell>
          <cell r="H615" t="str">
            <v>F</v>
          </cell>
          <cell r="I615" t="str">
            <v>A</v>
          </cell>
          <cell r="J615" t="str">
            <v>BASC</v>
          </cell>
          <cell r="K615">
            <v>12.5</v>
          </cell>
          <cell r="L615">
            <v>11160</v>
          </cell>
          <cell r="M615">
            <v>1080</v>
          </cell>
          <cell r="N615">
            <v>1008</v>
          </cell>
          <cell r="O615">
            <v>720</v>
          </cell>
          <cell r="P615">
            <v>1080</v>
          </cell>
          <cell r="Q615">
            <v>936</v>
          </cell>
          <cell r="R615">
            <v>864</v>
          </cell>
          <cell r="S615">
            <v>1152</v>
          </cell>
          <cell r="T615">
            <v>792</v>
          </cell>
          <cell r="U615">
            <v>936</v>
          </cell>
          <cell r="V615">
            <v>1224</v>
          </cell>
          <cell r="W615">
            <v>864</v>
          </cell>
          <cell r="X615">
            <v>504</v>
          </cell>
        </row>
        <row r="616">
          <cell r="E616">
            <v>1000581</v>
          </cell>
          <cell r="F616" t="str">
            <v>021</v>
          </cell>
          <cell r="G616" t="str">
            <v>3453 - JUVIA'S PLACE</v>
          </cell>
          <cell r="H616" t="str">
            <v>F</v>
          </cell>
          <cell r="I616" t="str">
            <v>A</v>
          </cell>
          <cell r="J616" t="str">
            <v>BASC</v>
          </cell>
          <cell r="K616">
            <v>9</v>
          </cell>
          <cell r="L616">
            <v>9648</v>
          </cell>
          <cell r="M616">
            <v>1296</v>
          </cell>
          <cell r="N616">
            <v>720</v>
          </cell>
          <cell r="O616">
            <v>720</v>
          </cell>
          <cell r="P616">
            <v>864</v>
          </cell>
          <cell r="Q616">
            <v>1008</v>
          </cell>
          <cell r="R616">
            <v>576</v>
          </cell>
          <cell r="S616">
            <v>1008</v>
          </cell>
          <cell r="T616">
            <v>576</v>
          </cell>
          <cell r="U616">
            <v>1008</v>
          </cell>
          <cell r="V616">
            <v>576</v>
          </cell>
          <cell r="W616">
            <v>864</v>
          </cell>
          <cell r="X616">
            <v>432</v>
          </cell>
        </row>
        <row r="617">
          <cell r="E617">
            <v>1001054</v>
          </cell>
          <cell r="F617" t="str">
            <v>021</v>
          </cell>
          <cell r="G617" t="str">
            <v>3453 - JUVIA'S PLACE</v>
          </cell>
          <cell r="H617" t="str">
            <v>F</v>
          </cell>
          <cell r="I617" t="str">
            <v>A</v>
          </cell>
          <cell r="J617" t="str">
            <v>WINT</v>
          </cell>
          <cell r="K617">
            <v>7.5</v>
          </cell>
          <cell r="L617">
            <v>5184</v>
          </cell>
          <cell r="M617">
            <v>576</v>
          </cell>
          <cell r="N617">
            <v>576</v>
          </cell>
          <cell r="O617">
            <v>288</v>
          </cell>
          <cell r="P617">
            <v>576</v>
          </cell>
          <cell r="Q617">
            <v>144</v>
          </cell>
          <cell r="R617">
            <v>432</v>
          </cell>
          <cell r="S617">
            <v>576</v>
          </cell>
          <cell r="T617">
            <v>288</v>
          </cell>
          <cell r="U617">
            <v>432</v>
          </cell>
          <cell r="V617">
            <v>432</v>
          </cell>
          <cell r="W617">
            <v>432</v>
          </cell>
          <cell r="X617">
            <v>432</v>
          </cell>
        </row>
        <row r="618">
          <cell r="E618">
            <v>1001532</v>
          </cell>
          <cell r="F618" t="str">
            <v>021</v>
          </cell>
          <cell r="G618" t="str">
            <v>3453 - JUVIA'S PLACE</v>
          </cell>
          <cell r="H618" t="str">
            <v>D</v>
          </cell>
          <cell r="I618" t="str">
            <v>A</v>
          </cell>
          <cell r="J618" t="str">
            <v>BASC</v>
          </cell>
          <cell r="K618">
            <v>12</v>
          </cell>
          <cell r="L618">
            <v>43344</v>
          </cell>
          <cell r="M618">
            <v>5760</v>
          </cell>
          <cell r="N618">
            <v>2592</v>
          </cell>
          <cell r="O618">
            <v>2592</v>
          </cell>
          <cell r="P618">
            <v>4320</v>
          </cell>
          <cell r="Q618">
            <v>2736</v>
          </cell>
          <cell r="R618">
            <v>3600</v>
          </cell>
          <cell r="S618">
            <v>4608</v>
          </cell>
          <cell r="T618">
            <v>3312</v>
          </cell>
          <cell r="U618">
            <v>3888</v>
          </cell>
          <cell r="V618">
            <v>4464</v>
          </cell>
          <cell r="W618">
            <v>3600</v>
          </cell>
          <cell r="X618">
            <v>1872</v>
          </cell>
        </row>
        <row r="619">
          <cell r="E619">
            <v>1002393</v>
          </cell>
          <cell r="F619" t="str">
            <v>021</v>
          </cell>
          <cell r="G619" t="str">
            <v>3453 - JUVIA'S PLACE</v>
          </cell>
          <cell r="H619" t="str">
            <v>E</v>
          </cell>
          <cell r="I619" t="str">
            <v>A</v>
          </cell>
          <cell r="J619" t="str">
            <v>BASC</v>
          </cell>
          <cell r="K619">
            <v>7.5</v>
          </cell>
          <cell r="L619">
            <v>7776</v>
          </cell>
          <cell r="M619">
            <v>1152</v>
          </cell>
          <cell r="N619">
            <v>432</v>
          </cell>
          <cell r="O619">
            <v>288</v>
          </cell>
          <cell r="P619">
            <v>1008</v>
          </cell>
          <cell r="Q619">
            <v>288</v>
          </cell>
          <cell r="R619">
            <v>720</v>
          </cell>
          <cell r="S619">
            <v>576</v>
          </cell>
          <cell r="T619">
            <v>720</v>
          </cell>
          <cell r="U619">
            <v>576</v>
          </cell>
          <cell r="V619">
            <v>864</v>
          </cell>
          <cell r="W619">
            <v>576</v>
          </cell>
          <cell r="X619">
            <v>576</v>
          </cell>
        </row>
        <row r="620">
          <cell r="E620">
            <v>1200170</v>
          </cell>
          <cell r="F620" t="str">
            <v>021</v>
          </cell>
          <cell r="G620" t="str">
            <v>3453 - JUVIA'S PLACE</v>
          </cell>
          <cell r="H620" t="str">
            <v>E</v>
          </cell>
          <cell r="I620" t="str">
            <v>A</v>
          </cell>
          <cell r="J620" t="str">
            <v>BASC</v>
          </cell>
          <cell r="K620">
            <v>7.5</v>
          </cell>
          <cell r="L620">
            <v>11664</v>
          </cell>
          <cell r="M620">
            <v>1440</v>
          </cell>
          <cell r="N620">
            <v>1584</v>
          </cell>
          <cell r="O620">
            <v>288</v>
          </cell>
          <cell r="P620">
            <v>1440</v>
          </cell>
          <cell r="Q620">
            <v>720</v>
          </cell>
          <cell r="R620">
            <v>720</v>
          </cell>
          <cell r="S620">
            <v>1152</v>
          </cell>
          <cell r="T620">
            <v>1008</v>
          </cell>
          <cell r="U620">
            <v>1008</v>
          </cell>
          <cell r="V620">
            <v>1008</v>
          </cell>
          <cell r="W620">
            <v>1008</v>
          </cell>
          <cell r="X620">
            <v>288</v>
          </cell>
        </row>
        <row r="621">
          <cell r="E621">
            <v>1001536</v>
          </cell>
          <cell r="F621" t="str">
            <v>021</v>
          </cell>
          <cell r="G621" t="str">
            <v>3453 - JUVIA'S PLACE</v>
          </cell>
          <cell r="H621" t="str">
            <v>A</v>
          </cell>
          <cell r="I621" t="str">
            <v>A</v>
          </cell>
          <cell r="J621" t="str">
            <v>BASC</v>
          </cell>
          <cell r="K621">
            <v>12</v>
          </cell>
          <cell r="L621">
            <v>99360</v>
          </cell>
          <cell r="M621">
            <v>13248</v>
          </cell>
          <cell r="N621">
            <v>5040</v>
          </cell>
          <cell r="O621">
            <v>5904</v>
          </cell>
          <cell r="P621">
            <v>10512</v>
          </cell>
          <cell r="Q621">
            <v>7920</v>
          </cell>
          <cell r="R621">
            <v>8496</v>
          </cell>
          <cell r="S621">
            <v>10080</v>
          </cell>
          <cell r="T621">
            <v>8352</v>
          </cell>
          <cell r="U621">
            <v>7920</v>
          </cell>
          <cell r="V621">
            <v>9360</v>
          </cell>
          <cell r="W621">
            <v>8640</v>
          </cell>
          <cell r="X621">
            <v>3888</v>
          </cell>
        </row>
        <row r="622">
          <cell r="E622">
            <v>1002387</v>
          </cell>
          <cell r="F622" t="str">
            <v>021</v>
          </cell>
          <cell r="G622" t="str">
            <v>3453 - JUVIA'S PLACE</v>
          </cell>
          <cell r="H622" t="str">
            <v>F</v>
          </cell>
          <cell r="I622" t="str">
            <v>A</v>
          </cell>
          <cell r="J622" t="str">
            <v>BASC</v>
          </cell>
          <cell r="K622">
            <v>7.5</v>
          </cell>
          <cell r="L622">
            <v>5760</v>
          </cell>
          <cell r="M622">
            <v>720</v>
          </cell>
          <cell r="N622">
            <v>576</v>
          </cell>
          <cell r="O622">
            <v>288</v>
          </cell>
          <cell r="P622">
            <v>432</v>
          </cell>
          <cell r="Q622">
            <v>432</v>
          </cell>
          <cell r="R622">
            <v>432</v>
          </cell>
          <cell r="S622">
            <v>432</v>
          </cell>
          <cell r="T622">
            <v>432</v>
          </cell>
          <cell r="U622">
            <v>576</v>
          </cell>
          <cell r="V622">
            <v>576</v>
          </cell>
          <cell r="W622">
            <v>720</v>
          </cell>
          <cell r="X622">
            <v>144</v>
          </cell>
        </row>
        <row r="623">
          <cell r="E623">
            <v>1000084</v>
          </cell>
          <cell r="F623" t="str">
            <v>021</v>
          </cell>
          <cell r="G623" t="str">
            <v>3453 - JUVIA'S PLACE</v>
          </cell>
          <cell r="H623" t="str">
            <v>F</v>
          </cell>
          <cell r="I623" t="str">
            <v>A</v>
          </cell>
          <cell r="J623" t="str">
            <v>BASC</v>
          </cell>
          <cell r="K623">
            <v>9</v>
          </cell>
          <cell r="L623">
            <v>16848</v>
          </cell>
          <cell r="M623">
            <v>1872</v>
          </cell>
          <cell r="N623">
            <v>1584</v>
          </cell>
          <cell r="O623">
            <v>1152</v>
          </cell>
          <cell r="P623">
            <v>1872</v>
          </cell>
          <cell r="Q623">
            <v>1296</v>
          </cell>
          <cell r="R623">
            <v>1440</v>
          </cell>
          <cell r="S623">
            <v>1728</v>
          </cell>
          <cell r="T623">
            <v>1152</v>
          </cell>
          <cell r="U623">
            <v>1008</v>
          </cell>
          <cell r="V623">
            <v>1872</v>
          </cell>
          <cell r="W623">
            <v>1296</v>
          </cell>
          <cell r="X623">
            <v>576</v>
          </cell>
        </row>
        <row r="624">
          <cell r="E624">
            <v>1000588</v>
          </cell>
          <cell r="F624" t="str">
            <v>021</v>
          </cell>
          <cell r="G624" t="str">
            <v>3453 - JUVIA'S PLACE</v>
          </cell>
          <cell r="H624" t="str">
            <v>D</v>
          </cell>
          <cell r="I624" t="str">
            <v>A</v>
          </cell>
          <cell r="J624" t="str">
            <v>BASC</v>
          </cell>
          <cell r="K624">
            <v>9</v>
          </cell>
          <cell r="L624">
            <v>25632</v>
          </cell>
          <cell r="M624">
            <v>3024</v>
          </cell>
          <cell r="N624">
            <v>2160</v>
          </cell>
          <cell r="O624">
            <v>1872</v>
          </cell>
          <cell r="P624">
            <v>3168</v>
          </cell>
          <cell r="Q624">
            <v>2160</v>
          </cell>
          <cell r="R624">
            <v>2016</v>
          </cell>
          <cell r="S624">
            <v>2736</v>
          </cell>
          <cell r="T624">
            <v>1584</v>
          </cell>
          <cell r="U624">
            <v>1728</v>
          </cell>
          <cell r="V624">
            <v>2448</v>
          </cell>
          <cell r="W624">
            <v>1872</v>
          </cell>
          <cell r="X624">
            <v>864</v>
          </cell>
        </row>
        <row r="625">
          <cell r="E625">
            <v>1200231</v>
          </cell>
          <cell r="F625" t="str">
            <v>021</v>
          </cell>
          <cell r="G625" t="str">
            <v>3453 - JUVIA'S PLACE</v>
          </cell>
          <cell r="H625" t="str">
            <v>E</v>
          </cell>
          <cell r="I625" t="str">
            <v>A</v>
          </cell>
          <cell r="J625" t="str">
            <v>BASC</v>
          </cell>
          <cell r="K625">
            <v>7.5</v>
          </cell>
          <cell r="L625">
            <v>8640</v>
          </cell>
          <cell r="M625">
            <v>576</v>
          </cell>
          <cell r="N625">
            <v>864</v>
          </cell>
          <cell r="O625">
            <v>720</v>
          </cell>
          <cell r="P625">
            <v>1008</v>
          </cell>
          <cell r="Q625">
            <v>432</v>
          </cell>
          <cell r="R625">
            <v>576</v>
          </cell>
          <cell r="S625">
            <v>1008</v>
          </cell>
          <cell r="T625">
            <v>720</v>
          </cell>
          <cell r="U625">
            <v>720</v>
          </cell>
          <cell r="V625">
            <v>864</v>
          </cell>
          <cell r="W625">
            <v>1008</v>
          </cell>
          <cell r="X625">
            <v>144</v>
          </cell>
        </row>
        <row r="626">
          <cell r="E626">
            <v>1002382</v>
          </cell>
          <cell r="F626" t="str">
            <v>021</v>
          </cell>
          <cell r="G626" t="str">
            <v>3453 - JUVIA'S PLACE</v>
          </cell>
          <cell r="H626" t="str">
            <v>C</v>
          </cell>
          <cell r="I626" t="str">
            <v>A</v>
          </cell>
          <cell r="J626" t="str">
            <v>BASC</v>
          </cell>
          <cell r="K626">
            <v>12.5</v>
          </cell>
          <cell r="L626">
            <v>46416</v>
          </cell>
          <cell r="M626">
            <v>10080</v>
          </cell>
          <cell r="N626">
            <v>3024</v>
          </cell>
          <cell r="O626">
            <v>2352</v>
          </cell>
          <cell r="P626">
            <v>4704</v>
          </cell>
          <cell r="Q626">
            <v>3312</v>
          </cell>
          <cell r="R626">
            <v>3696</v>
          </cell>
          <cell r="S626">
            <v>3792</v>
          </cell>
          <cell r="T626">
            <v>3408</v>
          </cell>
          <cell r="U626">
            <v>3072</v>
          </cell>
          <cell r="V626">
            <v>3744</v>
          </cell>
          <cell r="W626">
            <v>3648</v>
          </cell>
          <cell r="X626">
            <v>1584</v>
          </cell>
        </row>
        <row r="627">
          <cell r="E627">
            <v>1002330</v>
          </cell>
          <cell r="F627" t="str">
            <v>021</v>
          </cell>
          <cell r="G627" t="str">
            <v>3453 - JUVIA'S PLACE</v>
          </cell>
          <cell r="H627" t="str">
            <v>B</v>
          </cell>
          <cell r="I627" t="str">
            <v>A</v>
          </cell>
          <cell r="J627" t="str">
            <v>BASC</v>
          </cell>
          <cell r="K627">
            <v>10</v>
          </cell>
          <cell r="L627">
            <v>82200</v>
          </cell>
          <cell r="M627">
            <v>14160</v>
          </cell>
          <cell r="N627">
            <v>4560</v>
          </cell>
          <cell r="O627">
            <v>4440</v>
          </cell>
          <cell r="P627">
            <v>8520</v>
          </cell>
          <cell r="Q627">
            <v>6960</v>
          </cell>
          <cell r="R627">
            <v>6840</v>
          </cell>
          <cell r="S627">
            <v>8040</v>
          </cell>
          <cell r="T627">
            <v>7080</v>
          </cell>
          <cell r="U627">
            <v>6120</v>
          </cell>
          <cell r="V627">
            <v>6480</v>
          </cell>
          <cell r="W627">
            <v>6360</v>
          </cell>
          <cell r="X627">
            <v>2640</v>
          </cell>
        </row>
        <row r="628">
          <cell r="E628">
            <v>1000369</v>
          </cell>
          <cell r="F628" t="str">
            <v>021</v>
          </cell>
          <cell r="G628" t="str">
            <v>3453 - JUVIA'S PLACE</v>
          </cell>
          <cell r="H628" t="str">
            <v>F</v>
          </cell>
          <cell r="I628" t="str">
            <v>A</v>
          </cell>
          <cell r="J628" t="str">
            <v>BASC</v>
          </cell>
          <cell r="K628">
            <v>12.5</v>
          </cell>
          <cell r="L628">
            <v>9216</v>
          </cell>
          <cell r="M628">
            <v>1296</v>
          </cell>
          <cell r="N628">
            <v>1440</v>
          </cell>
          <cell r="O628">
            <v>432</v>
          </cell>
          <cell r="P628">
            <v>720</v>
          </cell>
          <cell r="Q628">
            <v>720</v>
          </cell>
          <cell r="R628">
            <v>792</v>
          </cell>
          <cell r="S628">
            <v>1008</v>
          </cell>
          <cell r="T628">
            <v>720</v>
          </cell>
          <cell r="U628">
            <v>576</v>
          </cell>
          <cell r="V628">
            <v>648</v>
          </cell>
          <cell r="W628">
            <v>648</v>
          </cell>
          <cell r="X628">
            <v>216</v>
          </cell>
        </row>
        <row r="629">
          <cell r="E629">
            <v>1001528</v>
          </cell>
          <cell r="F629" t="str">
            <v>021</v>
          </cell>
          <cell r="G629" t="str">
            <v>3453 - JUVIA'S PLACE</v>
          </cell>
          <cell r="H629" t="str">
            <v>E</v>
          </cell>
          <cell r="I629" t="str">
            <v>A</v>
          </cell>
          <cell r="J629" t="str">
            <v>BASC</v>
          </cell>
          <cell r="K629">
            <v>12</v>
          </cell>
          <cell r="L629">
            <v>38016</v>
          </cell>
          <cell r="M629">
            <v>4032</v>
          </cell>
          <cell r="N629">
            <v>2448</v>
          </cell>
          <cell r="O629">
            <v>2160</v>
          </cell>
          <cell r="P629">
            <v>3888</v>
          </cell>
          <cell r="Q629">
            <v>2880</v>
          </cell>
          <cell r="R629">
            <v>3744</v>
          </cell>
          <cell r="S629">
            <v>4320</v>
          </cell>
          <cell r="T629">
            <v>3600</v>
          </cell>
          <cell r="U629">
            <v>3168</v>
          </cell>
          <cell r="V629">
            <v>3456</v>
          </cell>
          <cell r="W629">
            <v>2736</v>
          </cell>
          <cell r="X629">
            <v>1584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40"/>
  <sheetViews>
    <sheetView showGridLines="0" tabSelected="1" workbookViewId="0">
      <pane xSplit="4" ySplit="206" topLeftCell="E207" activePane="bottomRight" state="frozen"/>
      <selection pane="topRight" activeCell="E1" sqref="E1"/>
      <selection pane="bottomLeft" activeCell="A207" sqref="A207"/>
      <selection pane="bottomRight" activeCell="E10" sqref="E10"/>
    </sheetView>
  </sheetViews>
  <sheetFormatPr defaultRowHeight="14.4" x14ac:dyDescent="0.3"/>
  <cols>
    <col min="1" max="2" width="13.6640625" customWidth="1"/>
    <col min="3" max="3" width="41.109375" customWidth="1"/>
    <col min="4" max="4" width="0.109375" customWidth="1"/>
    <col min="5" max="5" width="20.5546875" customWidth="1"/>
    <col min="6" max="16" width="13.6640625" customWidth="1"/>
    <col min="17" max="24" width="13.6640625" hidden="1" customWidth="1"/>
    <col min="25" max="25" width="0" hidden="1" customWidth="1"/>
    <col min="26" max="26" width="10.44140625" hidden="1" customWidth="1"/>
    <col min="27" max="38" width="0" hidden="1" customWidth="1"/>
  </cols>
  <sheetData>
    <row r="1" spans="1:38" ht="25.5" customHeight="1" x14ac:dyDescent="0.3">
      <c r="A1" s="14" t="s">
        <v>0</v>
      </c>
      <c r="B1" s="15"/>
      <c r="C1" s="15"/>
    </row>
    <row r="2" spans="1:38" ht="1.05" customHeight="1" x14ac:dyDescent="0.3"/>
    <row r="3" spans="1:38" ht="22.05" customHeight="1" x14ac:dyDescent="0.3">
      <c r="A3" s="16" t="s">
        <v>1</v>
      </c>
      <c r="B3" s="15"/>
      <c r="C3" s="15"/>
    </row>
    <row r="4" spans="1:38" ht="25.5" customHeight="1" x14ac:dyDescent="0.3">
      <c r="A4" s="16" t="s">
        <v>2</v>
      </c>
      <c r="B4" s="15"/>
      <c r="C4" s="15"/>
    </row>
    <row r="5" spans="1:38" ht="19.95" customHeight="1" x14ac:dyDescent="0.3">
      <c r="A5" s="17" t="s">
        <v>3</v>
      </c>
      <c r="B5" s="15"/>
      <c r="C5" s="15"/>
    </row>
    <row r="6" spans="1:38" ht="20.100000000000001" customHeight="1" x14ac:dyDescent="0.3"/>
    <row r="7" spans="1:38" x14ac:dyDescent="0.3">
      <c r="A7" s="18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" t="s">
        <v>5</v>
      </c>
      <c r="N7" s="1" t="s">
        <v>6</v>
      </c>
      <c r="O7" s="1" t="s">
        <v>7</v>
      </c>
      <c r="P7" s="1" t="s">
        <v>8</v>
      </c>
      <c r="Q7" s="1" t="s">
        <v>9</v>
      </c>
      <c r="R7" s="1" t="s">
        <v>10</v>
      </c>
      <c r="S7" s="1" t="s">
        <v>11</v>
      </c>
      <c r="T7" s="1" t="s">
        <v>12</v>
      </c>
      <c r="U7" s="1" t="s">
        <v>13</v>
      </c>
      <c r="V7" s="1" t="s">
        <v>14</v>
      </c>
      <c r="W7" s="1" t="s">
        <v>15</v>
      </c>
      <c r="X7" s="1" t="s">
        <v>16</v>
      </c>
    </row>
    <row r="8" spans="1:38" ht="39.6" x14ac:dyDescent="0.3">
      <c r="A8" s="1" t="s">
        <v>17</v>
      </c>
      <c r="B8" s="2" t="s">
        <v>18</v>
      </c>
      <c r="C8" s="22" t="s">
        <v>19</v>
      </c>
      <c r="D8" s="20"/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2" t="s">
        <v>28</v>
      </c>
      <c r="N8" s="2" t="s">
        <v>29</v>
      </c>
      <c r="O8" s="2" t="s">
        <v>30</v>
      </c>
      <c r="P8" s="2" t="s">
        <v>31</v>
      </c>
      <c r="Q8" s="2" t="s">
        <v>32</v>
      </c>
      <c r="R8" s="2" t="s">
        <v>33</v>
      </c>
      <c r="S8" s="2" t="s">
        <v>34</v>
      </c>
      <c r="T8" s="2" t="s">
        <v>35</v>
      </c>
      <c r="U8" s="2" t="s">
        <v>36</v>
      </c>
      <c r="V8" s="2" t="s">
        <v>37</v>
      </c>
      <c r="W8" s="2" t="s">
        <v>38</v>
      </c>
      <c r="X8" s="2" t="s">
        <v>39</v>
      </c>
      <c r="AJ8" t="s">
        <v>1909</v>
      </c>
      <c r="AK8" t="s">
        <v>1910</v>
      </c>
      <c r="AL8" t="s">
        <v>1911</v>
      </c>
    </row>
    <row r="9" spans="1:38" x14ac:dyDescent="0.3">
      <c r="A9" s="23" t="s">
        <v>40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3">
        <v>178126</v>
      </c>
      <c r="N9" s="3">
        <v>214138</v>
      </c>
      <c r="O9" s="3">
        <v>237182</v>
      </c>
      <c r="P9" s="3">
        <v>205374</v>
      </c>
      <c r="Q9" s="3">
        <v>215320</v>
      </c>
      <c r="R9" s="3">
        <v>269098</v>
      </c>
      <c r="S9" s="3">
        <v>221360</v>
      </c>
      <c r="T9" s="3">
        <v>231522</v>
      </c>
      <c r="U9" s="3">
        <v>317806</v>
      </c>
      <c r="V9" s="3">
        <v>367876</v>
      </c>
      <c r="W9" s="3">
        <v>249064</v>
      </c>
      <c r="X9" s="3">
        <v>357776</v>
      </c>
      <c r="AA9">
        <v>13</v>
      </c>
      <c r="AB9">
        <f>AA9+1</f>
        <v>14</v>
      </c>
      <c r="AC9">
        <f t="shared" ref="AC9:AH9" si="0">AB9+1</f>
        <v>15</v>
      </c>
      <c r="AD9">
        <f t="shared" si="0"/>
        <v>16</v>
      </c>
      <c r="AE9">
        <f t="shared" si="0"/>
        <v>17</v>
      </c>
      <c r="AF9">
        <f t="shared" si="0"/>
        <v>18</v>
      </c>
      <c r="AG9">
        <f t="shared" si="0"/>
        <v>19</v>
      </c>
      <c r="AH9">
        <f t="shared" si="0"/>
        <v>20</v>
      </c>
    </row>
    <row r="10" spans="1:38" ht="39.6" x14ac:dyDescent="0.3">
      <c r="A10" s="4" t="s">
        <v>41</v>
      </c>
      <c r="B10" s="5" t="s">
        <v>42</v>
      </c>
      <c r="C10" s="21" t="s">
        <v>43</v>
      </c>
      <c r="D10" s="20"/>
      <c r="E10" s="4">
        <v>1000361</v>
      </c>
      <c r="F10" s="4" t="s">
        <v>44</v>
      </c>
      <c r="G10" s="4" t="s">
        <v>45</v>
      </c>
      <c r="H10" s="4"/>
      <c r="I10" s="4" t="s">
        <v>46</v>
      </c>
      <c r="J10" s="4" t="s">
        <v>47</v>
      </c>
      <c r="K10" s="4">
        <v>9</v>
      </c>
      <c r="L10" s="4">
        <v>18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Z10" t="e">
        <f>VLOOKUP(E10,Sheet2!$A$1:$A$39,1,0)</f>
        <v>#N/A</v>
      </c>
      <c r="AA10">
        <f>VLOOKUP($E10,[1]Sheet1!$E$10:$X$629,AA$9,0)</f>
        <v>0</v>
      </c>
      <c r="AB10">
        <f>VLOOKUP($E10,[1]Sheet1!$E$10:$X$629,AB$9,0)</f>
        <v>0</v>
      </c>
      <c r="AC10">
        <f>VLOOKUP($E10,[1]Sheet1!$E$10:$X$629,AC$9,0)</f>
        <v>0</v>
      </c>
      <c r="AD10">
        <f>VLOOKUP($E10,[1]Sheet1!$E$10:$X$629,AD$9,0)</f>
        <v>0</v>
      </c>
      <c r="AE10">
        <f>VLOOKUP($E10,[1]Sheet1!$E$10:$X$629,AE$9,0)</f>
        <v>0</v>
      </c>
      <c r="AF10">
        <f>VLOOKUP($E10,[1]Sheet1!$E$10:$X$629,AF$9,0)</f>
        <v>0</v>
      </c>
      <c r="AG10">
        <f>VLOOKUP($E10,[1]Sheet1!$E$10:$X$629,AG$9,0)</f>
        <v>0</v>
      </c>
      <c r="AH10">
        <f>VLOOKUP($E10,[1]Sheet1!$E$10:$X$629,AH$9,0)</f>
        <v>0</v>
      </c>
      <c r="AJ10">
        <f>SUM(M10:T10)</f>
        <v>0</v>
      </c>
      <c r="AK10">
        <f>SUM(AA10:AH10)</f>
        <v>0</v>
      </c>
      <c r="AL10">
        <f>IFERROR(AJ10-AK10,0)</f>
        <v>0</v>
      </c>
    </row>
    <row r="11" spans="1:38" ht="39.6" x14ac:dyDescent="0.3">
      <c r="A11" s="4" t="s">
        <v>48</v>
      </c>
      <c r="B11" s="5" t="s">
        <v>49</v>
      </c>
      <c r="C11" s="21" t="s">
        <v>50</v>
      </c>
      <c r="D11" s="20"/>
      <c r="E11" s="4">
        <v>1000091</v>
      </c>
      <c r="F11" s="4" t="s">
        <v>44</v>
      </c>
      <c r="G11" s="4" t="s">
        <v>45</v>
      </c>
      <c r="H11" s="4" t="s">
        <v>51</v>
      </c>
      <c r="I11" s="4" t="s">
        <v>52</v>
      </c>
      <c r="J11" s="4" t="s">
        <v>47</v>
      </c>
      <c r="K11" s="4">
        <v>12.5</v>
      </c>
      <c r="L11" s="4">
        <v>2.5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Z11" t="e">
        <f>VLOOKUP(E11,Sheet2!$A$1:$A$39,1,0)</f>
        <v>#N/A</v>
      </c>
      <c r="AA11">
        <f>VLOOKUP($E11,[1]Sheet1!$E$10:$X$629,AA$9,0)</f>
        <v>0</v>
      </c>
      <c r="AB11">
        <f>VLOOKUP($E11,[1]Sheet1!$E$10:$X$629,AB$9,0)</f>
        <v>0</v>
      </c>
      <c r="AC11">
        <f>VLOOKUP($E11,[1]Sheet1!$E$10:$X$629,AC$9,0)</f>
        <v>0</v>
      </c>
      <c r="AD11">
        <f>VLOOKUP($E11,[1]Sheet1!$E$10:$X$629,AD$9,0)</f>
        <v>0</v>
      </c>
      <c r="AE11">
        <f>VLOOKUP($E11,[1]Sheet1!$E$10:$X$629,AE$9,0)</f>
        <v>0</v>
      </c>
      <c r="AF11">
        <f>VLOOKUP($E11,[1]Sheet1!$E$10:$X$629,AF$9,0)</f>
        <v>0</v>
      </c>
      <c r="AG11">
        <f>VLOOKUP($E11,[1]Sheet1!$E$10:$X$629,AG$9,0)</f>
        <v>0</v>
      </c>
      <c r="AH11">
        <f>VLOOKUP($E11,[1]Sheet1!$E$10:$X$629,AH$9,0)</f>
        <v>0</v>
      </c>
      <c r="AJ11">
        <f t="shared" ref="AJ11:AJ74" si="1">SUM(M11:T11)</f>
        <v>0</v>
      </c>
      <c r="AK11">
        <f t="shared" ref="AK11:AK74" si="2">SUM(AA11:AH11)</f>
        <v>0</v>
      </c>
      <c r="AL11">
        <f t="shared" ref="AL11:AL74" si="3">IFERROR(AJ11-AK11,0)</f>
        <v>0</v>
      </c>
    </row>
    <row r="12" spans="1:38" ht="39.6" x14ac:dyDescent="0.3">
      <c r="A12" s="4" t="s">
        <v>53</v>
      </c>
      <c r="B12" s="5" t="s">
        <v>54</v>
      </c>
      <c r="C12" s="21" t="s">
        <v>55</v>
      </c>
      <c r="D12" s="20"/>
      <c r="E12" s="4">
        <v>1000369</v>
      </c>
      <c r="F12" s="4" t="s">
        <v>44</v>
      </c>
      <c r="G12" s="4" t="s">
        <v>45</v>
      </c>
      <c r="H12" s="4" t="s">
        <v>56</v>
      </c>
      <c r="I12" s="4" t="s">
        <v>57</v>
      </c>
      <c r="J12" s="4" t="s">
        <v>47</v>
      </c>
      <c r="K12" s="4">
        <v>12.5</v>
      </c>
      <c r="L12" s="4">
        <v>25</v>
      </c>
      <c r="M12" s="5">
        <v>720</v>
      </c>
      <c r="N12" s="5">
        <v>1008</v>
      </c>
      <c r="O12" s="5">
        <v>1152</v>
      </c>
      <c r="P12" s="5">
        <v>936</v>
      </c>
      <c r="Q12" s="5">
        <v>720</v>
      </c>
      <c r="R12" s="5">
        <v>792</v>
      </c>
      <c r="S12" s="5">
        <v>720</v>
      </c>
      <c r="T12" s="5">
        <v>1008</v>
      </c>
      <c r="U12" s="5">
        <v>1224</v>
      </c>
      <c r="V12" s="5">
        <v>1944</v>
      </c>
      <c r="W12" s="5">
        <v>648</v>
      </c>
      <c r="X12" s="5">
        <v>1872</v>
      </c>
      <c r="Z12" t="e">
        <f>VLOOKUP(E12,Sheet2!$A$1:$A$39,1,0)</f>
        <v>#N/A</v>
      </c>
      <c r="AA12">
        <f>VLOOKUP($E12,[1]Sheet1!$E$10:$X$629,AA$9,0)</f>
        <v>720</v>
      </c>
      <c r="AB12">
        <f>VLOOKUP($E12,[1]Sheet1!$E$10:$X$629,AB$9,0)</f>
        <v>792</v>
      </c>
      <c r="AC12">
        <f>VLOOKUP($E12,[1]Sheet1!$E$10:$X$629,AC$9,0)</f>
        <v>1008</v>
      </c>
      <c r="AD12">
        <f>VLOOKUP($E12,[1]Sheet1!$E$10:$X$629,AD$9,0)</f>
        <v>720</v>
      </c>
      <c r="AE12">
        <f>VLOOKUP($E12,[1]Sheet1!$E$10:$X$629,AE$9,0)</f>
        <v>576</v>
      </c>
      <c r="AF12">
        <f>VLOOKUP($E12,[1]Sheet1!$E$10:$X$629,AF$9,0)</f>
        <v>648</v>
      </c>
      <c r="AG12">
        <f>VLOOKUP($E12,[1]Sheet1!$E$10:$X$629,AG$9,0)</f>
        <v>648</v>
      </c>
      <c r="AH12">
        <f>VLOOKUP($E12,[1]Sheet1!$E$10:$X$629,AH$9,0)</f>
        <v>216</v>
      </c>
      <c r="AJ12">
        <f t="shared" si="1"/>
        <v>7056</v>
      </c>
      <c r="AK12">
        <f t="shared" si="2"/>
        <v>5328</v>
      </c>
      <c r="AL12">
        <f t="shared" si="3"/>
        <v>1728</v>
      </c>
    </row>
    <row r="13" spans="1:38" ht="39.6" x14ac:dyDescent="0.3">
      <c r="A13" s="4" t="s">
        <v>58</v>
      </c>
      <c r="B13" s="5" t="s">
        <v>59</v>
      </c>
      <c r="C13" s="21" t="s">
        <v>60</v>
      </c>
      <c r="D13" s="20"/>
      <c r="E13" s="4">
        <v>1000359</v>
      </c>
      <c r="F13" s="4" t="s">
        <v>44</v>
      </c>
      <c r="G13" s="4" t="s">
        <v>45</v>
      </c>
      <c r="H13" s="4" t="s">
        <v>61</v>
      </c>
      <c r="I13" s="4" t="s">
        <v>57</v>
      </c>
      <c r="J13" s="4" t="s">
        <v>47</v>
      </c>
      <c r="K13" s="4">
        <v>12.5</v>
      </c>
      <c r="L13" s="4">
        <v>25</v>
      </c>
      <c r="M13" s="5">
        <v>288</v>
      </c>
      <c r="N13" s="5">
        <v>480</v>
      </c>
      <c r="O13" s="5">
        <v>480</v>
      </c>
      <c r="P13" s="5">
        <v>384</v>
      </c>
      <c r="Q13" s="5">
        <v>288</v>
      </c>
      <c r="R13" s="5">
        <v>384</v>
      </c>
      <c r="S13" s="5">
        <v>384</v>
      </c>
      <c r="T13" s="5">
        <v>384</v>
      </c>
      <c r="U13" s="5">
        <v>480</v>
      </c>
      <c r="V13" s="5">
        <v>1344</v>
      </c>
      <c r="W13" s="5">
        <v>672</v>
      </c>
      <c r="X13" s="5">
        <v>1056</v>
      </c>
      <c r="Z13" t="e">
        <f>VLOOKUP(E13,Sheet2!$A$1:$A$39,1,0)</f>
        <v>#N/A</v>
      </c>
      <c r="AA13">
        <f>VLOOKUP($E13,[1]Sheet1!$E$10:$X$629,AA$9,0)</f>
        <v>384</v>
      </c>
      <c r="AB13">
        <f>VLOOKUP($E13,[1]Sheet1!$E$10:$X$629,AB$9,0)</f>
        <v>192</v>
      </c>
      <c r="AC13">
        <f>VLOOKUP($E13,[1]Sheet1!$E$10:$X$629,AC$9,0)</f>
        <v>576</v>
      </c>
      <c r="AD13">
        <f>VLOOKUP($E13,[1]Sheet1!$E$10:$X$629,AD$9,0)</f>
        <v>288</v>
      </c>
      <c r="AE13">
        <f>VLOOKUP($E13,[1]Sheet1!$E$10:$X$629,AE$9,0)</f>
        <v>288</v>
      </c>
      <c r="AF13">
        <f>VLOOKUP($E13,[1]Sheet1!$E$10:$X$629,AF$9,0)</f>
        <v>480</v>
      </c>
      <c r="AG13">
        <f>VLOOKUP($E13,[1]Sheet1!$E$10:$X$629,AG$9,0)</f>
        <v>192</v>
      </c>
      <c r="AH13">
        <f>VLOOKUP($E13,[1]Sheet1!$E$10:$X$629,AH$9,0)</f>
        <v>192</v>
      </c>
      <c r="AJ13">
        <f t="shared" si="1"/>
        <v>3072</v>
      </c>
      <c r="AK13">
        <f t="shared" si="2"/>
        <v>2592</v>
      </c>
      <c r="AL13">
        <f t="shared" si="3"/>
        <v>480</v>
      </c>
    </row>
    <row r="14" spans="1:38" ht="39.6" x14ac:dyDescent="0.3">
      <c r="A14" s="4" t="s">
        <v>62</v>
      </c>
      <c r="B14" s="5" t="s">
        <v>63</v>
      </c>
      <c r="C14" s="21" t="s">
        <v>64</v>
      </c>
      <c r="D14" s="20"/>
      <c r="E14" s="4">
        <v>4007271</v>
      </c>
      <c r="F14" s="4" t="s">
        <v>44</v>
      </c>
      <c r="G14" s="4" t="s">
        <v>45</v>
      </c>
      <c r="H14" s="4"/>
      <c r="I14" s="4" t="s">
        <v>46</v>
      </c>
      <c r="J14" s="4" t="s">
        <v>47</v>
      </c>
      <c r="K14" s="4">
        <v>12.5</v>
      </c>
      <c r="L14" s="4">
        <v>12.49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Z14" t="e">
        <f>VLOOKUP(E14,Sheet2!$A$1:$A$39,1,0)</f>
        <v>#N/A</v>
      </c>
      <c r="AA14">
        <f>VLOOKUP($E14,[1]Sheet1!$E$10:$X$629,AA$9,0)</f>
        <v>0</v>
      </c>
      <c r="AB14">
        <f>VLOOKUP($E14,[1]Sheet1!$E$10:$X$629,AB$9,0)</f>
        <v>0</v>
      </c>
      <c r="AC14">
        <f>VLOOKUP($E14,[1]Sheet1!$E$10:$X$629,AC$9,0)</f>
        <v>0</v>
      </c>
      <c r="AD14">
        <f>VLOOKUP($E14,[1]Sheet1!$E$10:$X$629,AD$9,0)</f>
        <v>0</v>
      </c>
      <c r="AE14">
        <f>VLOOKUP($E14,[1]Sheet1!$E$10:$X$629,AE$9,0)</f>
        <v>0</v>
      </c>
      <c r="AF14">
        <f>VLOOKUP($E14,[1]Sheet1!$E$10:$X$629,AF$9,0)</f>
        <v>0</v>
      </c>
      <c r="AG14">
        <f>VLOOKUP($E14,[1]Sheet1!$E$10:$X$629,AG$9,0)</f>
        <v>0</v>
      </c>
      <c r="AH14">
        <f>VLOOKUP($E14,[1]Sheet1!$E$10:$X$629,AH$9,0)</f>
        <v>0</v>
      </c>
      <c r="AJ14">
        <f t="shared" si="1"/>
        <v>0</v>
      </c>
      <c r="AK14">
        <f t="shared" si="2"/>
        <v>0</v>
      </c>
      <c r="AL14">
        <f t="shared" si="3"/>
        <v>0</v>
      </c>
    </row>
    <row r="15" spans="1:38" ht="39.6" x14ac:dyDescent="0.3">
      <c r="A15" s="4" t="s">
        <v>65</v>
      </c>
      <c r="B15" s="5" t="s">
        <v>66</v>
      </c>
      <c r="C15" s="21" t="s">
        <v>43</v>
      </c>
      <c r="D15" s="20"/>
      <c r="E15" s="4">
        <v>1000360</v>
      </c>
      <c r="F15" s="4" t="s">
        <v>44</v>
      </c>
      <c r="G15" s="4" t="s">
        <v>45</v>
      </c>
      <c r="H15" s="4"/>
      <c r="I15" s="4" t="s">
        <v>52</v>
      </c>
      <c r="J15" s="4" t="s">
        <v>47</v>
      </c>
      <c r="K15" s="4">
        <v>9</v>
      </c>
      <c r="L15" s="4">
        <v>18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Z15" t="e">
        <f>VLOOKUP(E15,Sheet2!$A$1:$A$39,1,0)</f>
        <v>#N/A</v>
      </c>
      <c r="AA15">
        <f>VLOOKUP($E15,[1]Sheet1!$E$10:$X$629,AA$9,0)</f>
        <v>0</v>
      </c>
      <c r="AB15">
        <f>VLOOKUP($E15,[1]Sheet1!$E$10:$X$629,AB$9,0)</f>
        <v>0</v>
      </c>
      <c r="AC15">
        <f>VLOOKUP($E15,[1]Sheet1!$E$10:$X$629,AC$9,0)</f>
        <v>0</v>
      </c>
      <c r="AD15">
        <f>VLOOKUP($E15,[1]Sheet1!$E$10:$X$629,AD$9,0)</f>
        <v>0</v>
      </c>
      <c r="AE15">
        <f>VLOOKUP($E15,[1]Sheet1!$E$10:$X$629,AE$9,0)</f>
        <v>0</v>
      </c>
      <c r="AF15">
        <f>VLOOKUP($E15,[1]Sheet1!$E$10:$X$629,AF$9,0)</f>
        <v>0</v>
      </c>
      <c r="AG15">
        <f>VLOOKUP($E15,[1]Sheet1!$E$10:$X$629,AG$9,0)</f>
        <v>0</v>
      </c>
      <c r="AH15">
        <f>VLOOKUP($E15,[1]Sheet1!$E$10:$X$629,AH$9,0)</f>
        <v>0</v>
      </c>
      <c r="AJ15">
        <f t="shared" si="1"/>
        <v>0</v>
      </c>
      <c r="AK15">
        <f t="shared" si="2"/>
        <v>0</v>
      </c>
      <c r="AL15">
        <f t="shared" si="3"/>
        <v>0</v>
      </c>
    </row>
    <row r="16" spans="1:38" ht="39.6" x14ac:dyDescent="0.3">
      <c r="A16" s="4" t="s">
        <v>67</v>
      </c>
      <c r="B16" s="5" t="s">
        <v>68</v>
      </c>
      <c r="C16" s="21" t="s">
        <v>69</v>
      </c>
      <c r="D16" s="20"/>
      <c r="E16" s="4">
        <v>1000338</v>
      </c>
      <c r="F16" s="4" t="s">
        <v>44</v>
      </c>
      <c r="G16" s="4" t="s">
        <v>45</v>
      </c>
      <c r="H16" s="4"/>
      <c r="I16" s="4" t="s">
        <v>46</v>
      </c>
      <c r="J16" s="4" t="s">
        <v>47</v>
      </c>
      <c r="K16" s="4">
        <v>10</v>
      </c>
      <c r="L16" s="4">
        <v>20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Z16" t="e">
        <f>VLOOKUP(E16,Sheet2!$A$1:$A$39,1,0)</f>
        <v>#N/A</v>
      </c>
      <c r="AA16">
        <f>VLOOKUP($E16,[1]Sheet1!$E$10:$X$629,AA$9,0)</f>
        <v>0</v>
      </c>
      <c r="AB16">
        <f>VLOOKUP($E16,[1]Sheet1!$E$10:$X$629,AB$9,0)</f>
        <v>0</v>
      </c>
      <c r="AC16">
        <f>VLOOKUP($E16,[1]Sheet1!$E$10:$X$629,AC$9,0)</f>
        <v>0</v>
      </c>
      <c r="AD16">
        <f>VLOOKUP($E16,[1]Sheet1!$E$10:$X$629,AD$9,0)</f>
        <v>0</v>
      </c>
      <c r="AE16">
        <f>VLOOKUP($E16,[1]Sheet1!$E$10:$X$629,AE$9,0)</f>
        <v>0</v>
      </c>
      <c r="AF16">
        <f>VLOOKUP($E16,[1]Sheet1!$E$10:$X$629,AF$9,0)</f>
        <v>0</v>
      </c>
      <c r="AG16">
        <f>VLOOKUP($E16,[1]Sheet1!$E$10:$X$629,AG$9,0)</f>
        <v>0</v>
      </c>
      <c r="AH16">
        <f>VLOOKUP($E16,[1]Sheet1!$E$10:$X$629,AH$9,0)</f>
        <v>0</v>
      </c>
      <c r="AJ16">
        <f t="shared" si="1"/>
        <v>0</v>
      </c>
      <c r="AK16">
        <f t="shared" si="2"/>
        <v>0</v>
      </c>
      <c r="AL16">
        <f t="shared" si="3"/>
        <v>0</v>
      </c>
    </row>
    <row r="17" spans="1:38" ht="39.6" x14ac:dyDescent="0.3">
      <c r="A17" s="4" t="s">
        <v>70</v>
      </c>
      <c r="B17" s="5" t="s">
        <v>71</v>
      </c>
      <c r="C17" s="21" t="s">
        <v>72</v>
      </c>
      <c r="D17" s="20"/>
      <c r="E17" s="4">
        <v>1000367</v>
      </c>
      <c r="F17" s="4" t="s">
        <v>44</v>
      </c>
      <c r="G17" s="4" t="s">
        <v>45</v>
      </c>
      <c r="H17" s="4" t="s">
        <v>56</v>
      </c>
      <c r="I17" s="4" t="s">
        <v>57</v>
      </c>
      <c r="J17" s="4" t="s">
        <v>47</v>
      </c>
      <c r="K17" s="4">
        <v>12.5</v>
      </c>
      <c r="L17" s="4">
        <v>25</v>
      </c>
      <c r="M17" s="5">
        <v>936</v>
      </c>
      <c r="N17" s="5">
        <v>1296</v>
      </c>
      <c r="O17" s="5">
        <v>1152</v>
      </c>
      <c r="P17" s="5">
        <v>1080</v>
      </c>
      <c r="Q17" s="5">
        <v>1152</v>
      </c>
      <c r="R17" s="5">
        <v>1368</v>
      </c>
      <c r="S17" s="5">
        <v>1368</v>
      </c>
      <c r="T17" s="5">
        <v>1296</v>
      </c>
      <c r="U17" s="5">
        <v>2376</v>
      </c>
      <c r="V17" s="5">
        <v>2448</v>
      </c>
      <c r="W17" s="5">
        <v>792</v>
      </c>
      <c r="X17" s="5">
        <v>2520</v>
      </c>
      <c r="Z17" t="e">
        <f>VLOOKUP(E17,Sheet2!$A$1:$A$39,1,0)</f>
        <v>#N/A</v>
      </c>
      <c r="AA17">
        <f>VLOOKUP($E17,[1]Sheet1!$E$10:$X$629,AA$9,0)</f>
        <v>1296</v>
      </c>
      <c r="AB17">
        <f>VLOOKUP($E17,[1]Sheet1!$E$10:$X$629,AB$9,0)</f>
        <v>1584</v>
      </c>
      <c r="AC17">
        <f>VLOOKUP($E17,[1]Sheet1!$E$10:$X$629,AC$9,0)</f>
        <v>1800</v>
      </c>
      <c r="AD17">
        <f>VLOOKUP($E17,[1]Sheet1!$E$10:$X$629,AD$9,0)</f>
        <v>1584</v>
      </c>
      <c r="AE17">
        <f>VLOOKUP($E17,[1]Sheet1!$E$10:$X$629,AE$9,0)</f>
        <v>1368</v>
      </c>
      <c r="AF17">
        <f>VLOOKUP($E17,[1]Sheet1!$E$10:$X$629,AF$9,0)</f>
        <v>1872</v>
      </c>
      <c r="AG17">
        <f>VLOOKUP($E17,[1]Sheet1!$E$10:$X$629,AG$9,0)</f>
        <v>1872</v>
      </c>
      <c r="AH17">
        <f>VLOOKUP($E17,[1]Sheet1!$E$10:$X$629,AH$9,0)</f>
        <v>720</v>
      </c>
      <c r="AJ17">
        <f t="shared" si="1"/>
        <v>9648</v>
      </c>
      <c r="AK17">
        <f t="shared" si="2"/>
        <v>12096</v>
      </c>
      <c r="AL17">
        <f t="shared" si="3"/>
        <v>-2448</v>
      </c>
    </row>
    <row r="18" spans="1:38" ht="39.6" x14ac:dyDescent="0.3">
      <c r="A18" s="4" t="s">
        <v>73</v>
      </c>
      <c r="B18" s="5" t="s">
        <v>74</v>
      </c>
      <c r="C18" s="21" t="s">
        <v>75</v>
      </c>
      <c r="D18" s="20"/>
      <c r="E18" s="4">
        <v>1000368</v>
      </c>
      <c r="F18" s="4" t="s">
        <v>44</v>
      </c>
      <c r="G18" s="4" t="s">
        <v>45</v>
      </c>
      <c r="H18" s="4" t="s">
        <v>56</v>
      </c>
      <c r="I18" s="4" t="s">
        <v>57</v>
      </c>
      <c r="J18" s="4" t="s">
        <v>47</v>
      </c>
      <c r="K18" s="4">
        <v>12.5</v>
      </c>
      <c r="L18" s="4">
        <v>25</v>
      </c>
      <c r="M18" s="5">
        <v>720</v>
      </c>
      <c r="N18" s="5">
        <v>1008</v>
      </c>
      <c r="O18" s="5">
        <v>936</v>
      </c>
      <c r="P18" s="5">
        <v>936</v>
      </c>
      <c r="Q18" s="5">
        <v>936</v>
      </c>
      <c r="R18" s="5">
        <v>1152</v>
      </c>
      <c r="S18" s="5">
        <v>936</v>
      </c>
      <c r="T18" s="5">
        <v>1080</v>
      </c>
      <c r="U18" s="5">
        <v>1368</v>
      </c>
      <c r="V18" s="5">
        <v>2160</v>
      </c>
      <c r="W18" s="5">
        <v>720</v>
      </c>
      <c r="X18" s="5">
        <v>2016</v>
      </c>
      <c r="Z18" t="e">
        <f>VLOOKUP(E18,Sheet2!$A$1:$A$39,1,0)</f>
        <v>#N/A</v>
      </c>
      <c r="AA18">
        <f>VLOOKUP($E18,[1]Sheet1!$E$10:$X$629,AA$9,0)</f>
        <v>936</v>
      </c>
      <c r="AB18">
        <f>VLOOKUP($E18,[1]Sheet1!$E$10:$X$629,AB$9,0)</f>
        <v>1008</v>
      </c>
      <c r="AC18">
        <f>VLOOKUP($E18,[1]Sheet1!$E$10:$X$629,AC$9,0)</f>
        <v>1152</v>
      </c>
      <c r="AD18">
        <f>VLOOKUP($E18,[1]Sheet1!$E$10:$X$629,AD$9,0)</f>
        <v>864</v>
      </c>
      <c r="AE18">
        <f>VLOOKUP($E18,[1]Sheet1!$E$10:$X$629,AE$9,0)</f>
        <v>936</v>
      </c>
      <c r="AF18">
        <f>VLOOKUP($E18,[1]Sheet1!$E$10:$X$629,AF$9,0)</f>
        <v>1224</v>
      </c>
      <c r="AG18">
        <f>VLOOKUP($E18,[1]Sheet1!$E$10:$X$629,AG$9,0)</f>
        <v>1080</v>
      </c>
      <c r="AH18">
        <f>VLOOKUP($E18,[1]Sheet1!$E$10:$X$629,AH$9,0)</f>
        <v>504</v>
      </c>
      <c r="AJ18">
        <f t="shared" si="1"/>
        <v>7704</v>
      </c>
      <c r="AK18">
        <f t="shared" si="2"/>
        <v>7704</v>
      </c>
      <c r="AL18">
        <f t="shared" si="3"/>
        <v>0</v>
      </c>
    </row>
    <row r="19" spans="1:38" ht="39.6" x14ac:dyDescent="0.3">
      <c r="A19" s="4" t="s">
        <v>76</v>
      </c>
      <c r="B19" s="5" t="s">
        <v>77</v>
      </c>
      <c r="C19" s="21" t="s">
        <v>78</v>
      </c>
      <c r="D19" s="20"/>
      <c r="E19" s="4">
        <v>1000085</v>
      </c>
      <c r="F19" s="4" t="s">
        <v>44</v>
      </c>
      <c r="G19" s="4" t="s">
        <v>45</v>
      </c>
      <c r="H19" s="4"/>
      <c r="I19" s="4" t="s">
        <v>46</v>
      </c>
      <c r="J19" s="4" t="s">
        <v>47</v>
      </c>
      <c r="K19" s="4">
        <v>10</v>
      </c>
      <c r="L19" s="4">
        <v>20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Z19" t="e">
        <f>VLOOKUP(E19,Sheet2!$A$1:$A$39,1,0)</f>
        <v>#N/A</v>
      </c>
      <c r="AA19">
        <f>VLOOKUP($E19,[1]Sheet1!$E$10:$X$629,AA$9,0)</f>
        <v>0</v>
      </c>
      <c r="AB19">
        <f>VLOOKUP($E19,[1]Sheet1!$E$10:$X$629,AB$9,0)</f>
        <v>0</v>
      </c>
      <c r="AC19">
        <f>VLOOKUP($E19,[1]Sheet1!$E$10:$X$629,AC$9,0)</f>
        <v>0</v>
      </c>
      <c r="AD19">
        <f>VLOOKUP($E19,[1]Sheet1!$E$10:$X$629,AD$9,0)</f>
        <v>0</v>
      </c>
      <c r="AE19">
        <f>VLOOKUP($E19,[1]Sheet1!$E$10:$X$629,AE$9,0)</f>
        <v>0</v>
      </c>
      <c r="AF19">
        <f>VLOOKUP($E19,[1]Sheet1!$E$10:$X$629,AF$9,0)</f>
        <v>0</v>
      </c>
      <c r="AG19">
        <f>VLOOKUP($E19,[1]Sheet1!$E$10:$X$629,AG$9,0)</f>
        <v>0</v>
      </c>
      <c r="AH19">
        <f>VLOOKUP($E19,[1]Sheet1!$E$10:$X$629,AH$9,0)</f>
        <v>0</v>
      </c>
      <c r="AJ19">
        <f t="shared" si="1"/>
        <v>0</v>
      </c>
      <c r="AK19">
        <f t="shared" si="2"/>
        <v>0</v>
      </c>
      <c r="AL19">
        <f t="shared" si="3"/>
        <v>0</v>
      </c>
    </row>
    <row r="20" spans="1:38" ht="39.6" x14ac:dyDescent="0.3">
      <c r="A20" s="4" t="s">
        <v>79</v>
      </c>
      <c r="B20" s="5" t="s">
        <v>80</v>
      </c>
      <c r="C20" s="21" t="s">
        <v>81</v>
      </c>
      <c r="D20" s="20"/>
      <c r="E20" s="4">
        <v>1000611</v>
      </c>
      <c r="F20" s="4" t="s">
        <v>44</v>
      </c>
      <c r="G20" s="4" t="s">
        <v>45</v>
      </c>
      <c r="H20" s="4"/>
      <c r="I20" s="4" t="s">
        <v>52</v>
      </c>
      <c r="J20" s="4" t="s">
        <v>47</v>
      </c>
      <c r="K20" s="4">
        <v>4</v>
      </c>
      <c r="L20" s="4">
        <v>8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Z20" t="e">
        <f>VLOOKUP(E20,Sheet2!$A$1:$A$39,1,0)</f>
        <v>#N/A</v>
      </c>
      <c r="AA20">
        <f>VLOOKUP($E20,[1]Sheet1!$E$10:$X$629,AA$9,0)</f>
        <v>0</v>
      </c>
      <c r="AB20">
        <f>VLOOKUP($E20,[1]Sheet1!$E$10:$X$629,AB$9,0)</f>
        <v>0</v>
      </c>
      <c r="AC20">
        <f>VLOOKUP($E20,[1]Sheet1!$E$10:$X$629,AC$9,0)</f>
        <v>0</v>
      </c>
      <c r="AD20">
        <f>VLOOKUP($E20,[1]Sheet1!$E$10:$X$629,AD$9,0)</f>
        <v>0</v>
      </c>
      <c r="AE20">
        <f>VLOOKUP($E20,[1]Sheet1!$E$10:$X$629,AE$9,0)</f>
        <v>0</v>
      </c>
      <c r="AF20">
        <f>VLOOKUP($E20,[1]Sheet1!$E$10:$X$629,AF$9,0)</f>
        <v>0</v>
      </c>
      <c r="AG20">
        <f>VLOOKUP($E20,[1]Sheet1!$E$10:$X$629,AG$9,0)</f>
        <v>0</v>
      </c>
      <c r="AH20">
        <f>VLOOKUP($E20,[1]Sheet1!$E$10:$X$629,AH$9,0)</f>
        <v>0</v>
      </c>
      <c r="AJ20">
        <f t="shared" si="1"/>
        <v>0</v>
      </c>
      <c r="AK20">
        <f t="shared" si="2"/>
        <v>0</v>
      </c>
      <c r="AL20">
        <f t="shared" si="3"/>
        <v>0</v>
      </c>
    </row>
    <row r="21" spans="1:38" ht="39.6" x14ac:dyDescent="0.3">
      <c r="A21" s="4" t="s">
        <v>82</v>
      </c>
      <c r="B21" s="5" t="s">
        <v>83</v>
      </c>
      <c r="C21" s="21" t="s">
        <v>84</v>
      </c>
      <c r="D21" s="20"/>
      <c r="E21" s="4">
        <v>1000371</v>
      </c>
      <c r="F21" s="4" t="s">
        <v>44</v>
      </c>
      <c r="G21" s="4" t="s">
        <v>45</v>
      </c>
      <c r="H21" s="4"/>
      <c r="I21" s="4" t="s">
        <v>46</v>
      </c>
      <c r="J21" s="4" t="s">
        <v>47</v>
      </c>
      <c r="K21" s="4">
        <v>7.5</v>
      </c>
      <c r="L21" s="4">
        <v>15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Z21" t="e">
        <f>VLOOKUP(E21,Sheet2!$A$1:$A$39,1,0)</f>
        <v>#N/A</v>
      </c>
      <c r="AA21">
        <f>VLOOKUP($E21,[1]Sheet1!$E$10:$X$629,AA$9,0)</f>
        <v>0</v>
      </c>
      <c r="AB21">
        <f>VLOOKUP($E21,[1]Sheet1!$E$10:$X$629,AB$9,0)</f>
        <v>0</v>
      </c>
      <c r="AC21">
        <f>VLOOKUP($E21,[1]Sheet1!$E$10:$X$629,AC$9,0)</f>
        <v>0</v>
      </c>
      <c r="AD21">
        <f>VLOOKUP($E21,[1]Sheet1!$E$10:$X$629,AD$9,0)</f>
        <v>0</v>
      </c>
      <c r="AE21">
        <f>VLOOKUP($E21,[1]Sheet1!$E$10:$X$629,AE$9,0)</f>
        <v>0</v>
      </c>
      <c r="AF21">
        <f>VLOOKUP($E21,[1]Sheet1!$E$10:$X$629,AF$9,0)</f>
        <v>0</v>
      </c>
      <c r="AG21">
        <f>VLOOKUP($E21,[1]Sheet1!$E$10:$X$629,AG$9,0)</f>
        <v>0</v>
      </c>
      <c r="AH21">
        <f>VLOOKUP($E21,[1]Sheet1!$E$10:$X$629,AH$9,0)</f>
        <v>0</v>
      </c>
      <c r="AJ21">
        <f t="shared" si="1"/>
        <v>0</v>
      </c>
      <c r="AK21">
        <f t="shared" si="2"/>
        <v>0</v>
      </c>
      <c r="AL21">
        <f t="shared" si="3"/>
        <v>0</v>
      </c>
    </row>
    <row r="22" spans="1:38" ht="39.6" x14ac:dyDescent="0.3">
      <c r="A22" s="4" t="s">
        <v>85</v>
      </c>
      <c r="B22" s="5" t="s">
        <v>86</v>
      </c>
      <c r="C22" s="21" t="s">
        <v>84</v>
      </c>
      <c r="D22" s="20"/>
      <c r="E22" s="4">
        <v>1000370</v>
      </c>
      <c r="F22" s="4" t="s">
        <v>44</v>
      </c>
      <c r="G22" s="4" t="s">
        <v>45</v>
      </c>
      <c r="H22" s="4"/>
      <c r="I22" s="4" t="s">
        <v>52</v>
      </c>
      <c r="J22" s="4" t="s">
        <v>47</v>
      </c>
      <c r="K22" s="4">
        <v>7.5</v>
      </c>
      <c r="L22" s="4">
        <v>15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Z22" t="e">
        <f>VLOOKUP(E22,Sheet2!$A$1:$A$39,1,0)</f>
        <v>#N/A</v>
      </c>
      <c r="AA22">
        <f>VLOOKUP($E22,[1]Sheet1!$E$10:$X$629,AA$9,0)</f>
        <v>0</v>
      </c>
      <c r="AB22">
        <f>VLOOKUP($E22,[1]Sheet1!$E$10:$X$629,AB$9,0)</f>
        <v>0</v>
      </c>
      <c r="AC22">
        <f>VLOOKUP($E22,[1]Sheet1!$E$10:$X$629,AC$9,0)</f>
        <v>0</v>
      </c>
      <c r="AD22">
        <f>VLOOKUP($E22,[1]Sheet1!$E$10:$X$629,AD$9,0)</f>
        <v>0</v>
      </c>
      <c r="AE22">
        <f>VLOOKUP($E22,[1]Sheet1!$E$10:$X$629,AE$9,0)</f>
        <v>0</v>
      </c>
      <c r="AF22">
        <f>VLOOKUP($E22,[1]Sheet1!$E$10:$X$629,AF$9,0)</f>
        <v>0</v>
      </c>
      <c r="AG22">
        <f>VLOOKUP($E22,[1]Sheet1!$E$10:$X$629,AG$9,0)</f>
        <v>0</v>
      </c>
      <c r="AH22">
        <f>VLOOKUP($E22,[1]Sheet1!$E$10:$X$629,AH$9,0)</f>
        <v>0</v>
      </c>
      <c r="AJ22">
        <f t="shared" si="1"/>
        <v>0</v>
      </c>
      <c r="AK22">
        <f t="shared" si="2"/>
        <v>0</v>
      </c>
      <c r="AL22">
        <f t="shared" si="3"/>
        <v>0</v>
      </c>
    </row>
    <row r="23" spans="1:38" ht="39.6" x14ac:dyDescent="0.3">
      <c r="A23" s="4" t="s">
        <v>87</v>
      </c>
      <c r="B23" s="5" t="s">
        <v>88</v>
      </c>
      <c r="C23" s="21" t="s">
        <v>89</v>
      </c>
      <c r="D23" s="20"/>
      <c r="E23" s="4">
        <v>1000189</v>
      </c>
      <c r="F23" s="4" t="s">
        <v>44</v>
      </c>
      <c r="G23" s="4" t="s">
        <v>45</v>
      </c>
      <c r="H23" s="4"/>
      <c r="I23" s="4" t="s">
        <v>46</v>
      </c>
      <c r="J23" s="4" t="s">
        <v>47</v>
      </c>
      <c r="K23" s="4">
        <v>8.5</v>
      </c>
      <c r="L23" s="4">
        <v>17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Z23" t="e">
        <f>VLOOKUP(E23,Sheet2!$A$1:$A$39,1,0)</f>
        <v>#N/A</v>
      </c>
      <c r="AA23">
        <f>VLOOKUP($E23,[1]Sheet1!$E$10:$X$629,AA$9,0)</f>
        <v>0</v>
      </c>
      <c r="AB23">
        <f>VLOOKUP($E23,[1]Sheet1!$E$10:$X$629,AB$9,0)</f>
        <v>0</v>
      </c>
      <c r="AC23">
        <f>VLOOKUP($E23,[1]Sheet1!$E$10:$X$629,AC$9,0)</f>
        <v>0</v>
      </c>
      <c r="AD23">
        <f>VLOOKUP($E23,[1]Sheet1!$E$10:$X$629,AD$9,0)</f>
        <v>0</v>
      </c>
      <c r="AE23">
        <f>VLOOKUP($E23,[1]Sheet1!$E$10:$X$629,AE$9,0)</f>
        <v>0</v>
      </c>
      <c r="AF23">
        <f>VLOOKUP($E23,[1]Sheet1!$E$10:$X$629,AF$9,0)</f>
        <v>0</v>
      </c>
      <c r="AG23">
        <f>VLOOKUP($E23,[1]Sheet1!$E$10:$X$629,AG$9,0)</f>
        <v>0</v>
      </c>
      <c r="AH23">
        <f>VLOOKUP($E23,[1]Sheet1!$E$10:$X$629,AH$9,0)</f>
        <v>0</v>
      </c>
      <c r="AJ23">
        <f t="shared" si="1"/>
        <v>0</v>
      </c>
      <c r="AK23">
        <f t="shared" si="2"/>
        <v>0</v>
      </c>
      <c r="AL23">
        <f t="shared" si="3"/>
        <v>0</v>
      </c>
    </row>
    <row r="24" spans="1:38" ht="39.6" x14ac:dyDescent="0.3">
      <c r="A24" s="4" t="s">
        <v>90</v>
      </c>
      <c r="B24" s="5" t="s">
        <v>91</v>
      </c>
      <c r="C24" s="21" t="s">
        <v>92</v>
      </c>
      <c r="D24" s="20"/>
      <c r="E24" s="4">
        <v>1000109</v>
      </c>
      <c r="F24" s="4" t="s">
        <v>44</v>
      </c>
      <c r="G24" s="4" t="s">
        <v>45</v>
      </c>
      <c r="H24" s="4"/>
      <c r="I24" s="4" t="s">
        <v>46</v>
      </c>
      <c r="J24" s="4" t="s">
        <v>47</v>
      </c>
      <c r="K24" s="4">
        <v>10</v>
      </c>
      <c r="L24" s="4">
        <v>6.25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Z24" t="e">
        <f>VLOOKUP(E24,Sheet2!$A$1:$A$39,1,0)</f>
        <v>#N/A</v>
      </c>
      <c r="AA24">
        <f>VLOOKUP($E24,[1]Sheet1!$E$10:$X$629,AA$9,0)</f>
        <v>0</v>
      </c>
      <c r="AB24">
        <f>VLOOKUP($E24,[1]Sheet1!$E$10:$X$629,AB$9,0)</f>
        <v>0</v>
      </c>
      <c r="AC24">
        <f>VLOOKUP($E24,[1]Sheet1!$E$10:$X$629,AC$9,0)</f>
        <v>0</v>
      </c>
      <c r="AD24">
        <f>VLOOKUP($E24,[1]Sheet1!$E$10:$X$629,AD$9,0)</f>
        <v>0</v>
      </c>
      <c r="AE24">
        <f>VLOOKUP($E24,[1]Sheet1!$E$10:$X$629,AE$9,0)</f>
        <v>0</v>
      </c>
      <c r="AF24">
        <f>VLOOKUP($E24,[1]Sheet1!$E$10:$X$629,AF$9,0)</f>
        <v>0</v>
      </c>
      <c r="AG24">
        <f>VLOOKUP($E24,[1]Sheet1!$E$10:$X$629,AG$9,0)</f>
        <v>0</v>
      </c>
      <c r="AH24">
        <f>VLOOKUP($E24,[1]Sheet1!$E$10:$X$629,AH$9,0)</f>
        <v>0</v>
      </c>
      <c r="AJ24">
        <f t="shared" si="1"/>
        <v>0</v>
      </c>
      <c r="AK24">
        <f t="shared" si="2"/>
        <v>0</v>
      </c>
      <c r="AL24">
        <f t="shared" si="3"/>
        <v>0</v>
      </c>
    </row>
    <row r="25" spans="1:38" ht="39.6" x14ac:dyDescent="0.3">
      <c r="A25" s="4" t="s">
        <v>93</v>
      </c>
      <c r="B25" s="5" t="s">
        <v>94</v>
      </c>
      <c r="C25" s="21" t="s">
        <v>95</v>
      </c>
      <c r="D25" s="20"/>
      <c r="E25" s="4">
        <v>1000187</v>
      </c>
      <c r="F25" s="4" t="s">
        <v>44</v>
      </c>
      <c r="G25" s="4" t="s">
        <v>45</v>
      </c>
      <c r="H25" s="4"/>
      <c r="I25" s="4" t="s">
        <v>46</v>
      </c>
      <c r="J25" s="4" t="s">
        <v>47</v>
      </c>
      <c r="K25" s="4">
        <v>8.5</v>
      </c>
      <c r="L25" s="4">
        <v>17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Z25" t="e">
        <f>VLOOKUP(E25,Sheet2!$A$1:$A$39,1,0)</f>
        <v>#N/A</v>
      </c>
      <c r="AA25">
        <f>VLOOKUP($E25,[1]Sheet1!$E$10:$X$629,AA$9,0)</f>
        <v>0</v>
      </c>
      <c r="AB25">
        <f>VLOOKUP($E25,[1]Sheet1!$E$10:$X$629,AB$9,0)</f>
        <v>0</v>
      </c>
      <c r="AC25">
        <f>VLOOKUP($E25,[1]Sheet1!$E$10:$X$629,AC$9,0)</f>
        <v>0</v>
      </c>
      <c r="AD25">
        <f>VLOOKUP($E25,[1]Sheet1!$E$10:$X$629,AD$9,0)</f>
        <v>0</v>
      </c>
      <c r="AE25">
        <f>VLOOKUP($E25,[1]Sheet1!$E$10:$X$629,AE$9,0)</f>
        <v>0</v>
      </c>
      <c r="AF25">
        <f>VLOOKUP($E25,[1]Sheet1!$E$10:$X$629,AF$9,0)</f>
        <v>0</v>
      </c>
      <c r="AG25">
        <f>VLOOKUP($E25,[1]Sheet1!$E$10:$X$629,AG$9,0)</f>
        <v>0</v>
      </c>
      <c r="AH25">
        <f>VLOOKUP($E25,[1]Sheet1!$E$10:$X$629,AH$9,0)</f>
        <v>0</v>
      </c>
      <c r="AJ25">
        <f t="shared" si="1"/>
        <v>0</v>
      </c>
      <c r="AK25">
        <f t="shared" si="2"/>
        <v>0</v>
      </c>
      <c r="AL25">
        <f t="shared" si="3"/>
        <v>0</v>
      </c>
    </row>
    <row r="26" spans="1:38" ht="39.6" x14ac:dyDescent="0.3">
      <c r="A26" s="4" t="s">
        <v>96</v>
      </c>
      <c r="B26" s="5" t="s">
        <v>97</v>
      </c>
      <c r="C26" s="21" t="s">
        <v>98</v>
      </c>
      <c r="D26" s="20"/>
      <c r="E26" s="4">
        <v>1000810</v>
      </c>
      <c r="F26" s="4" t="s">
        <v>44</v>
      </c>
      <c r="G26" s="4" t="s">
        <v>45</v>
      </c>
      <c r="H26" s="4"/>
      <c r="I26" s="4" t="s">
        <v>46</v>
      </c>
      <c r="J26" s="4" t="s">
        <v>47</v>
      </c>
      <c r="K26" s="4">
        <v>7</v>
      </c>
      <c r="L26" s="4">
        <v>14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Z26" t="e">
        <f>VLOOKUP(E26,Sheet2!$A$1:$A$39,1,0)</f>
        <v>#N/A</v>
      </c>
      <c r="AA26">
        <f>VLOOKUP($E26,[1]Sheet1!$E$10:$X$629,AA$9,0)</f>
        <v>0</v>
      </c>
      <c r="AB26">
        <f>VLOOKUP($E26,[1]Sheet1!$E$10:$X$629,AB$9,0)</f>
        <v>0</v>
      </c>
      <c r="AC26">
        <f>VLOOKUP($E26,[1]Sheet1!$E$10:$X$629,AC$9,0)</f>
        <v>0</v>
      </c>
      <c r="AD26">
        <f>VLOOKUP($E26,[1]Sheet1!$E$10:$X$629,AD$9,0)</f>
        <v>0</v>
      </c>
      <c r="AE26">
        <f>VLOOKUP($E26,[1]Sheet1!$E$10:$X$629,AE$9,0)</f>
        <v>0</v>
      </c>
      <c r="AF26">
        <f>VLOOKUP($E26,[1]Sheet1!$E$10:$X$629,AF$9,0)</f>
        <v>0</v>
      </c>
      <c r="AG26">
        <f>VLOOKUP($E26,[1]Sheet1!$E$10:$X$629,AG$9,0)</f>
        <v>0</v>
      </c>
      <c r="AH26">
        <f>VLOOKUP($E26,[1]Sheet1!$E$10:$X$629,AH$9,0)</f>
        <v>0</v>
      </c>
      <c r="AJ26">
        <f t="shared" si="1"/>
        <v>0</v>
      </c>
      <c r="AK26">
        <f t="shared" si="2"/>
        <v>0</v>
      </c>
      <c r="AL26">
        <f t="shared" si="3"/>
        <v>0</v>
      </c>
    </row>
    <row r="27" spans="1:38" ht="39.6" x14ac:dyDescent="0.3">
      <c r="A27" s="4" t="s">
        <v>99</v>
      </c>
      <c r="B27" s="5" t="s">
        <v>100</v>
      </c>
      <c r="C27" s="21" t="s">
        <v>101</v>
      </c>
      <c r="D27" s="20"/>
      <c r="E27" s="4">
        <v>1000262</v>
      </c>
      <c r="F27" s="4" t="s">
        <v>44</v>
      </c>
      <c r="G27" s="4" t="s">
        <v>45</v>
      </c>
      <c r="H27" s="4"/>
      <c r="I27" s="4" t="s">
        <v>46</v>
      </c>
      <c r="J27" s="4" t="s">
        <v>47</v>
      </c>
      <c r="K27" s="4">
        <v>10</v>
      </c>
      <c r="L27" s="4">
        <v>9.99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Z27" t="e">
        <f>VLOOKUP(E27,Sheet2!$A$1:$A$39,1,0)</f>
        <v>#N/A</v>
      </c>
      <c r="AA27">
        <f>VLOOKUP($E27,[1]Sheet1!$E$10:$X$629,AA$9,0)</f>
        <v>0</v>
      </c>
      <c r="AB27">
        <f>VLOOKUP($E27,[1]Sheet1!$E$10:$X$629,AB$9,0)</f>
        <v>0</v>
      </c>
      <c r="AC27">
        <f>VLOOKUP($E27,[1]Sheet1!$E$10:$X$629,AC$9,0)</f>
        <v>0</v>
      </c>
      <c r="AD27">
        <f>VLOOKUP($E27,[1]Sheet1!$E$10:$X$629,AD$9,0)</f>
        <v>0</v>
      </c>
      <c r="AE27">
        <f>VLOOKUP($E27,[1]Sheet1!$E$10:$X$629,AE$9,0)</f>
        <v>0</v>
      </c>
      <c r="AF27">
        <f>VLOOKUP($E27,[1]Sheet1!$E$10:$X$629,AF$9,0)</f>
        <v>0</v>
      </c>
      <c r="AG27">
        <f>VLOOKUP($E27,[1]Sheet1!$E$10:$X$629,AG$9,0)</f>
        <v>0</v>
      </c>
      <c r="AH27">
        <f>VLOOKUP($E27,[1]Sheet1!$E$10:$X$629,AH$9,0)</f>
        <v>0</v>
      </c>
      <c r="AJ27">
        <f t="shared" si="1"/>
        <v>0</v>
      </c>
      <c r="AK27">
        <f t="shared" si="2"/>
        <v>0</v>
      </c>
      <c r="AL27">
        <f t="shared" si="3"/>
        <v>0</v>
      </c>
    </row>
    <row r="28" spans="1:38" ht="39.6" x14ac:dyDescent="0.3">
      <c r="A28" s="4" t="s">
        <v>102</v>
      </c>
      <c r="B28" s="5" t="s">
        <v>103</v>
      </c>
      <c r="C28" s="21" t="s">
        <v>104</v>
      </c>
      <c r="D28" s="20"/>
      <c r="E28" s="4">
        <v>1000098</v>
      </c>
      <c r="F28" s="4" t="s">
        <v>44</v>
      </c>
      <c r="G28" s="4" t="s">
        <v>45</v>
      </c>
      <c r="H28" s="4" t="s">
        <v>61</v>
      </c>
      <c r="I28" s="4" t="s">
        <v>46</v>
      </c>
      <c r="J28" s="4" t="s">
        <v>47</v>
      </c>
      <c r="K28" s="4">
        <v>10</v>
      </c>
      <c r="L28" s="4">
        <v>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Z28" t="e">
        <f>VLOOKUP(E28,Sheet2!$A$1:$A$39,1,0)</f>
        <v>#N/A</v>
      </c>
      <c r="AA28">
        <f>VLOOKUP($E28,[1]Sheet1!$E$10:$X$629,AA$9,0)</f>
        <v>0</v>
      </c>
      <c r="AB28">
        <f>VLOOKUP($E28,[1]Sheet1!$E$10:$X$629,AB$9,0)</f>
        <v>0</v>
      </c>
      <c r="AC28">
        <f>VLOOKUP($E28,[1]Sheet1!$E$10:$X$629,AC$9,0)</f>
        <v>0</v>
      </c>
      <c r="AD28">
        <f>VLOOKUP($E28,[1]Sheet1!$E$10:$X$629,AD$9,0)</f>
        <v>0</v>
      </c>
      <c r="AE28">
        <f>VLOOKUP($E28,[1]Sheet1!$E$10:$X$629,AE$9,0)</f>
        <v>0</v>
      </c>
      <c r="AF28">
        <f>VLOOKUP($E28,[1]Sheet1!$E$10:$X$629,AF$9,0)</f>
        <v>0</v>
      </c>
      <c r="AG28">
        <f>VLOOKUP($E28,[1]Sheet1!$E$10:$X$629,AG$9,0)</f>
        <v>0</v>
      </c>
      <c r="AH28">
        <f>VLOOKUP($E28,[1]Sheet1!$E$10:$X$629,AH$9,0)</f>
        <v>0</v>
      </c>
      <c r="AJ28">
        <f t="shared" si="1"/>
        <v>0</v>
      </c>
      <c r="AK28">
        <f t="shared" si="2"/>
        <v>0</v>
      </c>
      <c r="AL28">
        <f t="shared" si="3"/>
        <v>0</v>
      </c>
    </row>
    <row r="29" spans="1:38" ht="39.6" x14ac:dyDescent="0.3">
      <c r="A29" s="4" t="s">
        <v>105</v>
      </c>
      <c r="B29" s="5" t="s">
        <v>106</v>
      </c>
      <c r="C29" s="21" t="s">
        <v>98</v>
      </c>
      <c r="D29" s="20"/>
      <c r="E29" s="4">
        <v>1000809</v>
      </c>
      <c r="F29" s="4" t="s">
        <v>44</v>
      </c>
      <c r="G29" s="4" t="s">
        <v>45</v>
      </c>
      <c r="H29" s="4"/>
      <c r="I29" s="4" t="s">
        <v>46</v>
      </c>
      <c r="J29" s="4" t="s">
        <v>47</v>
      </c>
      <c r="K29" s="4">
        <v>7</v>
      </c>
      <c r="L29" s="4">
        <v>14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Z29" t="e">
        <f>VLOOKUP(E29,Sheet2!$A$1:$A$39,1,0)</f>
        <v>#N/A</v>
      </c>
      <c r="AA29">
        <f>VLOOKUP($E29,[1]Sheet1!$E$10:$X$629,AA$9,0)</f>
        <v>0</v>
      </c>
      <c r="AB29">
        <f>VLOOKUP($E29,[1]Sheet1!$E$10:$X$629,AB$9,0)</f>
        <v>0</v>
      </c>
      <c r="AC29">
        <f>VLOOKUP($E29,[1]Sheet1!$E$10:$X$629,AC$9,0)</f>
        <v>0</v>
      </c>
      <c r="AD29">
        <f>VLOOKUP($E29,[1]Sheet1!$E$10:$X$629,AD$9,0)</f>
        <v>0</v>
      </c>
      <c r="AE29">
        <f>VLOOKUP($E29,[1]Sheet1!$E$10:$X$629,AE$9,0)</f>
        <v>0</v>
      </c>
      <c r="AF29">
        <f>VLOOKUP($E29,[1]Sheet1!$E$10:$X$629,AF$9,0)</f>
        <v>0</v>
      </c>
      <c r="AG29">
        <f>VLOOKUP($E29,[1]Sheet1!$E$10:$X$629,AG$9,0)</f>
        <v>0</v>
      </c>
      <c r="AH29">
        <f>VLOOKUP($E29,[1]Sheet1!$E$10:$X$629,AH$9,0)</f>
        <v>0</v>
      </c>
      <c r="AJ29">
        <f t="shared" si="1"/>
        <v>0</v>
      </c>
      <c r="AK29">
        <f t="shared" si="2"/>
        <v>0</v>
      </c>
      <c r="AL29">
        <f t="shared" si="3"/>
        <v>0</v>
      </c>
    </row>
    <row r="30" spans="1:38" ht="39.6" x14ac:dyDescent="0.3">
      <c r="A30" s="4" t="s">
        <v>107</v>
      </c>
      <c r="B30" s="5" t="s">
        <v>108</v>
      </c>
      <c r="C30" s="21" t="s">
        <v>104</v>
      </c>
      <c r="D30" s="20"/>
      <c r="E30" s="4">
        <v>1000097</v>
      </c>
      <c r="F30" s="4" t="s">
        <v>44</v>
      </c>
      <c r="G30" s="4" t="s">
        <v>45</v>
      </c>
      <c r="H30" s="4" t="s">
        <v>56</v>
      </c>
      <c r="I30" s="4" t="s">
        <v>57</v>
      </c>
      <c r="J30" s="4" t="s">
        <v>47</v>
      </c>
      <c r="K30" s="4">
        <v>12.5</v>
      </c>
      <c r="L30" s="4">
        <v>25</v>
      </c>
      <c r="M30" s="5">
        <v>480</v>
      </c>
      <c r="N30" s="5">
        <v>576</v>
      </c>
      <c r="O30" s="5">
        <v>768</v>
      </c>
      <c r="P30" s="5">
        <v>480</v>
      </c>
      <c r="Q30" s="5">
        <v>480</v>
      </c>
      <c r="R30" s="5">
        <v>672</v>
      </c>
      <c r="S30" s="5">
        <v>576</v>
      </c>
      <c r="T30" s="5">
        <v>480</v>
      </c>
      <c r="U30" s="5">
        <v>1056</v>
      </c>
      <c r="V30" s="5">
        <v>1248</v>
      </c>
      <c r="W30" s="5">
        <v>576</v>
      </c>
      <c r="X30" s="5">
        <v>1152</v>
      </c>
      <c r="Z30" t="e">
        <f>VLOOKUP(E30,Sheet2!$A$1:$A$39,1,0)</f>
        <v>#N/A</v>
      </c>
      <c r="AA30">
        <f>VLOOKUP($E30,[1]Sheet1!$E$10:$X$629,AA$9,0)</f>
        <v>480</v>
      </c>
      <c r="AB30">
        <f>VLOOKUP($E30,[1]Sheet1!$E$10:$X$629,AB$9,0)</f>
        <v>672</v>
      </c>
      <c r="AC30">
        <f>VLOOKUP($E30,[1]Sheet1!$E$10:$X$629,AC$9,0)</f>
        <v>672</v>
      </c>
      <c r="AD30">
        <f>VLOOKUP($E30,[1]Sheet1!$E$10:$X$629,AD$9,0)</f>
        <v>576</v>
      </c>
      <c r="AE30">
        <f>VLOOKUP($E30,[1]Sheet1!$E$10:$X$629,AE$9,0)</f>
        <v>672</v>
      </c>
      <c r="AF30">
        <f>VLOOKUP($E30,[1]Sheet1!$E$10:$X$629,AF$9,0)</f>
        <v>480</v>
      </c>
      <c r="AG30">
        <f>VLOOKUP($E30,[1]Sheet1!$E$10:$X$629,AG$9,0)</f>
        <v>672</v>
      </c>
      <c r="AH30">
        <f>VLOOKUP($E30,[1]Sheet1!$E$10:$X$629,AH$9,0)</f>
        <v>192</v>
      </c>
      <c r="AJ30">
        <f t="shared" si="1"/>
        <v>4512</v>
      </c>
      <c r="AK30">
        <f t="shared" si="2"/>
        <v>4416</v>
      </c>
      <c r="AL30">
        <f t="shared" si="3"/>
        <v>96</v>
      </c>
    </row>
    <row r="31" spans="1:38" ht="39.6" x14ac:dyDescent="0.3">
      <c r="A31" s="4" t="s">
        <v>109</v>
      </c>
      <c r="B31" s="5" t="s">
        <v>110</v>
      </c>
      <c r="C31" s="21" t="s">
        <v>111</v>
      </c>
      <c r="D31" s="20"/>
      <c r="E31" s="4">
        <v>1000803</v>
      </c>
      <c r="F31" s="4" t="s">
        <v>44</v>
      </c>
      <c r="G31" s="4" t="s">
        <v>45</v>
      </c>
      <c r="H31" s="4" t="s">
        <v>56</v>
      </c>
      <c r="I31" s="4" t="s">
        <v>57</v>
      </c>
      <c r="J31" s="4" t="s">
        <v>47</v>
      </c>
      <c r="K31" s="4">
        <v>7.5</v>
      </c>
      <c r="L31" s="4">
        <v>15</v>
      </c>
      <c r="M31" s="5">
        <v>576</v>
      </c>
      <c r="N31" s="5">
        <v>1008</v>
      </c>
      <c r="O31" s="5">
        <v>720</v>
      </c>
      <c r="P31" s="5">
        <v>720</v>
      </c>
      <c r="Q31" s="5">
        <v>576</v>
      </c>
      <c r="R31" s="5">
        <v>1008</v>
      </c>
      <c r="S31" s="5">
        <v>576</v>
      </c>
      <c r="T31" s="5">
        <v>864</v>
      </c>
      <c r="U31" s="5">
        <v>720</v>
      </c>
      <c r="V31" s="5">
        <v>1152</v>
      </c>
      <c r="W31" s="5">
        <v>1008</v>
      </c>
      <c r="X31" s="5">
        <v>720</v>
      </c>
      <c r="Z31" t="e">
        <f>VLOOKUP(E31,Sheet2!$A$1:$A$39,1,0)</f>
        <v>#N/A</v>
      </c>
      <c r="AA31">
        <f>VLOOKUP($E31,[1]Sheet1!$E$10:$X$629,AA$9,0)</f>
        <v>432</v>
      </c>
      <c r="AB31">
        <f>VLOOKUP($E31,[1]Sheet1!$E$10:$X$629,AB$9,0)</f>
        <v>576</v>
      </c>
      <c r="AC31">
        <f>VLOOKUP($E31,[1]Sheet1!$E$10:$X$629,AC$9,0)</f>
        <v>864</v>
      </c>
      <c r="AD31">
        <f>VLOOKUP($E31,[1]Sheet1!$E$10:$X$629,AD$9,0)</f>
        <v>432</v>
      </c>
      <c r="AE31">
        <f>VLOOKUP($E31,[1]Sheet1!$E$10:$X$629,AE$9,0)</f>
        <v>432</v>
      </c>
      <c r="AF31">
        <f>VLOOKUP($E31,[1]Sheet1!$E$10:$X$629,AF$9,0)</f>
        <v>720</v>
      </c>
      <c r="AG31">
        <f>VLOOKUP($E31,[1]Sheet1!$E$10:$X$629,AG$9,0)</f>
        <v>576</v>
      </c>
      <c r="AH31">
        <f>VLOOKUP($E31,[1]Sheet1!$E$10:$X$629,AH$9,0)</f>
        <v>144</v>
      </c>
      <c r="AJ31">
        <f t="shared" si="1"/>
        <v>6048</v>
      </c>
      <c r="AK31">
        <f t="shared" si="2"/>
        <v>4176</v>
      </c>
      <c r="AL31">
        <f t="shared" si="3"/>
        <v>1872</v>
      </c>
    </row>
    <row r="32" spans="1:38" ht="39.6" x14ac:dyDescent="0.3">
      <c r="A32" s="4" t="s">
        <v>112</v>
      </c>
      <c r="B32" s="5" t="s">
        <v>113</v>
      </c>
      <c r="C32" s="21" t="s">
        <v>114</v>
      </c>
      <c r="D32" s="20"/>
      <c r="E32" s="4">
        <v>1000806</v>
      </c>
      <c r="F32" s="4" t="s">
        <v>44</v>
      </c>
      <c r="G32" s="4" t="s">
        <v>45</v>
      </c>
      <c r="H32" s="4"/>
      <c r="I32" s="4" t="s">
        <v>46</v>
      </c>
      <c r="J32" s="4" t="s">
        <v>47</v>
      </c>
      <c r="K32" s="4">
        <v>7</v>
      </c>
      <c r="L32" s="4">
        <v>14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Z32" t="e">
        <f>VLOOKUP(E32,Sheet2!$A$1:$A$39,1,0)</f>
        <v>#N/A</v>
      </c>
      <c r="AA32">
        <f>VLOOKUP($E32,[1]Sheet1!$E$10:$X$629,AA$9,0)</f>
        <v>0</v>
      </c>
      <c r="AB32">
        <f>VLOOKUP($E32,[1]Sheet1!$E$10:$X$629,AB$9,0)</f>
        <v>0</v>
      </c>
      <c r="AC32">
        <f>VLOOKUP($E32,[1]Sheet1!$E$10:$X$629,AC$9,0)</f>
        <v>0</v>
      </c>
      <c r="AD32">
        <f>VLOOKUP($E32,[1]Sheet1!$E$10:$X$629,AD$9,0)</f>
        <v>0</v>
      </c>
      <c r="AE32">
        <f>VLOOKUP($E32,[1]Sheet1!$E$10:$X$629,AE$9,0)</f>
        <v>0</v>
      </c>
      <c r="AF32">
        <f>VLOOKUP($E32,[1]Sheet1!$E$10:$X$629,AF$9,0)</f>
        <v>0</v>
      </c>
      <c r="AG32">
        <f>VLOOKUP($E32,[1]Sheet1!$E$10:$X$629,AG$9,0)</f>
        <v>0</v>
      </c>
      <c r="AH32">
        <f>VLOOKUP($E32,[1]Sheet1!$E$10:$X$629,AH$9,0)</f>
        <v>0</v>
      </c>
      <c r="AJ32">
        <f t="shared" si="1"/>
        <v>0</v>
      </c>
      <c r="AK32">
        <f t="shared" si="2"/>
        <v>0</v>
      </c>
      <c r="AL32">
        <f t="shared" si="3"/>
        <v>0</v>
      </c>
    </row>
    <row r="33" spans="1:38" ht="39.6" x14ac:dyDescent="0.3">
      <c r="A33" s="4" t="s">
        <v>115</v>
      </c>
      <c r="B33" s="5" t="s">
        <v>116</v>
      </c>
      <c r="C33" s="21" t="s">
        <v>117</v>
      </c>
      <c r="D33" s="20"/>
      <c r="E33" s="4">
        <v>1000351</v>
      </c>
      <c r="F33" s="4" t="s">
        <v>44</v>
      </c>
      <c r="G33" s="4" t="s">
        <v>45</v>
      </c>
      <c r="H33" s="4" t="s">
        <v>61</v>
      </c>
      <c r="I33" s="4" t="s">
        <v>52</v>
      </c>
      <c r="J33" s="4" t="s">
        <v>47</v>
      </c>
      <c r="K33" s="4">
        <v>10</v>
      </c>
      <c r="L33" s="4">
        <v>20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Z33" t="e">
        <f>VLOOKUP(E33,Sheet2!$A$1:$A$39,1,0)</f>
        <v>#N/A</v>
      </c>
      <c r="AA33">
        <f>VLOOKUP($E33,[1]Sheet1!$E$10:$X$629,AA$9,0)</f>
        <v>0</v>
      </c>
      <c r="AB33">
        <f>VLOOKUP($E33,[1]Sheet1!$E$10:$X$629,AB$9,0)</f>
        <v>0</v>
      </c>
      <c r="AC33">
        <f>VLOOKUP($E33,[1]Sheet1!$E$10:$X$629,AC$9,0)</f>
        <v>0</v>
      </c>
      <c r="AD33">
        <f>VLOOKUP($E33,[1]Sheet1!$E$10:$X$629,AD$9,0)</f>
        <v>0</v>
      </c>
      <c r="AE33">
        <f>VLOOKUP($E33,[1]Sheet1!$E$10:$X$629,AE$9,0)</f>
        <v>0</v>
      </c>
      <c r="AF33">
        <f>VLOOKUP($E33,[1]Sheet1!$E$10:$X$629,AF$9,0)</f>
        <v>0</v>
      </c>
      <c r="AG33">
        <f>VLOOKUP($E33,[1]Sheet1!$E$10:$X$629,AG$9,0)</f>
        <v>0</v>
      </c>
      <c r="AH33">
        <f>VLOOKUP($E33,[1]Sheet1!$E$10:$X$629,AH$9,0)</f>
        <v>0</v>
      </c>
      <c r="AJ33">
        <f t="shared" si="1"/>
        <v>0</v>
      </c>
      <c r="AK33">
        <f t="shared" si="2"/>
        <v>0</v>
      </c>
      <c r="AL33">
        <f t="shared" si="3"/>
        <v>0</v>
      </c>
    </row>
    <row r="34" spans="1:38" ht="39.6" x14ac:dyDescent="0.3">
      <c r="A34" s="4" t="s">
        <v>118</v>
      </c>
      <c r="B34" s="5" t="s">
        <v>119</v>
      </c>
      <c r="C34" s="21" t="s">
        <v>120</v>
      </c>
      <c r="D34" s="20"/>
      <c r="E34" s="4">
        <v>1000800</v>
      </c>
      <c r="F34" s="4" t="s">
        <v>44</v>
      </c>
      <c r="G34" s="4" t="s">
        <v>45</v>
      </c>
      <c r="H34" s="4" t="s">
        <v>51</v>
      </c>
      <c r="I34" s="4" t="s">
        <v>46</v>
      </c>
      <c r="J34" s="4" t="s">
        <v>47</v>
      </c>
      <c r="K34" s="4">
        <v>7</v>
      </c>
      <c r="L34" s="4">
        <v>14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Z34" t="e">
        <f>VLOOKUP(E34,Sheet2!$A$1:$A$39,1,0)</f>
        <v>#N/A</v>
      </c>
      <c r="AA34">
        <f>VLOOKUP($E34,[1]Sheet1!$E$10:$X$629,AA$9,0)</f>
        <v>0</v>
      </c>
      <c r="AB34">
        <f>VLOOKUP($E34,[1]Sheet1!$E$10:$X$629,AB$9,0)</f>
        <v>0</v>
      </c>
      <c r="AC34">
        <f>VLOOKUP($E34,[1]Sheet1!$E$10:$X$629,AC$9,0)</f>
        <v>0</v>
      </c>
      <c r="AD34">
        <f>VLOOKUP($E34,[1]Sheet1!$E$10:$X$629,AD$9,0)</f>
        <v>0</v>
      </c>
      <c r="AE34">
        <f>VLOOKUP($E34,[1]Sheet1!$E$10:$X$629,AE$9,0)</f>
        <v>0</v>
      </c>
      <c r="AF34">
        <f>VLOOKUP($E34,[1]Sheet1!$E$10:$X$629,AF$9,0)</f>
        <v>0</v>
      </c>
      <c r="AG34">
        <f>VLOOKUP($E34,[1]Sheet1!$E$10:$X$629,AG$9,0)</f>
        <v>0</v>
      </c>
      <c r="AH34">
        <f>VLOOKUP($E34,[1]Sheet1!$E$10:$X$629,AH$9,0)</f>
        <v>0</v>
      </c>
      <c r="AJ34">
        <f t="shared" si="1"/>
        <v>0</v>
      </c>
      <c r="AK34">
        <f t="shared" si="2"/>
        <v>0</v>
      </c>
      <c r="AL34">
        <f t="shared" si="3"/>
        <v>0</v>
      </c>
    </row>
    <row r="35" spans="1:38" ht="39.6" x14ac:dyDescent="0.3">
      <c r="A35" s="4" t="s">
        <v>121</v>
      </c>
      <c r="B35" s="5" t="s">
        <v>122</v>
      </c>
      <c r="C35" s="21" t="s">
        <v>123</v>
      </c>
      <c r="D35" s="20"/>
      <c r="E35" s="4">
        <v>1000100</v>
      </c>
      <c r="F35" s="4" t="s">
        <v>44</v>
      </c>
      <c r="G35" s="4" t="s">
        <v>45</v>
      </c>
      <c r="H35" s="4"/>
      <c r="I35" s="4" t="s">
        <v>52</v>
      </c>
      <c r="J35" s="4" t="s">
        <v>47</v>
      </c>
      <c r="K35" s="4">
        <v>5</v>
      </c>
      <c r="L35" s="4">
        <v>5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Z35" t="e">
        <f>VLOOKUP(E35,Sheet2!$A$1:$A$39,1,0)</f>
        <v>#N/A</v>
      </c>
      <c r="AA35">
        <f>VLOOKUP($E35,[1]Sheet1!$E$10:$X$629,AA$9,0)</f>
        <v>0</v>
      </c>
      <c r="AB35">
        <f>VLOOKUP($E35,[1]Sheet1!$E$10:$X$629,AB$9,0)</f>
        <v>0</v>
      </c>
      <c r="AC35">
        <f>VLOOKUP($E35,[1]Sheet1!$E$10:$X$629,AC$9,0)</f>
        <v>0</v>
      </c>
      <c r="AD35">
        <f>VLOOKUP($E35,[1]Sheet1!$E$10:$X$629,AD$9,0)</f>
        <v>0</v>
      </c>
      <c r="AE35">
        <f>VLOOKUP($E35,[1]Sheet1!$E$10:$X$629,AE$9,0)</f>
        <v>0</v>
      </c>
      <c r="AF35">
        <f>VLOOKUP($E35,[1]Sheet1!$E$10:$X$629,AF$9,0)</f>
        <v>0</v>
      </c>
      <c r="AG35">
        <f>VLOOKUP($E35,[1]Sheet1!$E$10:$X$629,AG$9,0)</f>
        <v>0</v>
      </c>
      <c r="AH35">
        <f>VLOOKUP($E35,[1]Sheet1!$E$10:$X$629,AH$9,0)</f>
        <v>0</v>
      </c>
      <c r="AJ35">
        <f t="shared" si="1"/>
        <v>0</v>
      </c>
      <c r="AK35">
        <f t="shared" si="2"/>
        <v>0</v>
      </c>
      <c r="AL35">
        <f t="shared" si="3"/>
        <v>0</v>
      </c>
    </row>
    <row r="36" spans="1:38" ht="39.6" x14ac:dyDescent="0.3">
      <c r="A36" s="4" t="s">
        <v>124</v>
      </c>
      <c r="B36" s="5" t="s">
        <v>125</v>
      </c>
      <c r="C36" s="21" t="s">
        <v>126</v>
      </c>
      <c r="D36" s="20"/>
      <c r="E36" s="4">
        <v>4007127</v>
      </c>
      <c r="F36" s="4" t="s">
        <v>44</v>
      </c>
      <c r="G36" s="4" t="s">
        <v>45</v>
      </c>
      <c r="H36" s="4"/>
      <c r="I36" s="4" t="s">
        <v>46</v>
      </c>
      <c r="J36" s="4" t="s">
        <v>47</v>
      </c>
      <c r="K36" s="4">
        <v>7</v>
      </c>
      <c r="L36" s="4">
        <v>6.99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Z36" t="e">
        <f>VLOOKUP(E36,Sheet2!$A$1:$A$39,1,0)</f>
        <v>#N/A</v>
      </c>
      <c r="AA36">
        <f>VLOOKUP($E36,[1]Sheet1!$E$10:$X$629,AA$9,0)</f>
        <v>0</v>
      </c>
      <c r="AB36">
        <f>VLOOKUP($E36,[1]Sheet1!$E$10:$X$629,AB$9,0)</f>
        <v>0</v>
      </c>
      <c r="AC36">
        <f>VLOOKUP($E36,[1]Sheet1!$E$10:$X$629,AC$9,0)</f>
        <v>0</v>
      </c>
      <c r="AD36">
        <f>VLOOKUP($E36,[1]Sheet1!$E$10:$X$629,AD$9,0)</f>
        <v>0</v>
      </c>
      <c r="AE36">
        <f>VLOOKUP($E36,[1]Sheet1!$E$10:$X$629,AE$9,0)</f>
        <v>0</v>
      </c>
      <c r="AF36">
        <f>VLOOKUP($E36,[1]Sheet1!$E$10:$X$629,AF$9,0)</f>
        <v>0</v>
      </c>
      <c r="AG36">
        <f>VLOOKUP($E36,[1]Sheet1!$E$10:$X$629,AG$9,0)</f>
        <v>0</v>
      </c>
      <c r="AH36">
        <f>VLOOKUP($E36,[1]Sheet1!$E$10:$X$629,AH$9,0)</f>
        <v>0</v>
      </c>
      <c r="AJ36">
        <f t="shared" si="1"/>
        <v>0</v>
      </c>
      <c r="AK36">
        <f t="shared" si="2"/>
        <v>0</v>
      </c>
      <c r="AL36">
        <f t="shared" si="3"/>
        <v>0</v>
      </c>
    </row>
    <row r="37" spans="1:38" ht="39.6" x14ac:dyDescent="0.3">
      <c r="A37" s="4" t="s">
        <v>127</v>
      </c>
      <c r="B37" s="5" t="s">
        <v>128</v>
      </c>
      <c r="C37" s="21" t="s">
        <v>84</v>
      </c>
      <c r="D37" s="20"/>
      <c r="E37" s="4">
        <v>1000372</v>
      </c>
      <c r="F37" s="4" t="s">
        <v>44</v>
      </c>
      <c r="G37" s="4" t="s">
        <v>45</v>
      </c>
      <c r="H37" s="4" t="s">
        <v>51</v>
      </c>
      <c r="I37" s="4" t="s">
        <v>52</v>
      </c>
      <c r="J37" s="4" t="s">
        <v>47</v>
      </c>
      <c r="K37" s="4">
        <v>6</v>
      </c>
      <c r="L37" s="4">
        <v>1.2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Z37" t="e">
        <f>VLOOKUP(E37,Sheet2!$A$1:$A$39,1,0)</f>
        <v>#N/A</v>
      </c>
      <c r="AA37">
        <f>VLOOKUP($E37,[1]Sheet1!$E$10:$X$629,AA$9,0)</f>
        <v>0</v>
      </c>
      <c r="AB37">
        <f>VLOOKUP($E37,[1]Sheet1!$E$10:$X$629,AB$9,0)</f>
        <v>0</v>
      </c>
      <c r="AC37">
        <f>VLOOKUP($E37,[1]Sheet1!$E$10:$X$629,AC$9,0)</f>
        <v>0</v>
      </c>
      <c r="AD37">
        <f>VLOOKUP($E37,[1]Sheet1!$E$10:$X$629,AD$9,0)</f>
        <v>0</v>
      </c>
      <c r="AE37">
        <f>VLOOKUP($E37,[1]Sheet1!$E$10:$X$629,AE$9,0)</f>
        <v>0</v>
      </c>
      <c r="AF37">
        <f>VLOOKUP($E37,[1]Sheet1!$E$10:$X$629,AF$9,0)</f>
        <v>0</v>
      </c>
      <c r="AG37">
        <f>VLOOKUP($E37,[1]Sheet1!$E$10:$X$629,AG$9,0)</f>
        <v>0</v>
      </c>
      <c r="AH37">
        <f>VLOOKUP($E37,[1]Sheet1!$E$10:$X$629,AH$9,0)</f>
        <v>0</v>
      </c>
      <c r="AJ37">
        <f t="shared" si="1"/>
        <v>0</v>
      </c>
      <c r="AK37">
        <f t="shared" si="2"/>
        <v>0</v>
      </c>
      <c r="AL37">
        <f t="shared" si="3"/>
        <v>0</v>
      </c>
    </row>
    <row r="38" spans="1:38" ht="39.6" x14ac:dyDescent="0.3">
      <c r="A38" s="4" t="s">
        <v>129</v>
      </c>
      <c r="B38" s="5" t="s">
        <v>130</v>
      </c>
      <c r="C38" s="21" t="s">
        <v>131</v>
      </c>
      <c r="D38" s="20"/>
      <c r="E38" s="4">
        <v>1000112</v>
      </c>
      <c r="F38" s="4" t="s">
        <v>44</v>
      </c>
      <c r="G38" s="4" t="s">
        <v>45</v>
      </c>
      <c r="H38" s="4"/>
      <c r="I38" s="4" t="s">
        <v>57</v>
      </c>
      <c r="J38" s="4" t="s">
        <v>47</v>
      </c>
      <c r="K38" s="4">
        <v>14.4</v>
      </c>
      <c r="L38" s="4">
        <v>20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Z38" t="e">
        <f>VLOOKUP(E38,Sheet2!$A$1:$A$39,1,0)</f>
        <v>#N/A</v>
      </c>
      <c r="AA38">
        <f>VLOOKUP($E38,[1]Sheet1!$E$10:$X$629,AA$9,0)</f>
        <v>0</v>
      </c>
      <c r="AB38">
        <f>VLOOKUP($E38,[1]Sheet1!$E$10:$X$629,AB$9,0)</f>
        <v>0</v>
      </c>
      <c r="AC38">
        <f>VLOOKUP($E38,[1]Sheet1!$E$10:$X$629,AC$9,0)</f>
        <v>0</v>
      </c>
      <c r="AD38">
        <f>VLOOKUP($E38,[1]Sheet1!$E$10:$X$629,AD$9,0)</f>
        <v>0</v>
      </c>
      <c r="AE38">
        <f>VLOOKUP($E38,[1]Sheet1!$E$10:$X$629,AE$9,0)</f>
        <v>0</v>
      </c>
      <c r="AF38">
        <f>VLOOKUP($E38,[1]Sheet1!$E$10:$X$629,AF$9,0)</f>
        <v>0</v>
      </c>
      <c r="AG38">
        <f>VLOOKUP($E38,[1]Sheet1!$E$10:$X$629,AG$9,0)</f>
        <v>0</v>
      </c>
      <c r="AH38">
        <f>VLOOKUP($E38,[1]Sheet1!$E$10:$X$629,AH$9,0)</f>
        <v>0</v>
      </c>
      <c r="AJ38">
        <f t="shared" si="1"/>
        <v>0</v>
      </c>
      <c r="AK38">
        <f t="shared" si="2"/>
        <v>0</v>
      </c>
      <c r="AL38">
        <f t="shared" si="3"/>
        <v>0</v>
      </c>
    </row>
    <row r="39" spans="1:38" ht="39.6" x14ac:dyDescent="0.3">
      <c r="A39" s="4" t="s">
        <v>132</v>
      </c>
      <c r="B39" s="5" t="s">
        <v>133</v>
      </c>
      <c r="C39" s="21" t="s">
        <v>134</v>
      </c>
      <c r="D39" s="20"/>
      <c r="E39" s="4">
        <v>1000114</v>
      </c>
      <c r="F39" s="4" t="s">
        <v>44</v>
      </c>
      <c r="G39" s="4" t="s">
        <v>45</v>
      </c>
      <c r="H39" s="4" t="s">
        <v>61</v>
      </c>
      <c r="I39" s="4" t="s">
        <v>57</v>
      </c>
      <c r="J39" s="4" t="s">
        <v>47</v>
      </c>
      <c r="K39" s="4">
        <v>14.4</v>
      </c>
      <c r="L39" s="4">
        <v>20</v>
      </c>
      <c r="M39" s="5">
        <v>90</v>
      </c>
      <c r="N39" s="5">
        <v>90</v>
      </c>
      <c r="O39" s="5">
        <v>90</v>
      </c>
      <c r="P39" s="5">
        <v>0</v>
      </c>
      <c r="Q39" s="5">
        <v>0</v>
      </c>
      <c r="R39" s="5">
        <v>90</v>
      </c>
      <c r="S39" s="5">
        <v>90</v>
      </c>
      <c r="T39" s="5">
        <v>0</v>
      </c>
      <c r="U39" s="5">
        <v>180</v>
      </c>
      <c r="V39" s="5">
        <v>0</v>
      </c>
      <c r="W39" s="5">
        <v>90</v>
      </c>
      <c r="X39" s="5">
        <v>0</v>
      </c>
      <c r="Z39" t="e">
        <f>VLOOKUP(E39,Sheet2!$A$1:$A$39,1,0)</f>
        <v>#N/A</v>
      </c>
      <c r="AA39">
        <f>VLOOKUP($E39,[1]Sheet1!$E$10:$X$629,AA$9,0)</f>
        <v>90</v>
      </c>
      <c r="AB39">
        <f>VLOOKUP($E39,[1]Sheet1!$E$10:$X$629,AB$9,0)</f>
        <v>180</v>
      </c>
      <c r="AC39">
        <f>VLOOKUP($E39,[1]Sheet1!$E$10:$X$629,AC$9,0)</f>
        <v>180</v>
      </c>
      <c r="AD39">
        <f>VLOOKUP($E39,[1]Sheet1!$E$10:$X$629,AD$9,0)</f>
        <v>180</v>
      </c>
      <c r="AE39">
        <f>VLOOKUP($E39,[1]Sheet1!$E$10:$X$629,AE$9,0)</f>
        <v>0</v>
      </c>
      <c r="AF39">
        <f>VLOOKUP($E39,[1]Sheet1!$E$10:$X$629,AF$9,0)</f>
        <v>270</v>
      </c>
      <c r="AG39">
        <f>VLOOKUP($E39,[1]Sheet1!$E$10:$X$629,AG$9,0)</f>
        <v>180</v>
      </c>
      <c r="AH39">
        <f>VLOOKUP($E39,[1]Sheet1!$E$10:$X$629,AH$9,0)</f>
        <v>0</v>
      </c>
      <c r="AJ39">
        <f t="shared" si="1"/>
        <v>450</v>
      </c>
      <c r="AK39">
        <f t="shared" si="2"/>
        <v>1080</v>
      </c>
      <c r="AL39">
        <f t="shared" si="3"/>
        <v>-630</v>
      </c>
    </row>
    <row r="40" spans="1:38" ht="39.6" x14ac:dyDescent="0.3">
      <c r="A40" s="4" t="s">
        <v>135</v>
      </c>
      <c r="B40" s="5" t="s">
        <v>136</v>
      </c>
      <c r="C40" s="21" t="s">
        <v>137</v>
      </c>
      <c r="D40" s="20"/>
      <c r="E40" s="4">
        <v>1000111</v>
      </c>
      <c r="F40" s="4" t="s">
        <v>44</v>
      </c>
      <c r="G40" s="4" t="s">
        <v>45</v>
      </c>
      <c r="H40" s="4"/>
      <c r="I40" s="4" t="s">
        <v>57</v>
      </c>
      <c r="J40" s="4" t="s">
        <v>47</v>
      </c>
      <c r="K40" s="4">
        <v>14.4</v>
      </c>
      <c r="L40" s="4">
        <v>20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Z40" t="e">
        <f>VLOOKUP(E40,Sheet2!$A$1:$A$39,1,0)</f>
        <v>#N/A</v>
      </c>
      <c r="AA40">
        <f>VLOOKUP($E40,[1]Sheet1!$E$10:$X$629,AA$9,0)</f>
        <v>0</v>
      </c>
      <c r="AB40">
        <f>VLOOKUP($E40,[1]Sheet1!$E$10:$X$629,AB$9,0)</f>
        <v>0</v>
      </c>
      <c r="AC40">
        <f>VLOOKUP($E40,[1]Sheet1!$E$10:$X$629,AC$9,0)</f>
        <v>0</v>
      </c>
      <c r="AD40">
        <f>VLOOKUP($E40,[1]Sheet1!$E$10:$X$629,AD$9,0)</f>
        <v>0</v>
      </c>
      <c r="AE40">
        <f>VLOOKUP($E40,[1]Sheet1!$E$10:$X$629,AE$9,0)</f>
        <v>0</v>
      </c>
      <c r="AF40">
        <f>VLOOKUP($E40,[1]Sheet1!$E$10:$X$629,AF$9,0)</f>
        <v>0</v>
      </c>
      <c r="AG40">
        <f>VLOOKUP($E40,[1]Sheet1!$E$10:$X$629,AG$9,0)</f>
        <v>0</v>
      </c>
      <c r="AH40">
        <f>VLOOKUP($E40,[1]Sheet1!$E$10:$X$629,AH$9,0)</f>
        <v>0</v>
      </c>
      <c r="AJ40">
        <f t="shared" si="1"/>
        <v>0</v>
      </c>
      <c r="AK40">
        <f t="shared" si="2"/>
        <v>0</v>
      </c>
      <c r="AL40">
        <f t="shared" si="3"/>
        <v>0</v>
      </c>
    </row>
    <row r="41" spans="1:38" ht="39.6" x14ac:dyDescent="0.3">
      <c r="A41" s="4" t="s">
        <v>138</v>
      </c>
      <c r="B41" s="5" t="s">
        <v>139</v>
      </c>
      <c r="C41" s="21" t="s">
        <v>140</v>
      </c>
      <c r="D41" s="20"/>
      <c r="E41" s="4">
        <v>1000113</v>
      </c>
      <c r="F41" s="4" t="s">
        <v>44</v>
      </c>
      <c r="G41" s="4" t="s">
        <v>45</v>
      </c>
      <c r="H41" s="4" t="s">
        <v>61</v>
      </c>
      <c r="I41" s="4" t="s">
        <v>57</v>
      </c>
      <c r="J41" s="4" t="s">
        <v>47</v>
      </c>
      <c r="K41" s="4">
        <v>14.4</v>
      </c>
      <c r="L41" s="4">
        <v>20</v>
      </c>
      <c r="M41" s="5">
        <v>90</v>
      </c>
      <c r="N41" s="5">
        <v>0</v>
      </c>
      <c r="O41" s="5">
        <v>0</v>
      </c>
      <c r="P41" s="5">
        <v>90</v>
      </c>
      <c r="Q41" s="5">
        <v>0</v>
      </c>
      <c r="R41" s="5">
        <v>0</v>
      </c>
      <c r="S41" s="5">
        <v>90</v>
      </c>
      <c r="T41" s="5">
        <v>180</v>
      </c>
      <c r="U41" s="5">
        <v>0</v>
      </c>
      <c r="V41" s="5">
        <v>90</v>
      </c>
      <c r="W41" s="5">
        <v>90</v>
      </c>
      <c r="X41" s="5">
        <v>90</v>
      </c>
      <c r="Z41" t="e">
        <f>VLOOKUP(E41,Sheet2!$A$1:$A$39,1,0)</f>
        <v>#N/A</v>
      </c>
      <c r="AA41">
        <f>VLOOKUP($E41,[1]Sheet1!$E$10:$X$629,AA$9,0)</f>
        <v>90</v>
      </c>
      <c r="AB41">
        <f>VLOOKUP($E41,[1]Sheet1!$E$10:$X$629,AB$9,0)</f>
        <v>180</v>
      </c>
      <c r="AC41">
        <f>VLOOKUP($E41,[1]Sheet1!$E$10:$X$629,AC$9,0)</f>
        <v>90</v>
      </c>
      <c r="AD41">
        <f>VLOOKUP($E41,[1]Sheet1!$E$10:$X$629,AD$9,0)</f>
        <v>90</v>
      </c>
      <c r="AE41">
        <f>VLOOKUP($E41,[1]Sheet1!$E$10:$X$629,AE$9,0)</f>
        <v>90</v>
      </c>
      <c r="AF41">
        <f>VLOOKUP($E41,[1]Sheet1!$E$10:$X$629,AF$9,0)</f>
        <v>90</v>
      </c>
      <c r="AG41">
        <f>VLOOKUP($E41,[1]Sheet1!$E$10:$X$629,AG$9,0)</f>
        <v>90</v>
      </c>
      <c r="AH41">
        <f>VLOOKUP($E41,[1]Sheet1!$E$10:$X$629,AH$9,0)</f>
        <v>90</v>
      </c>
      <c r="AJ41">
        <f t="shared" si="1"/>
        <v>450</v>
      </c>
      <c r="AK41">
        <f t="shared" si="2"/>
        <v>810</v>
      </c>
      <c r="AL41">
        <f t="shared" si="3"/>
        <v>-360</v>
      </c>
    </row>
    <row r="42" spans="1:38" ht="39.6" x14ac:dyDescent="0.3">
      <c r="A42" s="4" t="s">
        <v>141</v>
      </c>
      <c r="B42" s="5" t="s">
        <v>142</v>
      </c>
      <c r="C42" s="21" t="s">
        <v>143</v>
      </c>
      <c r="D42" s="20"/>
      <c r="E42" s="4">
        <v>1000118</v>
      </c>
      <c r="F42" s="4" t="s">
        <v>44</v>
      </c>
      <c r="G42" s="4" t="s">
        <v>45</v>
      </c>
      <c r="H42" s="4" t="s">
        <v>61</v>
      </c>
      <c r="I42" s="4" t="s">
        <v>57</v>
      </c>
      <c r="J42" s="4" t="s">
        <v>47</v>
      </c>
      <c r="K42" s="4">
        <v>14.4</v>
      </c>
      <c r="L42" s="4">
        <v>20</v>
      </c>
      <c r="M42" s="5">
        <v>0</v>
      </c>
      <c r="N42" s="5">
        <v>360</v>
      </c>
      <c r="O42" s="5">
        <v>90</v>
      </c>
      <c r="P42" s="5">
        <v>90</v>
      </c>
      <c r="Q42" s="5">
        <v>270</v>
      </c>
      <c r="R42" s="5">
        <v>90</v>
      </c>
      <c r="S42" s="5">
        <v>90</v>
      </c>
      <c r="T42" s="5">
        <v>270</v>
      </c>
      <c r="U42" s="5">
        <v>90</v>
      </c>
      <c r="V42" s="5">
        <v>180</v>
      </c>
      <c r="W42" s="5">
        <v>270</v>
      </c>
      <c r="X42" s="5">
        <v>90</v>
      </c>
      <c r="Z42" t="e">
        <f>VLOOKUP(E42,Sheet2!$A$1:$A$39,1,0)</f>
        <v>#N/A</v>
      </c>
      <c r="AA42">
        <f>VLOOKUP($E42,[1]Sheet1!$E$10:$X$629,AA$9,0)</f>
        <v>360</v>
      </c>
      <c r="AB42">
        <f>VLOOKUP($E42,[1]Sheet1!$E$10:$X$629,AB$9,0)</f>
        <v>270</v>
      </c>
      <c r="AC42">
        <f>VLOOKUP($E42,[1]Sheet1!$E$10:$X$629,AC$9,0)</f>
        <v>270</v>
      </c>
      <c r="AD42">
        <f>VLOOKUP($E42,[1]Sheet1!$E$10:$X$629,AD$9,0)</f>
        <v>360</v>
      </c>
      <c r="AE42">
        <f>VLOOKUP($E42,[1]Sheet1!$E$10:$X$629,AE$9,0)</f>
        <v>180</v>
      </c>
      <c r="AF42">
        <f>VLOOKUP($E42,[1]Sheet1!$E$10:$X$629,AF$9,0)</f>
        <v>450</v>
      </c>
      <c r="AG42">
        <f>VLOOKUP($E42,[1]Sheet1!$E$10:$X$629,AG$9,0)</f>
        <v>180</v>
      </c>
      <c r="AH42">
        <f>VLOOKUP($E42,[1]Sheet1!$E$10:$X$629,AH$9,0)</f>
        <v>270</v>
      </c>
      <c r="AJ42">
        <f t="shared" si="1"/>
        <v>1260</v>
      </c>
      <c r="AK42">
        <f t="shared" si="2"/>
        <v>2340</v>
      </c>
      <c r="AL42">
        <f t="shared" si="3"/>
        <v>-1080</v>
      </c>
    </row>
    <row r="43" spans="1:38" ht="39.6" x14ac:dyDescent="0.3">
      <c r="A43" s="4" t="s">
        <v>144</v>
      </c>
      <c r="B43" s="5" t="s">
        <v>145</v>
      </c>
      <c r="C43" s="21" t="s">
        <v>146</v>
      </c>
      <c r="D43" s="20"/>
      <c r="E43" s="4">
        <v>1000117</v>
      </c>
      <c r="F43" s="4" t="s">
        <v>44</v>
      </c>
      <c r="G43" s="4" t="s">
        <v>45</v>
      </c>
      <c r="H43" s="4" t="s">
        <v>61</v>
      </c>
      <c r="I43" s="4" t="s">
        <v>57</v>
      </c>
      <c r="J43" s="4" t="s">
        <v>47</v>
      </c>
      <c r="K43" s="4">
        <v>14.4</v>
      </c>
      <c r="L43" s="4">
        <v>20</v>
      </c>
      <c r="M43" s="5">
        <v>270</v>
      </c>
      <c r="N43" s="5">
        <v>90</v>
      </c>
      <c r="O43" s="5">
        <v>90</v>
      </c>
      <c r="P43" s="5">
        <v>0</v>
      </c>
      <c r="Q43" s="5">
        <v>90</v>
      </c>
      <c r="R43" s="5">
        <v>180</v>
      </c>
      <c r="S43" s="5">
        <v>180</v>
      </c>
      <c r="T43" s="5">
        <v>0</v>
      </c>
      <c r="U43" s="5">
        <v>180</v>
      </c>
      <c r="V43" s="5">
        <v>0</v>
      </c>
      <c r="W43" s="5">
        <v>270</v>
      </c>
      <c r="X43" s="5">
        <v>0</v>
      </c>
      <c r="Z43" t="e">
        <f>VLOOKUP(E43,Sheet2!$A$1:$A$39,1,0)</f>
        <v>#N/A</v>
      </c>
      <c r="AA43">
        <f>VLOOKUP($E43,[1]Sheet1!$E$10:$X$629,AA$9,0)</f>
        <v>0</v>
      </c>
      <c r="AB43">
        <f>VLOOKUP($E43,[1]Sheet1!$E$10:$X$629,AB$9,0)</f>
        <v>180</v>
      </c>
      <c r="AC43">
        <f>VLOOKUP($E43,[1]Sheet1!$E$10:$X$629,AC$9,0)</f>
        <v>360</v>
      </c>
      <c r="AD43">
        <f>VLOOKUP($E43,[1]Sheet1!$E$10:$X$629,AD$9,0)</f>
        <v>90</v>
      </c>
      <c r="AE43">
        <f>VLOOKUP($E43,[1]Sheet1!$E$10:$X$629,AE$9,0)</f>
        <v>90</v>
      </c>
      <c r="AF43">
        <f>VLOOKUP($E43,[1]Sheet1!$E$10:$X$629,AF$9,0)</f>
        <v>180</v>
      </c>
      <c r="AG43">
        <f>VLOOKUP($E43,[1]Sheet1!$E$10:$X$629,AG$9,0)</f>
        <v>270</v>
      </c>
      <c r="AH43">
        <f>VLOOKUP($E43,[1]Sheet1!$E$10:$X$629,AH$9,0)</f>
        <v>0</v>
      </c>
      <c r="AJ43">
        <f t="shared" si="1"/>
        <v>900</v>
      </c>
      <c r="AK43">
        <f t="shared" si="2"/>
        <v>1170</v>
      </c>
      <c r="AL43">
        <f t="shared" si="3"/>
        <v>-270</v>
      </c>
    </row>
    <row r="44" spans="1:38" ht="39.6" x14ac:dyDescent="0.3">
      <c r="A44" s="4" t="s">
        <v>147</v>
      </c>
      <c r="B44" s="5" t="s">
        <v>148</v>
      </c>
      <c r="C44" s="21" t="s">
        <v>149</v>
      </c>
      <c r="D44" s="20"/>
      <c r="E44" s="4">
        <v>1000119</v>
      </c>
      <c r="F44" s="4" t="s">
        <v>44</v>
      </c>
      <c r="G44" s="4" t="s">
        <v>45</v>
      </c>
      <c r="H44" s="4" t="s">
        <v>61</v>
      </c>
      <c r="I44" s="4" t="s">
        <v>57</v>
      </c>
      <c r="J44" s="4" t="s">
        <v>47</v>
      </c>
      <c r="K44" s="4">
        <v>14.4</v>
      </c>
      <c r="L44" s="4">
        <v>20</v>
      </c>
      <c r="M44" s="5">
        <v>0</v>
      </c>
      <c r="N44" s="5">
        <v>180</v>
      </c>
      <c r="O44" s="5">
        <v>90</v>
      </c>
      <c r="P44" s="5">
        <v>180</v>
      </c>
      <c r="Q44" s="5">
        <v>0</v>
      </c>
      <c r="R44" s="5">
        <v>180</v>
      </c>
      <c r="S44" s="5">
        <v>180</v>
      </c>
      <c r="T44" s="5">
        <v>90</v>
      </c>
      <c r="U44" s="5">
        <v>90</v>
      </c>
      <c r="V44" s="5">
        <v>270</v>
      </c>
      <c r="W44" s="5">
        <v>90</v>
      </c>
      <c r="X44" s="5">
        <v>90</v>
      </c>
      <c r="Z44" t="e">
        <f>VLOOKUP(E44,Sheet2!$A$1:$A$39,1,0)</f>
        <v>#N/A</v>
      </c>
      <c r="AA44">
        <f>VLOOKUP($E44,[1]Sheet1!$E$10:$X$629,AA$9,0)</f>
        <v>270</v>
      </c>
      <c r="AB44">
        <f>VLOOKUP($E44,[1]Sheet1!$E$10:$X$629,AB$9,0)</f>
        <v>180</v>
      </c>
      <c r="AC44">
        <f>VLOOKUP($E44,[1]Sheet1!$E$10:$X$629,AC$9,0)</f>
        <v>360</v>
      </c>
      <c r="AD44">
        <f>VLOOKUP($E44,[1]Sheet1!$E$10:$X$629,AD$9,0)</f>
        <v>270</v>
      </c>
      <c r="AE44">
        <f>VLOOKUP($E44,[1]Sheet1!$E$10:$X$629,AE$9,0)</f>
        <v>90</v>
      </c>
      <c r="AF44">
        <f>VLOOKUP($E44,[1]Sheet1!$E$10:$X$629,AF$9,0)</f>
        <v>450</v>
      </c>
      <c r="AG44">
        <f>VLOOKUP($E44,[1]Sheet1!$E$10:$X$629,AG$9,0)</f>
        <v>180</v>
      </c>
      <c r="AH44">
        <f>VLOOKUP($E44,[1]Sheet1!$E$10:$X$629,AH$9,0)</f>
        <v>270</v>
      </c>
      <c r="AJ44">
        <f t="shared" si="1"/>
        <v>900</v>
      </c>
      <c r="AK44">
        <f t="shared" si="2"/>
        <v>2070</v>
      </c>
      <c r="AL44">
        <f t="shared" si="3"/>
        <v>-1170</v>
      </c>
    </row>
    <row r="45" spans="1:38" ht="39.6" x14ac:dyDescent="0.3">
      <c r="A45" s="4" t="s">
        <v>150</v>
      </c>
      <c r="B45" s="5" t="s">
        <v>151</v>
      </c>
      <c r="C45" s="21" t="s">
        <v>152</v>
      </c>
      <c r="D45" s="20"/>
      <c r="E45" s="4">
        <v>1000116</v>
      </c>
      <c r="F45" s="4" t="s">
        <v>44</v>
      </c>
      <c r="G45" s="4" t="s">
        <v>45</v>
      </c>
      <c r="H45" s="4" t="s">
        <v>61</v>
      </c>
      <c r="I45" s="4" t="s">
        <v>57</v>
      </c>
      <c r="J45" s="4" t="s">
        <v>47</v>
      </c>
      <c r="K45" s="4">
        <v>14.4</v>
      </c>
      <c r="L45" s="4">
        <v>20</v>
      </c>
      <c r="M45" s="5">
        <v>0</v>
      </c>
      <c r="N45" s="5">
        <v>90</v>
      </c>
      <c r="O45" s="5">
        <v>180</v>
      </c>
      <c r="P45" s="5">
        <v>90</v>
      </c>
      <c r="Q45" s="5">
        <v>180</v>
      </c>
      <c r="R45" s="5">
        <v>0</v>
      </c>
      <c r="S45" s="5">
        <v>270</v>
      </c>
      <c r="T45" s="5">
        <v>90</v>
      </c>
      <c r="U45" s="5">
        <v>180</v>
      </c>
      <c r="V45" s="5">
        <v>180</v>
      </c>
      <c r="W45" s="5">
        <v>90</v>
      </c>
      <c r="X45" s="5">
        <v>90</v>
      </c>
      <c r="Z45" t="e">
        <f>VLOOKUP(E45,Sheet2!$A$1:$A$39,1,0)</f>
        <v>#N/A</v>
      </c>
      <c r="AA45">
        <f>VLOOKUP($E45,[1]Sheet1!$E$10:$X$629,AA$9,0)</f>
        <v>270</v>
      </c>
      <c r="AB45">
        <f>VLOOKUP($E45,[1]Sheet1!$E$10:$X$629,AB$9,0)</f>
        <v>180</v>
      </c>
      <c r="AC45">
        <f>VLOOKUP($E45,[1]Sheet1!$E$10:$X$629,AC$9,0)</f>
        <v>270</v>
      </c>
      <c r="AD45">
        <f>VLOOKUP($E45,[1]Sheet1!$E$10:$X$629,AD$9,0)</f>
        <v>270</v>
      </c>
      <c r="AE45">
        <f>VLOOKUP($E45,[1]Sheet1!$E$10:$X$629,AE$9,0)</f>
        <v>90</v>
      </c>
      <c r="AF45">
        <f>VLOOKUP($E45,[1]Sheet1!$E$10:$X$629,AF$9,0)</f>
        <v>270</v>
      </c>
      <c r="AG45">
        <f>VLOOKUP($E45,[1]Sheet1!$E$10:$X$629,AG$9,0)</f>
        <v>360</v>
      </c>
      <c r="AH45">
        <f>VLOOKUP($E45,[1]Sheet1!$E$10:$X$629,AH$9,0)</f>
        <v>0</v>
      </c>
      <c r="AJ45">
        <f t="shared" si="1"/>
        <v>900</v>
      </c>
      <c r="AK45">
        <f t="shared" si="2"/>
        <v>1710</v>
      </c>
      <c r="AL45">
        <f t="shared" si="3"/>
        <v>-810</v>
      </c>
    </row>
    <row r="46" spans="1:38" ht="39.6" x14ac:dyDescent="0.3">
      <c r="A46" s="4" t="s">
        <v>153</v>
      </c>
      <c r="B46" s="5" t="s">
        <v>154</v>
      </c>
      <c r="C46" s="21" t="s">
        <v>155</v>
      </c>
      <c r="D46" s="20"/>
      <c r="E46" s="4">
        <v>1000115</v>
      </c>
      <c r="F46" s="4" t="s">
        <v>44</v>
      </c>
      <c r="G46" s="4" t="s">
        <v>45</v>
      </c>
      <c r="H46" s="4" t="s">
        <v>61</v>
      </c>
      <c r="I46" s="4" t="s">
        <v>57</v>
      </c>
      <c r="J46" s="4" t="s">
        <v>47</v>
      </c>
      <c r="K46" s="4">
        <v>14.4</v>
      </c>
      <c r="L46" s="4">
        <v>20</v>
      </c>
      <c r="M46" s="5">
        <v>90</v>
      </c>
      <c r="N46" s="5">
        <v>180</v>
      </c>
      <c r="O46" s="5">
        <v>90</v>
      </c>
      <c r="P46" s="5">
        <v>270</v>
      </c>
      <c r="Q46" s="5">
        <v>0</v>
      </c>
      <c r="R46" s="5">
        <v>180</v>
      </c>
      <c r="S46" s="5">
        <v>270</v>
      </c>
      <c r="T46" s="5">
        <v>180</v>
      </c>
      <c r="U46" s="5">
        <v>90</v>
      </c>
      <c r="V46" s="5">
        <v>180</v>
      </c>
      <c r="W46" s="5">
        <v>270</v>
      </c>
      <c r="X46" s="5">
        <v>180</v>
      </c>
      <c r="Z46" t="e">
        <f>VLOOKUP(E46,Sheet2!$A$1:$A$39,1,0)</f>
        <v>#N/A</v>
      </c>
      <c r="AA46">
        <f>VLOOKUP($E46,[1]Sheet1!$E$10:$X$629,AA$9,0)</f>
        <v>270</v>
      </c>
      <c r="AB46">
        <f>VLOOKUP($E46,[1]Sheet1!$E$10:$X$629,AB$9,0)</f>
        <v>90</v>
      </c>
      <c r="AC46">
        <f>VLOOKUP($E46,[1]Sheet1!$E$10:$X$629,AC$9,0)</f>
        <v>450</v>
      </c>
      <c r="AD46">
        <f>VLOOKUP($E46,[1]Sheet1!$E$10:$X$629,AD$9,0)</f>
        <v>90</v>
      </c>
      <c r="AE46">
        <f>VLOOKUP($E46,[1]Sheet1!$E$10:$X$629,AE$9,0)</f>
        <v>360</v>
      </c>
      <c r="AF46">
        <f>VLOOKUP($E46,[1]Sheet1!$E$10:$X$629,AF$9,0)</f>
        <v>270</v>
      </c>
      <c r="AG46">
        <f>VLOOKUP($E46,[1]Sheet1!$E$10:$X$629,AG$9,0)</f>
        <v>360</v>
      </c>
      <c r="AH46">
        <f>VLOOKUP($E46,[1]Sheet1!$E$10:$X$629,AH$9,0)</f>
        <v>0</v>
      </c>
      <c r="AJ46">
        <f t="shared" si="1"/>
        <v>1260</v>
      </c>
      <c r="AK46">
        <f t="shared" si="2"/>
        <v>1890</v>
      </c>
      <c r="AL46">
        <f t="shared" si="3"/>
        <v>-630</v>
      </c>
    </row>
    <row r="47" spans="1:38" ht="39.6" x14ac:dyDescent="0.3">
      <c r="A47" s="4" t="s">
        <v>156</v>
      </c>
      <c r="B47" s="5" t="s">
        <v>157</v>
      </c>
      <c r="C47" s="21" t="s">
        <v>158</v>
      </c>
      <c r="D47" s="20"/>
      <c r="E47" s="4">
        <v>1000127</v>
      </c>
      <c r="F47" s="4" t="s">
        <v>44</v>
      </c>
      <c r="G47" s="4" t="s">
        <v>45</v>
      </c>
      <c r="H47" s="4" t="s">
        <v>61</v>
      </c>
      <c r="I47" s="4" t="s">
        <v>57</v>
      </c>
      <c r="J47" s="4" t="s">
        <v>47</v>
      </c>
      <c r="K47" s="4">
        <v>14.4</v>
      </c>
      <c r="L47" s="4">
        <v>20</v>
      </c>
      <c r="M47" s="5">
        <v>180</v>
      </c>
      <c r="N47" s="5">
        <v>360</v>
      </c>
      <c r="O47" s="5">
        <v>270</v>
      </c>
      <c r="P47" s="5">
        <v>360</v>
      </c>
      <c r="Q47" s="5">
        <v>0</v>
      </c>
      <c r="R47" s="5">
        <v>450</v>
      </c>
      <c r="S47" s="5">
        <v>270</v>
      </c>
      <c r="T47" s="5">
        <v>270</v>
      </c>
      <c r="U47" s="5">
        <v>270</v>
      </c>
      <c r="V47" s="5">
        <v>270</v>
      </c>
      <c r="W47" s="5">
        <v>180</v>
      </c>
      <c r="X47" s="5">
        <v>450</v>
      </c>
      <c r="Z47" t="e">
        <f>VLOOKUP(E47,Sheet2!$A$1:$A$39,1,0)</f>
        <v>#N/A</v>
      </c>
      <c r="AA47">
        <f>VLOOKUP($E47,[1]Sheet1!$E$10:$X$629,AA$9,0)</f>
        <v>360</v>
      </c>
      <c r="AB47">
        <f>VLOOKUP($E47,[1]Sheet1!$E$10:$X$629,AB$9,0)</f>
        <v>270</v>
      </c>
      <c r="AC47">
        <f>VLOOKUP($E47,[1]Sheet1!$E$10:$X$629,AC$9,0)</f>
        <v>450</v>
      </c>
      <c r="AD47">
        <f>VLOOKUP($E47,[1]Sheet1!$E$10:$X$629,AD$9,0)</f>
        <v>450</v>
      </c>
      <c r="AE47">
        <f>VLOOKUP($E47,[1]Sheet1!$E$10:$X$629,AE$9,0)</f>
        <v>360</v>
      </c>
      <c r="AF47">
        <f>VLOOKUP($E47,[1]Sheet1!$E$10:$X$629,AF$9,0)</f>
        <v>450</v>
      </c>
      <c r="AG47">
        <f>VLOOKUP($E47,[1]Sheet1!$E$10:$X$629,AG$9,0)</f>
        <v>360</v>
      </c>
      <c r="AH47">
        <f>VLOOKUP($E47,[1]Sheet1!$E$10:$X$629,AH$9,0)</f>
        <v>270</v>
      </c>
      <c r="AJ47">
        <f t="shared" si="1"/>
        <v>2160</v>
      </c>
      <c r="AK47">
        <f t="shared" si="2"/>
        <v>2970</v>
      </c>
      <c r="AL47">
        <f t="shared" si="3"/>
        <v>-810</v>
      </c>
    </row>
    <row r="48" spans="1:38" ht="39.6" x14ac:dyDescent="0.3">
      <c r="A48" s="4" t="s">
        <v>159</v>
      </c>
      <c r="B48" s="5" t="s">
        <v>160</v>
      </c>
      <c r="C48" s="21" t="s">
        <v>161</v>
      </c>
      <c r="D48" s="20"/>
      <c r="E48" s="4">
        <v>1000128</v>
      </c>
      <c r="F48" s="4" t="s">
        <v>44</v>
      </c>
      <c r="G48" s="4" t="s">
        <v>45</v>
      </c>
      <c r="H48" s="4" t="s">
        <v>61</v>
      </c>
      <c r="I48" s="4" t="s">
        <v>57</v>
      </c>
      <c r="J48" s="4" t="s">
        <v>47</v>
      </c>
      <c r="K48" s="4">
        <v>14.4</v>
      </c>
      <c r="L48" s="4">
        <v>20</v>
      </c>
      <c r="M48" s="5">
        <v>90</v>
      </c>
      <c r="N48" s="5">
        <v>90</v>
      </c>
      <c r="O48" s="5">
        <v>180</v>
      </c>
      <c r="P48" s="5">
        <v>180</v>
      </c>
      <c r="Q48" s="5">
        <v>90</v>
      </c>
      <c r="R48" s="5">
        <v>180</v>
      </c>
      <c r="S48" s="5">
        <v>90</v>
      </c>
      <c r="T48" s="5">
        <v>90</v>
      </c>
      <c r="U48" s="5">
        <v>270</v>
      </c>
      <c r="V48" s="5">
        <v>0</v>
      </c>
      <c r="W48" s="5">
        <v>270</v>
      </c>
      <c r="X48" s="5">
        <v>180</v>
      </c>
      <c r="Z48" t="e">
        <f>VLOOKUP(E48,Sheet2!$A$1:$A$39,1,0)</f>
        <v>#N/A</v>
      </c>
      <c r="AA48">
        <f>VLOOKUP($E48,[1]Sheet1!$E$10:$X$629,AA$9,0)</f>
        <v>180</v>
      </c>
      <c r="AB48">
        <f>VLOOKUP($E48,[1]Sheet1!$E$10:$X$629,AB$9,0)</f>
        <v>270</v>
      </c>
      <c r="AC48">
        <f>VLOOKUP($E48,[1]Sheet1!$E$10:$X$629,AC$9,0)</f>
        <v>270</v>
      </c>
      <c r="AD48">
        <f>VLOOKUP($E48,[1]Sheet1!$E$10:$X$629,AD$9,0)</f>
        <v>270</v>
      </c>
      <c r="AE48">
        <f>VLOOKUP($E48,[1]Sheet1!$E$10:$X$629,AE$9,0)</f>
        <v>360</v>
      </c>
      <c r="AF48">
        <f>VLOOKUP($E48,[1]Sheet1!$E$10:$X$629,AF$9,0)</f>
        <v>180</v>
      </c>
      <c r="AG48">
        <f>VLOOKUP($E48,[1]Sheet1!$E$10:$X$629,AG$9,0)</f>
        <v>360</v>
      </c>
      <c r="AH48">
        <f>VLOOKUP($E48,[1]Sheet1!$E$10:$X$629,AH$9,0)</f>
        <v>90</v>
      </c>
      <c r="AJ48">
        <f t="shared" si="1"/>
        <v>990</v>
      </c>
      <c r="AK48">
        <f t="shared" si="2"/>
        <v>1980</v>
      </c>
      <c r="AL48">
        <f t="shared" si="3"/>
        <v>-990</v>
      </c>
    </row>
    <row r="49" spans="1:38" ht="39.6" x14ac:dyDescent="0.3">
      <c r="A49" s="4" t="s">
        <v>162</v>
      </c>
      <c r="B49" s="5" t="s">
        <v>163</v>
      </c>
      <c r="C49" s="21" t="s">
        <v>164</v>
      </c>
      <c r="D49" s="20"/>
      <c r="E49" s="4">
        <v>1000139</v>
      </c>
      <c r="F49" s="4" t="s">
        <v>44</v>
      </c>
      <c r="G49" s="4" t="s">
        <v>45</v>
      </c>
      <c r="H49" s="4" t="s">
        <v>61</v>
      </c>
      <c r="I49" s="4" t="s">
        <v>57</v>
      </c>
      <c r="J49" s="4" t="s">
        <v>47</v>
      </c>
      <c r="K49" s="4">
        <v>14.4</v>
      </c>
      <c r="L49" s="4">
        <v>20</v>
      </c>
      <c r="M49" s="5">
        <v>270</v>
      </c>
      <c r="N49" s="5">
        <v>180</v>
      </c>
      <c r="O49" s="5">
        <v>270</v>
      </c>
      <c r="P49" s="5">
        <v>180</v>
      </c>
      <c r="Q49" s="5">
        <v>270</v>
      </c>
      <c r="R49" s="5">
        <v>360</v>
      </c>
      <c r="S49" s="5">
        <v>180</v>
      </c>
      <c r="T49" s="5">
        <v>180</v>
      </c>
      <c r="U49" s="5">
        <v>360</v>
      </c>
      <c r="V49" s="5">
        <v>270</v>
      </c>
      <c r="W49" s="5">
        <v>270</v>
      </c>
      <c r="X49" s="5">
        <v>270</v>
      </c>
      <c r="Z49" t="e">
        <f>VLOOKUP(E49,Sheet2!$A$1:$A$39,1,0)</f>
        <v>#N/A</v>
      </c>
      <c r="AA49">
        <f>VLOOKUP($E49,[1]Sheet1!$E$10:$X$629,AA$9,0)</f>
        <v>270</v>
      </c>
      <c r="AB49">
        <f>VLOOKUP($E49,[1]Sheet1!$E$10:$X$629,AB$9,0)</f>
        <v>360</v>
      </c>
      <c r="AC49">
        <f>VLOOKUP($E49,[1]Sheet1!$E$10:$X$629,AC$9,0)</f>
        <v>360</v>
      </c>
      <c r="AD49">
        <f>VLOOKUP($E49,[1]Sheet1!$E$10:$X$629,AD$9,0)</f>
        <v>360</v>
      </c>
      <c r="AE49">
        <f>VLOOKUP($E49,[1]Sheet1!$E$10:$X$629,AE$9,0)</f>
        <v>360</v>
      </c>
      <c r="AF49">
        <f>VLOOKUP($E49,[1]Sheet1!$E$10:$X$629,AF$9,0)</f>
        <v>360</v>
      </c>
      <c r="AG49">
        <f>VLOOKUP($E49,[1]Sheet1!$E$10:$X$629,AG$9,0)</f>
        <v>360</v>
      </c>
      <c r="AH49">
        <f>VLOOKUP($E49,[1]Sheet1!$E$10:$X$629,AH$9,0)</f>
        <v>90</v>
      </c>
      <c r="AJ49">
        <f t="shared" si="1"/>
        <v>1890</v>
      </c>
      <c r="AK49">
        <f t="shared" si="2"/>
        <v>2520</v>
      </c>
      <c r="AL49">
        <f t="shared" si="3"/>
        <v>-630</v>
      </c>
    </row>
    <row r="50" spans="1:38" ht="39.6" x14ac:dyDescent="0.3">
      <c r="A50" s="4" t="s">
        <v>165</v>
      </c>
      <c r="B50" s="5" t="s">
        <v>166</v>
      </c>
      <c r="C50" s="21" t="s">
        <v>131</v>
      </c>
      <c r="D50" s="20"/>
      <c r="E50" s="4">
        <v>1000120</v>
      </c>
      <c r="F50" s="4" t="s">
        <v>44</v>
      </c>
      <c r="G50" s="4" t="s">
        <v>45</v>
      </c>
      <c r="H50" s="4"/>
      <c r="I50" s="4" t="s">
        <v>57</v>
      </c>
      <c r="J50" s="4" t="s">
        <v>47</v>
      </c>
      <c r="K50" s="4">
        <v>14.4</v>
      </c>
      <c r="L50" s="4">
        <v>20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Z50" t="e">
        <f>VLOOKUP(E50,Sheet2!$A$1:$A$39,1,0)</f>
        <v>#N/A</v>
      </c>
      <c r="AA50">
        <f>VLOOKUP($E50,[1]Sheet1!$E$10:$X$629,AA$9,0)</f>
        <v>0</v>
      </c>
      <c r="AB50">
        <f>VLOOKUP($E50,[1]Sheet1!$E$10:$X$629,AB$9,0)</f>
        <v>0</v>
      </c>
      <c r="AC50">
        <f>VLOOKUP($E50,[1]Sheet1!$E$10:$X$629,AC$9,0)</f>
        <v>0</v>
      </c>
      <c r="AD50">
        <f>VLOOKUP($E50,[1]Sheet1!$E$10:$X$629,AD$9,0)</f>
        <v>0</v>
      </c>
      <c r="AE50">
        <f>VLOOKUP($E50,[1]Sheet1!$E$10:$X$629,AE$9,0)</f>
        <v>0</v>
      </c>
      <c r="AF50">
        <f>VLOOKUP($E50,[1]Sheet1!$E$10:$X$629,AF$9,0)</f>
        <v>0</v>
      </c>
      <c r="AG50">
        <f>VLOOKUP($E50,[1]Sheet1!$E$10:$X$629,AG$9,0)</f>
        <v>0</v>
      </c>
      <c r="AH50">
        <f>VLOOKUP($E50,[1]Sheet1!$E$10:$X$629,AH$9,0)</f>
        <v>0</v>
      </c>
      <c r="AJ50">
        <f t="shared" si="1"/>
        <v>0</v>
      </c>
      <c r="AK50">
        <f t="shared" si="2"/>
        <v>0</v>
      </c>
      <c r="AL50">
        <f t="shared" si="3"/>
        <v>0</v>
      </c>
    </row>
    <row r="51" spans="1:38" ht="39.6" x14ac:dyDescent="0.3">
      <c r="A51" s="4" t="s">
        <v>167</v>
      </c>
      <c r="B51" s="5" t="s">
        <v>168</v>
      </c>
      <c r="C51" s="21" t="s">
        <v>169</v>
      </c>
      <c r="D51" s="20"/>
      <c r="E51" s="4">
        <v>1000121</v>
      </c>
      <c r="F51" s="4" t="s">
        <v>44</v>
      </c>
      <c r="G51" s="4" t="s">
        <v>45</v>
      </c>
      <c r="H51" s="4" t="s">
        <v>61</v>
      </c>
      <c r="I51" s="4" t="s">
        <v>57</v>
      </c>
      <c r="J51" s="4" t="s">
        <v>47</v>
      </c>
      <c r="K51" s="4">
        <v>14.4</v>
      </c>
      <c r="L51" s="4">
        <v>20</v>
      </c>
      <c r="M51" s="5">
        <v>90</v>
      </c>
      <c r="N51" s="5">
        <v>270</v>
      </c>
      <c r="O51" s="5">
        <v>180</v>
      </c>
      <c r="P51" s="5">
        <v>90</v>
      </c>
      <c r="Q51" s="5">
        <v>180</v>
      </c>
      <c r="R51" s="5">
        <v>270</v>
      </c>
      <c r="S51" s="5">
        <v>180</v>
      </c>
      <c r="T51" s="5">
        <v>90</v>
      </c>
      <c r="U51" s="5">
        <v>360</v>
      </c>
      <c r="V51" s="5">
        <v>90</v>
      </c>
      <c r="W51" s="5">
        <v>270</v>
      </c>
      <c r="X51" s="5">
        <v>270</v>
      </c>
      <c r="Z51" t="e">
        <f>VLOOKUP(E51,Sheet2!$A$1:$A$39,1,0)</f>
        <v>#N/A</v>
      </c>
      <c r="AA51">
        <f>VLOOKUP($E51,[1]Sheet1!$E$10:$X$629,AA$9,0)</f>
        <v>180</v>
      </c>
      <c r="AB51">
        <f>VLOOKUP($E51,[1]Sheet1!$E$10:$X$629,AB$9,0)</f>
        <v>270</v>
      </c>
      <c r="AC51">
        <f>VLOOKUP($E51,[1]Sheet1!$E$10:$X$629,AC$9,0)</f>
        <v>450</v>
      </c>
      <c r="AD51">
        <f>VLOOKUP($E51,[1]Sheet1!$E$10:$X$629,AD$9,0)</f>
        <v>360</v>
      </c>
      <c r="AE51">
        <f>VLOOKUP($E51,[1]Sheet1!$E$10:$X$629,AE$9,0)</f>
        <v>180</v>
      </c>
      <c r="AF51">
        <f>VLOOKUP($E51,[1]Sheet1!$E$10:$X$629,AF$9,0)</f>
        <v>450</v>
      </c>
      <c r="AG51">
        <f>VLOOKUP($E51,[1]Sheet1!$E$10:$X$629,AG$9,0)</f>
        <v>180</v>
      </c>
      <c r="AH51">
        <f>VLOOKUP($E51,[1]Sheet1!$E$10:$X$629,AH$9,0)</f>
        <v>90</v>
      </c>
      <c r="AJ51">
        <f t="shared" si="1"/>
        <v>1350</v>
      </c>
      <c r="AK51">
        <f t="shared" si="2"/>
        <v>2160</v>
      </c>
      <c r="AL51">
        <f t="shared" si="3"/>
        <v>-810</v>
      </c>
    </row>
    <row r="52" spans="1:38" ht="39.6" x14ac:dyDescent="0.3">
      <c r="A52" s="4" t="s">
        <v>170</v>
      </c>
      <c r="B52" s="5" t="s">
        <v>171</v>
      </c>
      <c r="C52" s="21" t="s">
        <v>172</v>
      </c>
      <c r="D52" s="20"/>
      <c r="E52" s="4">
        <v>1000132</v>
      </c>
      <c r="F52" s="4" t="s">
        <v>44</v>
      </c>
      <c r="G52" s="4" t="s">
        <v>45</v>
      </c>
      <c r="H52" s="4" t="s">
        <v>61</v>
      </c>
      <c r="I52" s="4" t="s">
        <v>57</v>
      </c>
      <c r="J52" s="4" t="s">
        <v>47</v>
      </c>
      <c r="K52" s="4">
        <v>14.4</v>
      </c>
      <c r="L52" s="4">
        <v>20</v>
      </c>
      <c r="M52" s="5">
        <v>0</v>
      </c>
      <c r="N52" s="5">
        <v>180</v>
      </c>
      <c r="O52" s="5">
        <v>90</v>
      </c>
      <c r="P52" s="5">
        <v>90</v>
      </c>
      <c r="Q52" s="5">
        <v>180</v>
      </c>
      <c r="R52" s="5">
        <v>90</v>
      </c>
      <c r="S52" s="5">
        <v>0</v>
      </c>
      <c r="T52" s="5">
        <v>180</v>
      </c>
      <c r="U52" s="5">
        <v>90</v>
      </c>
      <c r="V52" s="5">
        <v>180</v>
      </c>
      <c r="W52" s="5">
        <v>90</v>
      </c>
      <c r="X52" s="5">
        <v>180</v>
      </c>
      <c r="Z52" t="e">
        <f>VLOOKUP(E52,Sheet2!$A$1:$A$39,1,0)</f>
        <v>#N/A</v>
      </c>
      <c r="AA52">
        <f>VLOOKUP($E52,[1]Sheet1!$E$10:$X$629,AA$9,0)</f>
        <v>180</v>
      </c>
      <c r="AB52">
        <f>VLOOKUP($E52,[1]Sheet1!$E$10:$X$629,AB$9,0)</f>
        <v>180</v>
      </c>
      <c r="AC52">
        <f>VLOOKUP($E52,[1]Sheet1!$E$10:$X$629,AC$9,0)</f>
        <v>360</v>
      </c>
      <c r="AD52">
        <f>VLOOKUP($E52,[1]Sheet1!$E$10:$X$629,AD$9,0)</f>
        <v>180</v>
      </c>
      <c r="AE52">
        <f>VLOOKUP($E52,[1]Sheet1!$E$10:$X$629,AE$9,0)</f>
        <v>180</v>
      </c>
      <c r="AF52">
        <f>VLOOKUP($E52,[1]Sheet1!$E$10:$X$629,AF$9,0)</f>
        <v>270</v>
      </c>
      <c r="AG52">
        <f>VLOOKUP($E52,[1]Sheet1!$E$10:$X$629,AG$9,0)</f>
        <v>270</v>
      </c>
      <c r="AH52">
        <f>VLOOKUP($E52,[1]Sheet1!$E$10:$X$629,AH$9,0)</f>
        <v>90</v>
      </c>
      <c r="AJ52">
        <f t="shared" si="1"/>
        <v>810</v>
      </c>
      <c r="AK52">
        <f t="shared" si="2"/>
        <v>1710</v>
      </c>
      <c r="AL52">
        <f t="shared" si="3"/>
        <v>-900</v>
      </c>
    </row>
    <row r="53" spans="1:38" ht="39.6" x14ac:dyDescent="0.3">
      <c r="A53" s="4" t="s">
        <v>173</v>
      </c>
      <c r="B53" s="5" t="s">
        <v>174</v>
      </c>
      <c r="C53" s="21" t="s">
        <v>175</v>
      </c>
      <c r="D53" s="20"/>
      <c r="E53" s="4">
        <v>1000141</v>
      </c>
      <c r="F53" s="4" t="s">
        <v>44</v>
      </c>
      <c r="G53" s="4" t="s">
        <v>45</v>
      </c>
      <c r="H53" s="4" t="s">
        <v>61</v>
      </c>
      <c r="I53" s="4" t="s">
        <v>57</v>
      </c>
      <c r="J53" s="4" t="s">
        <v>47</v>
      </c>
      <c r="K53" s="4">
        <v>14.4</v>
      </c>
      <c r="L53" s="4">
        <v>20</v>
      </c>
      <c r="M53" s="5">
        <v>180</v>
      </c>
      <c r="N53" s="5">
        <v>90</v>
      </c>
      <c r="O53" s="5">
        <v>270</v>
      </c>
      <c r="P53" s="5">
        <v>270</v>
      </c>
      <c r="Q53" s="5">
        <v>180</v>
      </c>
      <c r="R53" s="5">
        <v>180</v>
      </c>
      <c r="S53" s="5">
        <v>180</v>
      </c>
      <c r="T53" s="5">
        <v>270</v>
      </c>
      <c r="U53" s="5">
        <v>90</v>
      </c>
      <c r="V53" s="5">
        <v>270</v>
      </c>
      <c r="W53" s="5">
        <v>360</v>
      </c>
      <c r="X53" s="5">
        <v>90</v>
      </c>
      <c r="Z53" t="e">
        <f>VLOOKUP(E53,Sheet2!$A$1:$A$39,1,0)</f>
        <v>#N/A</v>
      </c>
      <c r="AA53">
        <f>VLOOKUP($E53,[1]Sheet1!$E$10:$X$629,AA$9,0)</f>
        <v>270</v>
      </c>
      <c r="AB53">
        <f>VLOOKUP($E53,[1]Sheet1!$E$10:$X$629,AB$9,0)</f>
        <v>180</v>
      </c>
      <c r="AC53">
        <f>VLOOKUP($E53,[1]Sheet1!$E$10:$X$629,AC$9,0)</f>
        <v>360</v>
      </c>
      <c r="AD53">
        <f>VLOOKUP($E53,[1]Sheet1!$E$10:$X$629,AD$9,0)</f>
        <v>270</v>
      </c>
      <c r="AE53">
        <f>VLOOKUP($E53,[1]Sheet1!$E$10:$X$629,AE$9,0)</f>
        <v>270</v>
      </c>
      <c r="AF53">
        <f>VLOOKUP($E53,[1]Sheet1!$E$10:$X$629,AF$9,0)</f>
        <v>450</v>
      </c>
      <c r="AG53">
        <f>VLOOKUP($E53,[1]Sheet1!$E$10:$X$629,AG$9,0)</f>
        <v>270</v>
      </c>
      <c r="AH53">
        <f>VLOOKUP($E53,[1]Sheet1!$E$10:$X$629,AH$9,0)</f>
        <v>180</v>
      </c>
      <c r="AJ53">
        <f t="shared" si="1"/>
        <v>1620</v>
      </c>
      <c r="AK53">
        <f t="shared" si="2"/>
        <v>2250</v>
      </c>
      <c r="AL53">
        <f t="shared" si="3"/>
        <v>-630</v>
      </c>
    </row>
    <row r="54" spans="1:38" ht="39.6" x14ac:dyDescent="0.3">
      <c r="A54" s="4" t="s">
        <v>176</v>
      </c>
      <c r="B54" s="5" t="s">
        <v>177</v>
      </c>
      <c r="C54" s="21" t="s">
        <v>178</v>
      </c>
      <c r="D54" s="20"/>
      <c r="E54" s="4">
        <v>1000145</v>
      </c>
      <c r="F54" s="4" t="s">
        <v>44</v>
      </c>
      <c r="G54" s="4" t="s">
        <v>45</v>
      </c>
      <c r="H54" s="4" t="s">
        <v>61</v>
      </c>
      <c r="I54" s="4" t="s">
        <v>57</v>
      </c>
      <c r="J54" s="4" t="s">
        <v>47</v>
      </c>
      <c r="K54" s="4">
        <v>14.4</v>
      </c>
      <c r="L54" s="4">
        <v>20</v>
      </c>
      <c r="M54" s="5">
        <v>90</v>
      </c>
      <c r="N54" s="5">
        <v>0</v>
      </c>
      <c r="O54" s="5">
        <v>180</v>
      </c>
      <c r="P54" s="5">
        <v>90</v>
      </c>
      <c r="Q54" s="5">
        <v>90</v>
      </c>
      <c r="R54" s="5">
        <v>180</v>
      </c>
      <c r="S54" s="5">
        <v>180</v>
      </c>
      <c r="T54" s="5">
        <v>0</v>
      </c>
      <c r="U54" s="5">
        <v>180</v>
      </c>
      <c r="V54" s="5">
        <v>90</v>
      </c>
      <c r="W54" s="5">
        <v>270</v>
      </c>
      <c r="X54" s="5">
        <v>0</v>
      </c>
      <c r="Z54" t="e">
        <f>VLOOKUP(E54,Sheet2!$A$1:$A$39,1,0)</f>
        <v>#N/A</v>
      </c>
      <c r="AA54">
        <f>VLOOKUP($E54,[1]Sheet1!$E$10:$X$629,AA$9,0)</f>
        <v>270</v>
      </c>
      <c r="AB54">
        <f>VLOOKUP($E54,[1]Sheet1!$E$10:$X$629,AB$9,0)</f>
        <v>180</v>
      </c>
      <c r="AC54">
        <f>VLOOKUP($E54,[1]Sheet1!$E$10:$X$629,AC$9,0)</f>
        <v>270</v>
      </c>
      <c r="AD54">
        <f>VLOOKUP($E54,[1]Sheet1!$E$10:$X$629,AD$9,0)</f>
        <v>180</v>
      </c>
      <c r="AE54">
        <f>VLOOKUP($E54,[1]Sheet1!$E$10:$X$629,AE$9,0)</f>
        <v>180</v>
      </c>
      <c r="AF54">
        <f>VLOOKUP($E54,[1]Sheet1!$E$10:$X$629,AF$9,0)</f>
        <v>270</v>
      </c>
      <c r="AG54">
        <f>VLOOKUP($E54,[1]Sheet1!$E$10:$X$629,AG$9,0)</f>
        <v>180</v>
      </c>
      <c r="AH54">
        <f>VLOOKUP($E54,[1]Sheet1!$E$10:$X$629,AH$9,0)</f>
        <v>180</v>
      </c>
      <c r="AJ54">
        <f t="shared" si="1"/>
        <v>810</v>
      </c>
      <c r="AK54">
        <f t="shared" si="2"/>
        <v>1710</v>
      </c>
      <c r="AL54">
        <f t="shared" si="3"/>
        <v>-900</v>
      </c>
    </row>
    <row r="55" spans="1:38" ht="39.6" x14ac:dyDescent="0.3">
      <c r="A55" s="4" t="s">
        <v>179</v>
      </c>
      <c r="B55" s="5" t="s">
        <v>180</v>
      </c>
      <c r="C55" s="21" t="s">
        <v>181</v>
      </c>
      <c r="D55" s="20"/>
      <c r="E55" s="4">
        <v>1000147</v>
      </c>
      <c r="F55" s="4" t="s">
        <v>44</v>
      </c>
      <c r="G55" s="4" t="s">
        <v>45</v>
      </c>
      <c r="H55" s="4" t="s">
        <v>61</v>
      </c>
      <c r="I55" s="4" t="s">
        <v>57</v>
      </c>
      <c r="J55" s="4" t="s">
        <v>47</v>
      </c>
      <c r="K55" s="4">
        <v>14.4</v>
      </c>
      <c r="L55" s="4">
        <v>20</v>
      </c>
      <c r="M55" s="5">
        <v>0</v>
      </c>
      <c r="N55" s="5">
        <v>180</v>
      </c>
      <c r="O55" s="5">
        <v>180</v>
      </c>
      <c r="P55" s="5">
        <v>90</v>
      </c>
      <c r="Q55" s="5">
        <v>270</v>
      </c>
      <c r="R55" s="5">
        <v>180</v>
      </c>
      <c r="S55" s="5">
        <v>90</v>
      </c>
      <c r="T55" s="5">
        <v>270</v>
      </c>
      <c r="U55" s="5">
        <v>180</v>
      </c>
      <c r="V55" s="5">
        <v>180</v>
      </c>
      <c r="W55" s="5">
        <v>270</v>
      </c>
      <c r="X55" s="5">
        <v>180</v>
      </c>
      <c r="Z55" t="e">
        <f>VLOOKUP(E55,Sheet2!$A$1:$A$39,1,0)</f>
        <v>#N/A</v>
      </c>
      <c r="AA55">
        <f>VLOOKUP($E55,[1]Sheet1!$E$10:$X$629,AA$9,0)</f>
        <v>270</v>
      </c>
      <c r="AB55">
        <f>VLOOKUP($E55,[1]Sheet1!$E$10:$X$629,AB$9,0)</f>
        <v>90</v>
      </c>
      <c r="AC55">
        <f>VLOOKUP($E55,[1]Sheet1!$E$10:$X$629,AC$9,0)</f>
        <v>360</v>
      </c>
      <c r="AD55">
        <f>VLOOKUP($E55,[1]Sheet1!$E$10:$X$629,AD$9,0)</f>
        <v>270</v>
      </c>
      <c r="AE55">
        <f>VLOOKUP($E55,[1]Sheet1!$E$10:$X$629,AE$9,0)</f>
        <v>360</v>
      </c>
      <c r="AF55">
        <f>VLOOKUP($E55,[1]Sheet1!$E$10:$X$629,AF$9,0)</f>
        <v>270</v>
      </c>
      <c r="AG55">
        <f>VLOOKUP($E55,[1]Sheet1!$E$10:$X$629,AG$9,0)</f>
        <v>270</v>
      </c>
      <c r="AH55">
        <f>VLOOKUP($E55,[1]Sheet1!$E$10:$X$629,AH$9,0)</f>
        <v>180</v>
      </c>
      <c r="AJ55">
        <f t="shared" si="1"/>
        <v>1260</v>
      </c>
      <c r="AK55">
        <f t="shared" si="2"/>
        <v>2070</v>
      </c>
      <c r="AL55">
        <f t="shared" si="3"/>
        <v>-810</v>
      </c>
    </row>
    <row r="56" spans="1:38" ht="39.6" x14ac:dyDescent="0.3">
      <c r="A56" s="4" t="s">
        <v>182</v>
      </c>
      <c r="B56" s="5" t="s">
        <v>183</v>
      </c>
      <c r="C56" s="21" t="s">
        <v>184</v>
      </c>
      <c r="D56" s="20"/>
      <c r="E56" s="4">
        <v>1000131</v>
      </c>
      <c r="F56" s="4" t="s">
        <v>44</v>
      </c>
      <c r="G56" s="4" t="s">
        <v>45</v>
      </c>
      <c r="H56" s="4" t="s">
        <v>61</v>
      </c>
      <c r="I56" s="4" t="s">
        <v>57</v>
      </c>
      <c r="J56" s="4" t="s">
        <v>47</v>
      </c>
      <c r="K56" s="4">
        <v>14.4</v>
      </c>
      <c r="L56" s="4">
        <v>20</v>
      </c>
      <c r="M56" s="5">
        <v>90</v>
      </c>
      <c r="N56" s="5">
        <v>0</v>
      </c>
      <c r="O56" s="5">
        <v>270</v>
      </c>
      <c r="P56" s="5">
        <v>0</v>
      </c>
      <c r="Q56" s="5">
        <v>90</v>
      </c>
      <c r="R56" s="5">
        <v>180</v>
      </c>
      <c r="S56" s="5">
        <v>0</v>
      </c>
      <c r="T56" s="5">
        <v>90</v>
      </c>
      <c r="U56" s="5">
        <v>180</v>
      </c>
      <c r="V56" s="5">
        <v>90</v>
      </c>
      <c r="W56" s="5">
        <v>90</v>
      </c>
      <c r="X56" s="5">
        <v>90</v>
      </c>
      <c r="Z56" t="e">
        <f>VLOOKUP(E56,Sheet2!$A$1:$A$39,1,0)</f>
        <v>#N/A</v>
      </c>
      <c r="AA56">
        <f>VLOOKUP($E56,[1]Sheet1!$E$10:$X$629,AA$9,0)</f>
        <v>180</v>
      </c>
      <c r="AB56">
        <f>VLOOKUP($E56,[1]Sheet1!$E$10:$X$629,AB$9,0)</f>
        <v>90</v>
      </c>
      <c r="AC56">
        <f>VLOOKUP($E56,[1]Sheet1!$E$10:$X$629,AC$9,0)</f>
        <v>360</v>
      </c>
      <c r="AD56">
        <f>VLOOKUP($E56,[1]Sheet1!$E$10:$X$629,AD$9,0)</f>
        <v>180</v>
      </c>
      <c r="AE56">
        <f>VLOOKUP($E56,[1]Sheet1!$E$10:$X$629,AE$9,0)</f>
        <v>270</v>
      </c>
      <c r="AF56">
        <f>VLOOKUP($E56,[1]Sheet1!$E$10:$X$629,AF$9,0)</f>
        <v>270</v>
      </c>
      <c r="AG56">
        <f>VLOOKUP($E56,[1]Sheet1!$E$10:$X$629,AG$9,0)</f>
        <v>180</v>
      </c>
      <c r="AH56">
        <f>VLOOKUP($E56,[1]Sheet1!$E$10:$X$629,AH$9,0)</f>
        <v>90</v>
      </c>
      <c r="AJ56">
        <f t="shared" si="1"/>
        <v>720</v>
      </c>
      <c r="AK56">
        <f t="shared" si="2"/>
        <v>1620</v>
      </c>
      <c r="AL56">
        <f t="shared" si="3"/>
        <v>-900</v>
      </c>
    </row>
    <row r="57" spans="1:38" ht="39.6" x14ac:dyDescent="0.3">
      <c r="A57" s="4" t="s">
        <v>185</v>
      </c>
      <c r="B57" s="5" t="s">
        <v>186</v>
      </c>
      <c r="C57" s="21" t="s">
        <v>187</v>
      </c>
      <c r="D57" s="20"/>
      <c r="E57" s="4">
        <v>1000142</v>
      </c>
      <c r="F57" s="4" t="s">
        <v>44</v>
      </c>
      <c r="G57" s="4" t="s">
        <v>45</v>
      </c>
      <c r="H57" s="4" t="s">
        <v>61</v>
      </c>
      <c r="I57" s="4" t="s">
        <v>57</v>
      </c>
      <c r="J57" s="4" t="s">
        <v>47</v>
      </c>
      <c r="K57" s="4">
        <v>14.4</v>
      </c>
      <c r="L57" s="4">
        <v>20</v>
      </c>
      <c r="M57" s="5">
        <v>270</v>
      </c>
      <c r="N57" s="5">
        <v>270</v>
      </c>
      <c r="O57" s="5">
        <v>180</v>
      </c>
      <c r="P57" s="5">
        <v>270</v>
      </c>
      <c r="Q57" s="5">
        <v>270</v>
      </c>
      <c r="R57" s="5">
        <v>270</v>
      </c>
      <c r="S57" s="5">
        <v>180</v>
      </c>
      <c r="T57" s="5">
        <v>270</v>
      </c>
      <c r="U57" s="5">
        <v>270</v>
      </c>
      <c r="V57" s="5">
        <v>360</v>
      </c>
      <c r="W57" s="5">
        <v>180</v>
      </c>
      <c r="X57" s="5">
        <v>360</v>
      </c>
      <c r="Z57" t="e">
        <f>VLOOKUP(E57,Sheet2!$A$1:$A$39,1,0)</f>
        <v>#N/A</v>
      </c>
      <c r="AA57">
        <f>VLOOKUP($E57,[1]Sheet1!$E$10:$X$629,AA$9,0)</f>
        <v>360</v>
      </c>
      <c r="AB57">
        <f>VLOOKUP($E57,[1]Sheet1!$E$10:$X$629,AB$9,0)</f>
        <v>360</v>
      </c>
      <c r="AC57">
        <f>VLOOKUP($E57,[1]Sheet1!$E$10:$X$629,AC$9,0)</f>
        <v>360</v>
      </c>
      <c r="AD57">
        <f>VLOOKUP($E57,[1]Sheet1!$E$10:$X$629,AD$9,0)</f>
        <v>270</v>
      </c>
      <c r="AE57">
        <f>VLOOKUP($E57,[1]Sheet1!$E$10:$X$629,AE$9,0)</f>
        <v>450</v>
      </c>
      <c r="AF57">
        <f>VLOOKUP($E57,[1]Sheet1!$E$10:$X$629,AF$9,0)</f>
        <v>360</v>
      </c>
      <c r="AG57">
        <f>VLOOKUP($E57,[1]Sheet1!$E$10:$X$629,AG$9,0)</f>
        <v>450</v>
      </c>
      <c r="AH57">
        <f>VLOOKUP($E57,[1]Sheet1!$E$10:$X$629,AH$9,0)</f>
        <v>90</v>
      </c>
      <c r="AJ57">
        <f t="shared" si="1"/>
        <v>1980</v>
      </c>
      <c r="AK57">
        <f t="shared" si="2"/>
        <v>2700</v>
      </c>
      <c r="AL57">
        <f t="shared" si="3"/>
        <v>-720</v>
      </c>
    </row>
    <row r="58" spans="1:38" ht="39.6" x14ac:dyDescent="0.3">
      <c r="A58" s="4" t="s">
        <v>188</v>
      </c>
      <c r="B58" s="5" t="s">
        <v>189</v>
      </c>
      <c r="C58" s="21" t="s">
        <v>190</v>
      </c>
      <c r="D58" s="20"/>
      <c r="E58" s="4">
        <v>1000140</v>
      </c>
      <c r="F58" s="4" t="s">
        <v>44</v>
      </c>
      <c r="G58" s="4" t="s">
        <v>45</v>
      </c>
      <c r="H58" s="4" t="s">
        <v>61</v>
      </c>
      <c r="I58" s="4" t="s">
        <v>57</v>
      </c>
      <c r="J58" s="4" t="s">
        <v>47</v>
      </c>
      <c r="K58" s="4">
        <v>14.4</v>
      </c>
      <c r="L58" s="4">
        <v>20</v>
      </c>
      <c r="M58" s="5">
        <v>90</v>
      </c>
      <c r="N58" s="5">
        <v>180</v>
      </c>
      <c r="O58" s="5">
        <v>180</v>
      </c>
      <c r="P58" s="5">
        <v>180</v>
      </c>
      <c r="Q58" s="5">
        <v>270</v>
      </c>
      <c r="R58" s="5">
        <v>90</v>
      </c>
      <c r="S58" s="5">
        <v>270</v>
      </c>
      <c r="T58" s="5">
        <v>90</v>
      </c>
      <c r="U58" s="5">
        <v>360</v>
      </c>
      <c r="V58" s="5">
        <v>180</v>
      </c>
      <c r="W58" s="5">
        <v>180</v>
      </c>
      <c r="X58" s="5">
        <v>270</v>
      </c>
      <c r="Z58" t="e">
        <f>VLOOKUP(E58,Sheet2!$A$1:$A$39,1,0)</f>
        <v>#N/A</v>
      </c>
      <c r="AA58">
        <f>VLOOKUP($E58,[1]Sheet1!$E$10:$X$629,AA$9,0)</f>
        <v>360</v>
      </c>
      <c r="AB58">
        <f>VLOOKUP($E58,[1]Sheet1!$E$10:$X$629,AB$9,0)</f>
        <v>360</v>
      </c>
      <c r="AC58">
        <f>VLOOKUP($E58,[1]Sheet1!$E$10:$X$629,AC$9,0)</f>
        <v>270</v>
      </c>
      <c r="AD58">
        <f>VLOOKUP($E58,[1]Sheet1!$E$10:$X$629,AD$9,0)</f>
        <v>270</v>
      </c>
      <c r="AE58">
        <f>VLOOKUP($E58,[1]Sheet1!$E$10:$X$629,AE$9,0)</f>
        <v>360</v>
      </c>
      <c r="AF58">
        <f>VLOOKUP($E58,[1]Sheet1!$E$10:$X$629,AF$9,0)</f>
        <v>270</v>
      </c>
      <c r="AG58">
        <f>VLOOKUP($E58,[1]Sheet1!$E$10:$X$629,AG$9,0)</f>
        <v>270</v>
      </c>
      <c r="AH58">
        <f>VLOOKUP($E58,[1]Sheet1!$E$10:$X$629,AH$9,0)</f>
        <v>180</v>
      </c>
      <c r="AJ58">
        <f t="shared" si="1"/>
        <v>1350</v>
      </c>
      <c r="AK58">
        <f t="shared" si="2"/>
        <v>2340</v>
      </c>
      <c r="AL58">
        <f t="shared" si="3"/>
        <v>-990</v>
      </c>
    </row>
    <row r="59" spans="1:38" ht="39.6" x14ac:dyDescent="0.3">
      <c r="A59" s="4" t="s">
        <v>191</v>
      </c>
      <c r="B59" s="5" t="s">
        <v>192</v>
      </c>
      <c r="C59" s="21" t="s">
        <v>193</v>
      </c>
      <c r="D59" s="20"/>
      <c r="E59" s="4">
        <v>1000129</v>
      </c>
      <c r="F59" s="4" t="s">
        <v>44</v>
      </c>
      <c r="G59" s="4" t="s">
        <v>45</v>
      </c>
      <c r="H59" s="4" t="s">
        <v>61</v>
      </c>
      <c r="I59" s="4" t="s">
        <v>57</v>
      </c>
      <c r="J59" s="4" t="s">
        <v>47</v>
      </c>
      <c r="K59" s="4">
        <v>14.4</v>
      </c>
      <c r="L59" s="4">
        <v>20</v>
      </c>
      <c r="M59" s="5">
        <v>0</v>
      </c>
      <c r="N59" s="5">
        <v>180</v>
      </c>
      <c r="O59" s="5">
        <v>0</v>
      </c>
      <c r="P59" s="5">
        <v>270</v>
      </c>
      <c r="Q59" s="5">
        <v>90</v>
      </c>
      <c r="R59" s="5">
        <v>90</v>
      </c>
      <c r="S59" s="5">
        <v>90</v>
      </c>
      <c r="T59" s="5">
        <v>270</v>
      </c>
      <c r="U59" s="5">
        <v>0</v>
      </c>
      <c r="V59" s="5">
        <v>270</v>
      </c>
      <c r="W59" s="5">
        <v>90</v>
      </c>
      <c r="X59" s="5">
        <v>180</v>
      </c>
      <c r="Z59" t="e">
        <f>VLOOKUP(E59,Sheet2!$A$1:$A$39,1,0)</f>
        <v>#N/A</v>
      </c>
      <c r="AA59">
        <f>VLOOKUP($E59,[1]Sheet1!$E$10:$X$629,AA$9,0)</f>
        <v>90</v>
      </c>
      <c r="AB59">
        <f>VLOOKUP($E59,[1]Sheet1!$E$10:$X$629,AB$9,0)</f>
        <v>180</v>
      </c>
      <c r="AC59">
        <f>VLOOKUP($E59,[1]Sheet1!$E$10:$X$629,AC$9,0)</f>
        <v>270</v>
      </c>
      <c r="AD59">
        <f>VLOOKUP($E59,[1]Sheet1!$E$10:$X$629,AD$9,0)</f>
        <v>270</v>
      </c>
      <c r="AE59">
        <f>VLOOKUP($E59,[1]Sheet1!$E$10:$X$629,AE$9,0)</f>
        <v>270</v>
      </c>
      <c r="AF59">
        <f>VLOOKUP($E59,[1]Sheet1!$E$10:$X$629,AF$9,0)</f>
        <v>270</v>
      </c>
      <c r="AG59">
        <f>VLOOKUP($E59,[1]Sheet1!$E$10:$X$629,AG$9,0)</f>
        <v>270</v>
      </c>
      <c r="AH59">
        <f>VLOOKUP($E59,[1]Sheet1!$E$10:$X$629,AH$9,0)</f>
        <v>180</v>
      </c>
      <c r="AJ59">
        <f t="shared" si="1"/>
        <v>990</v>
      </c>
      <c r="AK59">
        <f t="shared" si="2"/>
        <v>1800</v>
      </c>
      <c r="AL59">
        <f t="shared" si="3"/>
        <v>-810</v>
      </c>
    </row>
    <row r="60" spans="1:38" ht="39.6" x14ac:dyDescent="0.3">
      <c r="A60" s="4" t="s">
        <v>194</v>
      </c>
      <c r="B60" s="5" t="s">
        <v>195</v>
      </c>
      <c r="C60" s="21" t="s">
        <v>196</v>
      </c>
      <c r="D60" s="20"/>
      <c r="E60" s="4">
        <v>1000126</v>
      </c>
      <c r="F60" s="4" t="s">
        <v>44</v>
      </c>
      <c r="G60" s="4" t="s">
        <v>45</v>
      </c>
      <c r="H60" s="4" t="s">
        <v>61</v>
      </c>
      <c r="I60" s="4" t="s">
        <v>57</v>
      </c>
      <c r="J60" s="4" t="s">
        <v>47</v>
      </c>
      <c r="K60" s="4">
        <v>14.4</v>
      </c>
      <c r="L60" s="4">
        <v>20</v>
      </c>
      <c r="M60" s="5">
        <v>180</v>
      </c>
      <c r="N60" s="5">
        <v>90</v>
      </c>
      <c r="O60" s="5">
        <v>90</v>
      </c>
      <c r="P60" s="5">
        <v>180</v>
      </c>
      <c r="Q60" s="5">
        <v>180</v>
      </c>
      <c r="R60" s="5">
        <v>0</v>
      </c>
      <c r="S60" s="5">
        <v>360</v>
      </c>
      <c r="T60" s="5">
        <v>0</v>
      </c>
      <c r="U60" s="5">
        <v>270</v>
      </c>
      <c r="V60" s="5">
        <v>180</v>
      </c>
      <c r="W60" s="5">
        <v>270</v>
      </c>
      <c r="X60" s="5">
        <v>0</v>
      </c>
      <c r="Z60" t="e">
        <f>VLOOKUP(E60,Sheet2!$A$1:$A$39,1,0)</f>
        <v>#N/A</v>
      </c>
      <c r="AA60">
        <f>VLOOKUP($E60,[1]Sheet1!$E$10:$X$629,AA$9,0)</f>
        <v>360</v>
      </c>
      <c r="AB60">
        <f>VLOOKUP($E60,[1]Sheet1!$E$10:$X$629,AB$9,0)</f>
        <v>270</v>
      </c>
      <c r="AC60">
        <f>VLOOKUP($E60,[1]Sheet1!$E$10:$X$629,AC$9,0)</f>
        <v>360</v>
      </c>
      <c r="AD60">
        <f>VLOOKUP($E60,[1]Sheet1!$E$10:$X$629,AD$9,0)</f>
        <v>450</v>
      </c>
      <c r="AE60">
        <f>VLOOKUP($E60,[1]Sheet1!$E$10:$X$629,AE$9,0)</f>
        <v>450</v>
      </c>
      <c r="AF60">
        <f>VLOOKUP($E60,[1]Sheet1!$E$10:$X$629,AF$9,0)</f>
        <v>270</v>
      </c>
      <c r="AG60">
        <f>VLOOKUP($E60,[1]Sheet1!$E$10:$X$629,AG$9,0)</f>
        <v>450</v>
      </c>
      <c r="AH60">
        <f>VLOOKUP($E60,[1]Sheet1!$E$10:$X$629,AH$9,0)</f>
        <v>270</v>
      </c>
      <c r="AJ60">
        <f t="shared" si="1"/>
        <v>1080</v>
      </c>
      <c r="AK60">
        <f t="shared" si="2"/>
        <v>2880</v>
      </c>
      <c r="AL60">
        <f t="shared" si="3"/>
        <v>-1800</v>
      </c>
    </row>
    <row r="61" spans="1:38" ht="39.6" x14ac:dyDescent="0.3">
      <c r="A61" s="4" t="s">
        <v>197</v>
      </c>
      <c r="B61" s="5" t="s">
        <v>198</v>
      </c>
      <c r="C61" s="21" t="s">
        <v>199</v>
      </c>
      <c r="D61" s="20"/>
      <c r="E61" s="4">
        <v>1000134</v>
      </c>
      <c r="F61" s="4" t="s">
        <v>44</v>
      </c>
      <c r="G61" s="4" t="s">
        <v>45</v>
      </c>
      <c r="H61" s="4" t="s">
        <v>61</v>
      </c>
      <c r="I61" s="4" t="s">
        <v>57</v>
      </c>
      <c r="J61" s="4" t="s">
        <v>47</v>
      </c>
      <c r="K61" s="4">
        <v>14.4</v>
      </c>
      <c r="L61" s="4">
        <v>20</v>
      </c>
      <c r="M61" s="5">
        <v>90</v>
      </c>
      <c r="N61" s="5">
        <v>90</v>
      </c>
      <c r="O61" s="5">
        <v>90</v>
      </c>
      <c r="P61" s="5">
        <v>360</v>
      </c>
      <c r="Q61" s="5">
        <v>0</v>
      </c>
      <c r="R61" s="5">
        <v>360</v>
      </c>
      <c r="S61" s="5">
        <v>90</v>
      </c>
      <c r="T61" s="5">
        <v>180</v>
      </c>
      <c r="U61" s="5">
        <v>270</v>
      </c>
      <c r="V61" s="5">
        <v>180</v>
      </c>
      <c r="W61" s="5">
        <v>270</v>
      </c>
      <c r="X61" s="5">
        <v>180</v>
      </c>
      <c r="Z61" t="e">
        <f>VLOOKUP(E61,Sheet2!$A$1:$A$39,1,0)</f>
        <v>#N/A</v>
      </c>
      <c r="AA61">
        <f>VLOOKUP($E61,[1]Sheet1!$E$10:$X$629,AA$9,0)</f>
        <v>360</v>
      </c>
      <c r="AB61">
        <f>VLOOKUP($E61,[1]Sheet1!$E$10:$X$629,AB$9,0)</f>
        <v>450</v>
      </c>
      <c r="AC61">
        <f>VLOOKUP($E61,[1]Sheet1!$E$10:$X$629,AC$9,0)</f>
        <v>360</v>
      </c>
      <c r="AD61">
        <f>VLOOKUP($E61,[1]Sheet1!$E$10:$X$629,AD$9,0)</f>
        <v>540</v>
      </c>
      <c r="AE61">
        <f>VLOOKUP($E61,[1]Sheet1!$E$10:$X$629,AE$9,0)</f>
        <v>450</v>
      </c>
      <c r="AF61">
        <f>VLOOKUP($E61,[1]Sheet1!$E$10:$X$629,AF$9,0)</f>
        <v>360</v>
      </c>
      <c r="AG61">
        <f>VLOOKUP($E61,[1]Sheet1!$E$10:$X$629,AG$9,0)</f>
        <v>540</v>
      </c>
      <c r="AH61">
        <f>VLOOKUP($E61,[1]Sheet1!$E$10:$X$629,AH$9,0)</f>
        <v>90</v>
      </c>
      <c r="AJ61">
        <f t="shared" si="1"/>
        <v>1260</v>
      </c>
      <c r="AK61">
        <f t="shared" si="2"/>
        <v>3150</v>
      </c>
      <c r="AL61">
        <f t="shared" si="3"/>
        <v>-1890</v>
      </c>
    </row>
    <row r="62" spans="1:38" ht="39.6" x14ac:dyDescent="0.3">
      <c r="A62" s="4" t="s">
        <v>200</v>
      </c>
      <c r="B62" s="5" t="s">
        <v>201</v>
      </c>
      <c r="C62" s="21" t="s">
        <v>202</v>
      </c>
      <c r="D62" s="20"/>
      <c r="E62" s="4">
        <v>1000137</v>
      </c>
      <c r="F62" s="4" t="s">
        <v>44</v>
      </c>
      <c r="G62" s="4" t="s">
        <v>45</v>
      </c>
      <c r="H62" s="4" t="s">
        <v>61</v>
      </c>
      <c r="I62" s="4" t="s">
        <v>57</v>
      </c>
      <c r="J62" s="4" t="s">
        <v>47</v>
      </c>
      <c r="K62" s="4">
        <v>14.4</v>
      </c>
      <c r="L62" s="4">
        <v>20</v>
      </c>
      <c r="M62" s="5">
        <v>180</v>
      </c>
      <c r="N62" s="5">
        <v>0</v>
      </c>
      <c r="O62" s="5">
        <v>180</v>
      </c>
      <c r="P62" s="5">
        <v>90</v>
      </c>
      <c r="Q62" s="5">
        <v>270</v>
      </c>
      <c r="R62" s="5">
        <v>90</v>
      </c>
      <c r="S62" s="5">
        <v>180</v>
      </c>
      <c r="T62" s="5">
        <v>0</v>
      </c>
      <c r="U62" s="5">
        <v>360</v>
      </c>
      <c r="V62" s="5">
        <v>0</v>
      </c>
      <c r="W62" s="5">
        <v>270</v>
      </c>
      <c r="X62" s="5">
        <v>180</v>
      </c>
      <c r="Z62" t="e">
        <f>VLOOKUP(E62,Sheet2!$A$1:$A$39,1,0)</f>
        <v>#N/A</v>
      </c>
      <c r="AA62">
        <f>VLOOKUP($E62,[1]Sheet1!$E$10:$X$629,AA$9,0)</f>
        <v>360</v>
      </c>
      <c r="AB62">
        <f>VLOOKUP($E62,[1]Sheet1!$E$10:$X$629,AB$9,0)</f>
        <v>180</v>
      </c>
      <c r="AC62">
        <f>VLOOKUP($E62,[1]Sheet1!$E$10:$X$629,AC$9,0)</f>
        <v>360</v>
      </c>
      <c r="AD62">
        <f>VLOOKUP($E62,[1]Sheet1!$E$10:$X$629,AD$9,0)</f>
        <v>180</v>
      </c>
      <c r="AE62">
        <f>VLOOKUP($E62,[1]Sheet1!$E$10:$X$629,AE$9,0)</f>
        <v>270</v>
      </c>
      <c r="AF62">
        <f>VLOOKUP($E62,[1]Sheet1!$E$10:$X$629,AF$9,0)</f>
        <v>450</v>
      </c>
      <c r="AG62">
        <f>VLOOKUP($E62,[1]Sheet1!$E$10:$X$629,AG$9,0)</f>
        <v>270</v>
      </c>
      <c r="AH62">
        <f>VLOOKUP($E62,[1]Sheet1!$E$10:$X$629,AH$9,0)</f>
        <v>90</v>
      </c>
      <c r="AJ62">
        <f t="shared" si="1"/>
        <v>990</v>
      </c>
      <c r="AK62">
        <f t="shared" si="2"/>
        <v>2160</v>
      </c>
      <c r="AL62">
        <f t="shared" si="3"/>
        <v>-1170</v>
      </c>
    </row>
    <row r="63" spans="1:38" ht="39.6" x14ac:dyDescent="0.3">
      <c r="A63" s="4" t="s">
        <v>203</v>
      </c>
      <c r="B63" s="5" t="s">
        <v>204</v>
      </c>
      <c r="C63" s="21" t="s">
        <v>205</v>
      </c>
      <c r="D63" s="20"/>
      <c r="E63" s="4">
        <v>1000122</v>
      </c>
      <c r="F63" s="4" t="s">
        <v>44</v>
      </c>
      <c r="G63" s="4" t="s">
        <v>45</v>
      </c>
      <c r="H63" s="4" t="s">
        <v>61</v>
      </c>
      <c r="I63" s="4" t="s">
        <v>57</v>
      </c>
      <c r="J63" s="4" t="s">
        <v>47</v>
      </c>
      <c r="K63" s="4">
        <v>14.4</v>
      </c>
      <c r="L63" s="4">
        <v>20</v>
      </c>
      <c r="M63" s="5">
        <v>180</v>
      </c>
      <c r="N63" s="5">
        <v>270</v>
      </c>
      <c r="O63" s="5">
        <v>180</v>
      </c>
      <c r="P63" s="5">
        <v>90</v>
      </c>
      <c r="Q63" s="5">
        <v>180</v>
      </c>
      <c r="R63" s="5">
        <v>360</v>
      </c>
      <c r="S63" s="5">
        <v>90</v>
      </c>
      <c r="T63" s="5">
        <v>180</v>
      </c>
      <c r="U63" s="5">
        <v>360</v>
      </c>
      <c r="V63" s="5">
        <v>90</v>
      </c>
      <c r="W63" s="5">
        <v>270</v>
      </c>
      <c r="X63" s="5">
        <v>270</v>
      </c>
      <c r="Z63" t="e">
        <f>VLOOKUP(E63,Sheet2!$A$1:$A$39,1,0)</f>
        <v>#N/A</v>
      </c>
      <c r="AA63">
        <f>VLOOKUP($E63,[1]Sheet1!$E$10:$X$629,AA$9,0)</f>
        <v>450</v>
      </c>
      <c r="AB63">
        <f>VLOOKUP($E63,[1]Sheet1!$E$10:$X$629,AB$9,0)</f>
        <v>180</v>
      </c>
      <c r="AC63">
        <f>VLOOKUP($E63,[1]Sheet1!$E$10:$X$629,AC$9,0)</f>
        <v>450</v>
      </c>
      <c r="AD63">
        <f>VLOOKUP($E63,[1]Sheet1!$E$10:$X$629,AD$9,0)</f>
        <v>270</v>
      </c>
      <c r="AE63">
        <f>VLOOKUP($E63,[1]Sheet1!$E$10:$X$629,AE$9,0)</f>
        <v>270</v>
      </c>
      <c r="AF63">
        <f>VLOOKUP($E63,[1]Sheet1!$E$10:$X$629,AF$9,0)</f>
        <v>450</v>
      </c>
      <c r="AG63">
        <f>VLOOKUP($E63,[1]Sheet1!$E$10:$X$629,AG$9,0)</f>
        <v>270</v>
      </c>
      <c r="AH63">
        <f>VLOOKUP($E63,[1]Sheet1!$E$10:$X$629,AH$9,0)</f>
        <v>270</v>
      </c>
      <c r="AJ63">
        <f t="shared" si="1"/>
        <v>1530</v>
      </c>
      <c r="AK63">
        <f t="shared" si="2"/>
        <v>2610</v>
      </c>
      <c r="AL63">
        <f t="shared" si="3"/>
        <v>-1080</v>
      </c>
    </row>
    <row r="64" spans="1:38" ht="39.6" x14ac:dyDescent="0.3">
      <c r="A64" s="4" t="s">
        <v>206</v>
      </c>
      <c r="B64" s="5" t="s">
        <v>207</v>
      </c>
      <c r="C64" s="21" t="s">
        <v>208</v>
      </c>
      <c r="D64" s="20"/>
      <c r="E64" s="4">
        <v>1000125</v>
      </c>
      <c r="F64" s="4" t="s">
        <v>44</v>
      </c>
      <c r="G64" s="4" t="s">
        <v>45</v>
      </c>
      <c r="H64" s="4" t="s">
        <v>61</v>
      </c>
      <c r="I64" s="4" t="s">
        <v>57</v>
      </c>
      <c r="J64" s="4" t="s">
        <v>47</v>
      </c>
      <c r="K64" s="4">
        <v>14.4</v>
      </c>
      <c r="L64" s="4">
        <v>20</v>
      </c>
      <c r="M64" s="5">
        <v>90</v>
      </c>
      <c r="N64" s="5">
        <v>90</v>
      </c>
      <c r="O64" s="5">
        <v>270</v>
      </c>
      <c r="P64" s="5">
        <v>90</v>
      </c>
      <c r="Q64" s="5">
        <v>90</v>
      </c>
      <c r="R64" s="5">
        <v>270</v>
      </c>
      <c r="S64" s="5">
        <v>180</v>
      </c>
      <c r="T64" s="5">
        <v>0</v>
      </c>
      <c r="U64" s="5">
        <v>360</v>
      </c>
      <c r="V64" s="5">
        <v>90</v>
      </c>
      <c r="W64" s="5">
        <v>180</v>
      </c>
      <c r="X64" s="5">
        <v>180</v>
      </c>
      <c r="Z64" t="e">
        <f>VLOOKUP(E64,Sheet2!$A$1:$A$39,1,0)</f>
        <v>#N/A</v>
      </c>
      <c r="AA64">
        <f>VLOOKUP($E64,[1]Sheet1!$E$10:$X$629,AA$9,0)</f>
        <v>180</v>
      </c>
      <c r="AB64">
        <f>VLOOKUP($E64,[1]Sheet1!$E$10:$X$629,AB$9,0)</f>
        <v>0</v>
      </c>
      <c r="AC64">
        <f>VLOOKUP($E64,[1]Sheet1!$E$10:$X$629,AC$9,0)</f>
        <v>360</v>
      </c>
      <c r="AD64">
        <f>VLOOKUP($E64,[1]Sheet1!$E$10:$X$629,AD$9,0)</f>
        <v>90</v>
      </c>
      <c r="AE64">
        <f>VLOOKUP($E64,[1]Sheet1!$E$10:$X$629,AE$9,0)</f>
        <v>360</v>
      </c>
      <c r="AF64">
        <f>VLOOKUP($E64,[1]Sheet1!$E$10:$X$629,AF$9,0)</f>
        <v>90</v>
      </c>
      <c r="AG64">
        <f>VLOOKUP($E64,[1]Sheet1!$E$10:$X$629,AG$9,0)</f>
        <v>180</v>
      </c>
      <c r="AH64">
        <f>VLOOKUP($E64,[1]Sheet1!$E$10:$X$629,AH$9,0)</f>
        <v>180</v>
      </c>
      <c r="AJ64">
        <f t="shared" si="1"/>
        <v>1080</v>
      </c>
      <c r="AK64">
        <f t="shared" si="2"/>
        <v>1440</v>
      </c>
      <c r="AL64">
        <f t="shared" si="3"/>
        <v>-360</v>
      </c>
    </row>
    <row r="65" spans="1:38" ht="39.6" x14ac:dyDescent="0.3">
      <c r="A65" s="4" t="s">
        <v>209</v>
      </c>
      <c r="B65" s="5" t="s">
        <v>210</v>
      </c>
      <c r="C65" s="21" t="s">
        <v>211</v>
      </c>
      <c r="D65" s="20"/>
      <c r="E65" s="4">
        <v>1000124</v>
      </c>
      <c r="F65" s="4" t="s">
        <v>44</v>
      </c>
      <c r="G65" s="4" t="s">
        <v>45</v>
      </c>
      <c r="H65" s="4" t="s">
        <v>61</v>
      </c>
      <c r="I65" s="4" t="s">
        <v>57</v>
      </c>
      <c r="J65" s="4" t="s">
        <v>47</v>
      </c>
      <c r="K65" s="4">
        <v>14.4</v>
      </c>
      <c r="L65" s="4">
        <v>20</v>
      </c>
      <c r="M65" s="5">
        <v>270</v>
      </c>
      <c r="N65" s="5">
        <v>180</v>
      </c>
      <c r="O65" s="5">
        <v>180</v>
      </c>
      <c r="P65" s="5">
        <v>270</v>
      </c>
      <c r="Q65" s="5">
        <v>90</v>
      </c>
      <c r="R65" s="5">
        <v>270</v>
      </c>
      <c r="S65" s="5">
        <v>270</v>
      </c>
      <c r="T65" s="5">
        <v>0</v>
      </c>
      <c r="U65" s="5">
        <v>450</v>
      </c>
      <c r="V65" s="5">
        <v>90</v>
      </c>
      <c r="W65" s="5">
        <v>360</v>
      </c>
      <c r="X65" s="5">
        <v>180</v>
      </c>
      <c r="Z65" t="e">
        <f>VLOOKUP(E65,Sheet2!$A$1:$A$39,1,0)</f>
        <v>#N/A</v>
      </c>
      <c r="AA65">
        <f>VLOOKUP($E65,[1]Sheet1!$E$10:$X$629,AA$9,0)</f>
        <v>630</v>
      </c>
      <c r="AB65">
        <f>VLOOKUP($E65,[1]Sheet1!$E$10:$X$629,AB$9,0)</f>
        <v>360</v>
      </c>
      <c r="AC65">
        <f>VLOOKUP($E65,[1]Sheet1!$E$10:$X$629,AC$9,0)</f>
        <v>630</v>
      </c>
      <c r="AD65">
        <f>VLOOKUP($E65,[1]Sheet1!$E$10:$X$629,AD$9,0)</f>
        <v>360</v>
      </c>
      <c r="AE65">
        <f>VLOOKUP($E65,[1]Sheet1!$E$10:$X$629,AE$9,0)</f>
        <v>540</v>
      </c>
      <c r="AF65">
        <f>VLOOKUP($E65,[1]Sheet1!$E$10:$X$629,AF$9,0)</f>
        <v>720</v>
      </c>
      <c r="AG65">
        <f>VLOOKUP($E65,[1]Sheet1!$E$10:$X$629,AG$9,0)</f>
        <v>450</v>
      </c>
      <c r="AH65">
        <f>VLOOKUP($E65,[1]Sheet1!$E$10:$X$629,AH$9,0)</f>
        <v>180</v>
      </c>
      <c r="AJ65">
        <f t="shared" si="1"/>
        <v>1530</v>
      </c>
      <c r="AK65">
        <f t="shared" si="2"/>
        <v>3870</v>
      </c>
      <c r="AL65">
        <f t="shared" si="3"/>
        <v>-2340</v>
      </c>
    </row>
    <row r="66" spans="1:38" ht="39.6" x14ac:dyDescent="0.3">
      <c r="A66" s="4" t="s">
        <v>212</v>
      </c>
      <c r="B66" s="5" t="s">
        <v>213</v>
      </c>
      <c r="C66" s="21" t="s">
        <v>214</v>
      </c>
      <c r="D66" s="20"/>
      <c r="E66" s="4">
        <v>1000146</v>
      </c>
      <c r="F66" s="4" t="s">
        <v>44</v>
      </c>
      <c r="G66" s="4" t="s">
        <v>45</v>
      </c>
      <c r="H66" s="4" t="s">
        <v>61</v>
      </c>
      <c r="I66" s="4" t="s">
        <v>57</v>
      </c>
      <c r="J66" s="4" t="s">
        <v>47</v>
      </c>
      <c r="K66" s="4">
        <v>14.4</v>
      </c>
      <c r="L66" s="4">
        <v>20</v>
      </c>
      <c r="M66" s="5">
        <v>90</v>
      </c>
      <c r="N66" s="5">
        <v>0</v>
      </c>
      <c r="O66" s="5">
        <v>270</v>
      </c>
      <c r="P66" s="5">
        <v>0</v>
      </c>
      <c r="Q66" s="5">
        <v>180</v>
      </c>
      <c r="R66" s="5">
        <v>180</v>
      </c>
      <c r="S66" s="5">
        <v>90</v>
      </c>
      <c r="T66" s="5">
        <v>0</v>
      </c>
      <c r="U66" s="5">
        <v>270</v>
      </c>
      <c r="V66" s="5">
        <v>0</v>
      </c>
      <c r="W66" s="5">
        <v>270</v>
      </c>
      <c r="X66" s="5">
        <v>90</v>
      </c>
      <c r="Z66" t="e">
        <f>VLOOKUP(E66,Sheet2!$A$1:$A$39,1,0)</f>
        <v>#N/A</v>
      </c>
      <c r="AA66">
        <f>VLOOKUP($E66,[1]Sheet1!$E$10:$X$629,AA$9,0)</f>
        <v>0</v>
      </c>
      <c r="AB66">
        <f>VLOOKUP($E66,[1]Sheet1!$E$10:$X$629,AB$9,0)</f>
        <v>180</v>
      </c>
      <c r="AC66">
        <f>VLOOKUP($E66,[1]Sheet1!$E$10:$X$629,AC$9,0)</f>
        <v>180</v>
      </c>
      <c r="AD66">
        <f>VLOOKUP($E66,[1]Sheet1!$E$10:$X$629,AD$9,0)</f>
        <v>180</v>
      </c>
      <c r="AE66">
        <f>VLOOKUP($E66,[1]Sheet1!$E$10:$X$629,AE$9,0)</f>
        <v>90</v>
      </c>
      <c r="AF66">
        <f>VLOOKUP($E66,[1]Sheet1!$E$10:$X$629,AF$9,0)</f>
        <v>90</v>
      </c>
      <c r="AG66">
        <f>VLOOKUP($E66,[1]Sheet1!$E$10:$X$629,AG$9,0)</f>
        <v>180</v>
      </c>
      <c r="AH66">
        <f>VLOOKUP($E66,[1]Sheet1!$E$10:$X$629,AH$9,0)</f>
        <v>0</v>
      </c>
      <c r="AJ66">
        <f t="shared" si="1"/>
        <v>810</v>
      </c>
      <c r="AK66">
        <f t="shared" si="2"/>
        <v>900</v>
      </c>
      <c r="AL66">
        <f t="shared" si="3"/>
        <v>-90</v>
      </c>
    </row>
    <row r="67" spans="1:38" ht="39.6" x14ac:dyDescent="0.3">
      <c r="A67" s="4" t="s">
        <v>215</v>
      </c>
      <c r="B67" s="5" t="s">
        <v>216</v>
      </c>
      <c r="C67" s="21" t="s">
        <v>217</v>
      </c>
      <c r="D67" s="20"/>
      <c r="E67" s="4">
        <v>1000130</v>
      </c>
      <c r="F67" s="4" t="s">
        <v>44</v>
      </c>
      <c r="G67" s="4" t="s">
        <v>45</v>
      </c>
      <c r="H67" s="4" t="s">
        <v>61</v>
      </c>
      <c r="I67" s="4" t="s">
        <v>57</v>
      </c>
      <c r="J67" s="4" t="s">
        <v>47</v>
      </c>
      <c r="K67" s="4">
        <v>14.4</v>
      </c>
      <c r="L67" s="4">
        <v>20</v>
      </c>
      <c r="M67" s="5">
        <v>270</v>
      </c>
      <c r="N67" s="5">
        <v>90</v>
      </c>
      <c r="O67" s="5">
        <v>180</v>
      </c>
      <c r="P67" s="5">
        <v>180</v>
      </c>
      <c r="Q67" s="5">
        <v>0</v>
      </c>
      <c r="R67" s="5">
        <v>180</v>
      </c>
      <c r="S67" s="5">
        <v>180</v>
      </c>
      <c r="T67" s="5">
        <v>180</v>
      </c>
      <c r="U67" s="5">
        <v>90</v>
      </c>
      <c r="V67" s="5">
        <v>180</v>
      </c>
      <c r="W67" s="5">
        <v>180</v>
      </c>
      <c r="X67" s="5">
        <v>180</v>
      </c>
      <c r="Z67" t="e">
        <f>VLOOKUP(E67,Sheet2!$A$1:$A$39,1,0)</f>
        <v>#N/A</v>
      </c>
      <c r="AA67">
        <f>VLOOKUP($E67,[1]Sheet1!$E$10:$X$629,AA$9,0)</f>
        <v>270</v>
      </c>
      <c r="AB67">
        <f>VLOOKUP($E67,[1]Sheet1!$E$10:$X$629,AB$9,0)</f>
        <v>270</v>
      </c>
      <c r="AC67">
        <f>VLOOKUP($E67,[1]Sheet1!$E$10:$X$629,AC$9,0)</f>
        <v>270</v>
      </c>
      <c r="AD67">
        <f>VLOOKUP($E67,[1]Sheet1!$E$10:$X$629,AD$9,0)</f>
        <v>360</v>
      </c>
      <c r="AE67">
        <f>VLOOKUP($E67,[1]Sheet1!$E$10:$X$629,AE$9,0)</f>
        <v>180</v>
      </c>
      <c r="AF67">
        <f>VLOOKUP($E67,[1]Sheet1!$E$10:$X$629,AF$9,0)</f>
        <v>360</v>
      </c>
      <c r="AG67">
        <f>VLOOKUP($E67,[1]Sheet1!$E$10:$X$629,AG$9,0)</f>
        <v>270</v>
      </c>
      <c r="AH67">
        <f>VLOOKUP($E67,[1]Sheet1!$E$10:$X$629,AH$9,0)</f>
        <v>90</v>
      </c>
      <c r="AJ67">
        <f t="shared" si="1"/>
        <v>1260</v>
      </c>
      <c r="AK67">
        <f t="shared" si="2"/>
        <v>2070</v>
      </c>
      <c r="AL67">
        <f t="shared" si="3"/>
        <v>-810</v>
      </c>
    </row>
    <row r="68" spans="1:38" ht="39.6" x14ac:dyDescent="0.3">
      <c r="A68" s="4" t="s">
        <v>218</v>
      </c>
      <c r="B68" s="5" t="s">
        <v>219</v>
      </c>
      <c r="C68" s="21" t="s">
        <v>220</v>
      </c>
      <c r="D68" s="20"/>
      <c r="E68" s="4">
        <v>1000151</v>
      </c>
      <c r="F68" s="4" t="s">
        <v>44</v>
      </c>
      <c r="G68" s="4" t="s">
        <v>45</v>
      </c>
      <c r="H68" s="4" t="s">
        <v>61</v>
      </c>
      <c r="I68" s="4" t="s">
        <v>57</v>
      </c>
      <c r="J68" s="4" t="s">
        <v>47</v>
      </c>
      <c r="K68" s="4">
        <v>14.4</v>
      </c>
      <c r="L68" s="4">
        <v>20</v>
      </c>
      <c r="M68" s="5">
        <v>90</v>
      </c>
      <c r="N68" s="5">
        <v>0</v>
      </c>
      <c r="O68" s="5">
        <v>180</v>
      </c>
      <c r="P68" s="5">
        <v>90</v>
      </c>
      <c r="Q68" s="5">
        <v>0</v>
      </c>
      <c r="R68" s="5">
        <v>180</v>
      </c>
      <c r="S68" s="5">
        <v>0</v>
      </c>
      <c r="T68" s="5">
        <v>90</v>
      </c>
      <c r="U68" s="5">
        <v>90</v>
      </c>
      <c r="V68" s="5">
        <v>180</v>
      </c>
      <c r="W68" s="5">
        <v>90</v>
      </c>
      <c r="X68" s="5">
        <v>90</v>
      </c>
      <c r="Z68" t="e">
        <f>VLOOKUP(E68,Sheet2!$A$1:$A$39,1,0)</f>
        <v>#N/A</v>
      </c>
      <c r="AA68">
        <f>VLOOKUP($E68,[1]Sheet1!$E$10:$X$629,AA$9,0)</f>
        <v>270</v>
      </c>
      <c r="AB68">
        <f>VLOOKUP($E68,[1]Sheet1!$E$10:$X$629,AB$9,0)</f>
        <v>180</v>
      </c>
      <c r="AC68">
        <f>VLOOKUP($E68,[1]Sheet1!$E$10:$X$629,AC$9,0)</f>
        <v>90</v>
      </c>
      <c r="AD68">
        <f>VLOOKUP($E68,[1]Sheet1!$E$10:$X$629,AD$9,0)</f>
        <v>360</v>
      </c>
      <c r="AE68">
        <f>VLOOKUP($E68,[1]Sheet1!$E$10:$X$629,AE$9,0)</f>
        <v>90</v>
      </c>
      <c r="AF68">
        <f>VLOOKUP($E68,[1]Sheet1!$E$10:$X$629,AF$9,0)</f>
        <v>270</v>
      </c>
      <c r="AG68">
        <f>VLOOKUP($E68,[1]Sheet1!$E$10:$X$629,AG$9,0)</f>
        <v>180</v>
      </c>
      <c r="AH68">
        <f>VLOOKUP($E68,[1]Sheet1!$E$10:$X$629,AH$9,0)</f>
        <v>0</v>
      </c>
      <c r="AJ68">
        <f t="shared" si="1"/>
        <v>630</v>
      </c>
      <c r="AK68">
        <f t="shared" si="2"/>
        <v>1440</v>
      </c>
      <c r="AL68">
        <f t="shared" si="3"/>
        <v>-810</v>
      </c>
    </row>
    <row r="69" spans="1:38" ht="39.6" x14ac:dyDescent="0.3">
      <c r="A69" s="4" t="s">
        <v>221</v>
      </c>
      <c r="B69" s="5" t="s">
        <v>222</v>
      </c>
      <c r="C69" s="21" t="s">
        <v>223</v>
      </c>
      <c r="D69" s="20"/>
      <c r="E69" s="4">
        <v>1000143</v>
      </c>
      <c r="F69" s="4" t="s">
        <v>44</v>
      </c>
      <c r="G69" s="4" t="s">
        <v>45</v>
      </c>
      <c r="H69" s="4" t="s">
        <v>61</v>
      </c>
      <c r="I69" s="4" t="s">
        <v>57</v>
      </c>
      <c r="J69" s="4" t="s">
        <v>47</v>
      </c>
      <c r="K69" s="4">
        <v>14.4</v>
      </c>
      <c r="L69" s="4">
        <v>20</v>
      </c>
      <c r="M69" s="5">
        <v>270</v>
      </c>
      <c r="N69" s="5">
        <v>90</v>
      </c>
      <c r="O69" s="5">
        <v>270</v>
      </c>
      <c r="P69" s="5">
        <v>180</v>
      </c>
      <c r="Q69" s="5">
        <v>90</v>
      </c>
      <c r="R69" s="5">
        <v>180</v>
      </c>
      <c r="S69" s="5">
        <v>270</v>
      </c>
      <c r="T69" s="5">
        <v>180</v>
      </c>
      <c r="U69" s="5">
        <v>90</v>
      </c>
      <c r="V69" s="5">
        <v>270</v>
      </c>
      <c r="W69" s="5">
        <v>180</v>
      </c>
      <c r="X69" s="5">
        <v>270</v>
      </c>
      <c r="Z69" t="e">
        <f>VLOOKUP(E69,Sheet2!$A$1:$A$39,1,0)</f>
        <v>#N/A</v>
      </c>
      <c r="AA69">
        <f>VLOOKUP($E69,[1]Sheet1!$E$10:$X$629,AA$9,0)</f>
        <v>360</v>
      </c>
      <c r="AB69">
        <f>VLOOKUP($E69,[1]Sheet1!$E$10:$X$629,AB$9,0)</f>
        <v>270</v>
      </c>
      <c r="AC69">
        <f>VLOOKUP($E69,[1]Sheet1!$E$10:$X$629,AC$9,0)</f>
        <v>360</v>
      </c>
      <c r="AD69">
        <f>VLOOKUP($E69,[1]Sheet1!$E$10:$X$629,AD$9,0)</f>
        <v>270</v>
      </c>
      <c r="AE69">
        <f>VLOOKUP($E69,[1]Sheet1!$E$10:$X$629,AE$9,0)</f>
        <v>360</v>
      </c>
      <c r="AF69">
        <f>VLOOKUP($E69,[1]Sheet1!$E$10:$X$629,AF$9,0)</f>
        <v>270</v>
      </c>
      <c r="AG69">
        <f>VLOOKUP($E69,[1]Sheet1!$E$10:$X$629,AG$9,0)</f>
        <v>270</v>
      </c>
      <c r="AH69">
        <f>VLOOKUP($E69,[1]Sheet1!$E$10:$X$629,AH$9,0)</f>
        <v>180</v>
      </c>
      <c r="AJ69">
        <f t="shared" si="1"/>
        <v>1530</v>
      </c>
      <c r="AK69">
        <f t="shared" si="2"/>
        <v>2340</v>
      </c>
      <c r="AL69">
        <f t="shared" si="3"/>
        <v>-810</v>
      </c>
    </row>
    <row r="70" spans="1:38" ht="39.6" x14ac:dyDescent="0.3">
      <c r="A70" s="4" t="s">
        <v>224</v>
      </c>
      <c r="B70" s="5" t="s">
        <v>225</v>
      </c>
      <c r="C70" s="21" t="s">
        <v>226</v>
      </c>
      <c r="D70" s="20"/>
      <c r="E70" s="4">
        <v>1000149</v>
      </c>
      <c r="F70" s="4" t="s">
        <v>44</v>
      </c>
      <c r="G70" s="4" t="s">
        <v>45</v>
      </c>
      <c r="H70" s="4" t="s">
        <v>61</v>
      </c>
      <c r="I70" s="4" t="s">
        <v>57</v>
      </c>
      <c r="J70" s="4" t="s">
        <v>47</v>
      </c>
      <c r="K70" s="4">
        <v>14.4</v>
      </c>
      <c r="L70" s="4">
        <v>20</v>
      </c>
      <c r="M70" s="5">
        <v>90</v>
      </c>
      <c r="N70" s="5">
        <v>180</v>
      </c>
      <c r="O70" s="5">
        <v>180</v>
      </c>
      <c r="P70" s="5">
        <v>180</v>
      </c>
      <c r="Q70" s="5">
        <v>180</v>
      </c>
      <c r="R70" s="5">
        <v>90</v>
      </c>
      <c r="S70" s="5">
        <v>270</v>
      </c>
      <c r="T70" s="5">
        <v>90</v>
      </c>
      <c r="U70" s="5">
        <v>270</v>
      </c>
      <c r="V70" s="5">
        <v>180</v>
      </c>
      <c r="W70" s="5">
        <v>270</v>
      </c>
      <c r="X70" s="5">
        <v>270</v>
      </c>
      <c r="Z70" t="e">
        <f>VLOOKUP(E70,Sheet2!$A$1:$A$39,1,0)</f>
        <v>#N/A</v>
      </c>
      <c r="AA70">
        <f>VLOOKUP($E70,[1]Sheet1!$E$10:$X$629,AA$9,0)</f>
        <v>180</v>
      </c>
      <c r="AB70">
        <f>VLOOKUP($E70,[1]Sheet1!$E$10:$X$629,AB$9,0)</f>
        <v>270</v>
      </c>
      <c r="AC70">
        <f>VLOOKUP($E70,[1]Sheet1!$E$10:$X$629,AC$9,0)</f>
        <v>360</v>
      </c>
      <c r="AD70">
        <f>VLOOKUP($E70,[1]Sheet1!$E$10:$X$629,AD$9,0)</f>
        <v>180</v>
      </c>
      <c r="AE70">
        <f>VLOOKUP($E70,[1]Sheet1!$E$10:$X$629,AE$9,0)</f>
        <v>450</v>
      </c>
      <c r="AF70">
        <f>VLOOKUP($E70,[1]Sheet1!$E$10:$X$629,AF$9,0)</f>
        <v>270</v>
      </c>
      <c r="AG70">
        <f>VLOOKUP($E70,[1]Sheet1!$E$10:$X$629,AG$9,0)</f>
        <v>270</v>
      </c>
      <c r="AH70">
        <f>VLOOKUP($E70,[1]Sheet1!$E$10:$X$629,AH$9,0)</f>
        <v>180</v>
      </c>
      <c r="AJ70">
        <f t="shared" si="1"/>
        <v>1260</v>
      </c>
      <c r="AK70">
        <f t="shared" si="2"/>
        <v>2160</v>
      </c>
      <c r="AL70">
        <f t="shared" si="3"/>
        <v>-900</v>
      </c>
    </row>
    <row r="71" spans="1:38" ht="39.6" x14ac:dyDescent="0.3">
      <c r="A71" s="4" t="s">
        <v>227</v>
      </c>
      <c r="B71" s="5" t="s">
        <v>228</v>
      </c>
      <c r="C71" s="21" t="s">
        <v>229</v>
      </c>
      <c r="D71" s="20"/>
      <c r="E71" s="4">
        <v>1000152</v>
      </c>
      <c r="F71" s="4" t="s">
        <v>44</v>
      </c>
      <c r="G71" s="4" t="s">
        <v>45</v>
      </c>
      <c r="H71" s="4"/>
      <c r="I71" s="4" t="s">
        <v>57</v>
      </c>
      <c r="J71" s="4" t="s">
        <v>47</v>
      </c>
      <c r="K71" s="4">
        <v>14.4</v>
      </c>
      <c r="L71" s="4">
        <v>20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Z71" t="e">
        <f>VLOOKUP(E71,Sheet2!$A$1:$A$39,1,0)</f>
        <v>#N/A</v>
      </c>
      <c r="AA71">
        <f>VLOOKUP($E71,[1]Sheet1!$E$10:$X$629,AA$9,0)</f>
        <v>0</v>
      </c>
      <c r="AB71">
        <f>VLOOKUP($E71,[1]Sheet1!$E$10:$X$629,AB$9,0)</f>
        <v>0</v>
      </c>
      <c r="AC71">
        <f>VLOOKUP($E71,[1]Sheet1!$E$10:$X$629,AC$9,0)</f>
        <v>0</v>
      </c>
      <c r="AD71">
        <f>VLOOKUP($E71,[1]Sheet1!$E$10:$X$629,AD$9,0)</f>
        <v>0</v>
      </c>
      <c r="AE71">
        <f>VLOOKUP($E71,[1]Sheet1!$E$10:$X$629,AE$9,0)</f>
        <v>0</v>
      </c>
      <c r="AF71">
        <f>VLOOKUP($E71,[1]Sheet1!$E$10:$X$629,AF$9,0)</f>
        <v>0</v>
      </c>
      <c r="AG71">
        <f>VLOOKUP($E71,[1]Sheet1!$E$10:$X$629,AG$9,0)</f>
        <v>0</v>
      </c>
      <c r="AH71">
        <f>VLOOKUP($E71,[1]Sheet1!$E$10:$X$629,AH$9,0)</f>
        <v>0</v>
      </c>
      <c r="AJ71">
        <f t="shared" si="1"/>
        <v>0</v>
      </c>
      <c r="AK71">
        <f t="shared" si="2"/>
        <v>0</v>
      </c>
      <c r="AL71">
        <f t="shared" si="3"/>
        <v>0</v>
      </c>
    </row>
    <row r="72" spans="1:38" ht="39.6" x14ac:dyDescent="0.3">
      <c r="A72" s="4" t="s">
        <v>230</v>
      </c>
      <c r="B72" s="5" t="s">
        <v>231</v>
      </c>
      <c r="C72" s="21" t="s">
        <v>232</v>
      </c>
      <c r="D72" s="20"/>
      <c r="E72" s="4">
        <v>1000123</v>
      </c>
      <c r="F72" s="4" t="s">
        <v>44</v>
      </c>
      <c r="G72" s="4" t="s">
        <v>45</v>
      </c>
      <c r="H72" s="4" t="s">
        <v>61</v>
      </c>
      <c r="I72" s="4" t="s">
        <v>57</v>
      </c>
      <c r="J72" s="4" t="s">
        <v>47</v>
      </c>
      <c r="K72" s="4">
        <v>14.4</v>
      </c>
      <c r="L72" s="4">
        <v>20</v>
      </c>
      <c r="M72" s="5">
        <v>270</v>
      </c>
      <c r="N72" s="5">
        <v>180</v>
      </c>
      <c r="O72" s="5">
        <v>270</v>
      </c>
      <c r="P72" s="5">
        <v>90</v>
      </c>
      <c r="Q72" s="5">
        <v>360</v>
      </c>
      <c r="R72" s="5">
        <v>180</v>
      </c>
      <c r="S72" s="5">
        <v>180</v>
      </c>
      <c r="T72" s="5">
        <v>270</v>
      </c>
      <c r="U72" s="5">
        <v>360</v>
      </c>
      <c r="V72" s="5">
        <v>360</v>
      </c>
      <c r="W72" s="5">
        <v>90</v>
      </c>
      <c r="X72" s="5">
        <v>360</v>
      </c>
      <c r="Z72" t="e">
        <f>VLOOKUP(E72,Sheet2!$A$1:$A$39,1,0)</f>
        <v>#N/A</v>
      </c>
      <c r="AA72">
        <f>VLOOKUP($E72,[1]Sheet1!$E$10:$X$629,AA$9,0)</f>
        <v>360</v>
      </c>
      <c r="AB72">
        <f>VLOOKUP($E72,[1]Sheet1!$E$10:$X$629,AB$9,0)</f>
        <v>450</v>
      </c>
      <c r="AC72">
        <f>VLOOKUP($E72,[1]Sheet1!$E$10:$X$629,AC$9,0)</f>
        <v>540</v>
      </c>
      <c r="AD72">
        <f>VLOOKUP($E72,[1]Sheet1!$E$10:$X$629,AD$9,0)</f>
        <v>270</v>
      </c>
      <c r="AE72">
        <f>VLOOKUP($E72,[1]Sheet1!$E$10:$X$629,AE$9,0)</f>
        <v>540</v>
      </c>
      <c r="AF72">
        <f>VLOOKUP($E72,[1]Sheet1!$E$10:$X$629,AF$9,0)</f>
        <v>450</v>
      </c>
      <c r="AG72">
        <f>VLOOKUP($E72,[1]Sheet1!$E$10:$X$629,AG$9,0)</f>
        <v>360</v>
      </c>
      <c r="AH72">
        <f>VLOOKUP($E72,[1]Sheet1!$E$10:$X$629,AH$9,0)</f>
        <v>270</v>
      </c>
      <c r="AJ72">
        <f t="shared" si="1"/>
        <v>1800</v>
      </c>
      <c r="AK72">
        <f t="shared" si="2"/>
        <v>3240</v>
      </c>
      <c r="AL72">
        <f t="shared" si="3"/>
        <v>-1440</v>
      </c>
    </row>
    <row r="73" spans="1:38" ht="39.6" x14ac:dyDescent="0.3">
      <c r="A73" s="4" t="s">
        <v>233</v>
      </c>
      <c r="B73" s="5" t="s">
        <v>234</v>
      </c>
      <c r="C73" s="21" t="s">
        <v>235</v>
      </c>
      <c r="D73" s="20"/>
      <c r="E73" s="4">
        <v>1000150</v>
      </c>
      <c r="F73" s="4" t="s">
        <v>44</v>
      </c>
      <c r="G73" s="4" t="s">
        <v>45</v>
      </c>
      <c r="H73" s="4" t="s">
        <v>61</v>
      </c>
      <c r="I73" s="4" t="s">
        <v>57</v>
      </c>
      <c r="J73" s="4" t="s">
        <v>47</v>
      </c>
      <c r="K73" s="4">
        <v>14.4</v>
      </c>
      <c r="L73" s="4">
        <v>20</v>
      </c>
      <c r="M73" s="5">
        <v>90</v>
      </c>
      <c r="N73" s="5">
        <v>90</v>
      </c>
      <c r="O73" s="5">
        <v>180</v>
      </c>
      <c r="P73" s="5">
        <v>90</v>
      </c>
      <c r="Q73" s="5">
        <v>180</v>
      </c>
      <c r="R73" s="5">
        <v>270</v>
      </c>
      <c r="S73" s="5">
        <v>90</v>
      </c>
      <c r="T73" s="5">
        <v>180</v>
      </c>
      <c r="U73" s="5">
        <v>90</v>
      </c>
      <c r="V73" s="5">
        <v>360</v>
      </c>
      <c r="W73" s="5">
        <v>180</v>
      </c>
      <c r="X73" s="5">
        <v>180</v>
      </c>
      <c r="Z73" t="e">
        <f>VLOOKUP(E73,Sheet2!$A$1:$A$39,1,0)</f>
        <v>#N/A</v>
      </c>
      <c r="AA73">
        <f>VLOOKUP($E73,[1]Sheet1!$E$10:$X$629,AA$9,0)</f>
        <v>270</v>
      </c>
      <c r="AB73">
        <f>VLOOKUP($E73,[1]Sheet1!$E$10:$X$629,AB$9,0)</f>
        <v>180</v>
      </c>
      <c r="AC73">
        <f>VLOOKUP($E73,[1]Sheet1!$E$10:$X$629,AC$9,0)</f>
        <v>270</v>
      </c>
      <c r="AD73">
        <f>VLOOKUP($E73,[1]Sheet1!$E$10:$X$629,AD$9,0)</f>
        <v>270</v>
      </c>
      <c r="AE73">
        <f>VLOOKUP($E73,[1]Sheet1!$E$10:$X$629,AE$9,0)</f>
        <v>360</v>
      </c>
      <c r="AF73">
        <f>VLOOKUP($E73,[1]Sheet1!$E$10:$X$629,AF$9,0)</f>
        <v>270</v>
      </c>
      <c r="AG73">
        <f>VLOOKUP($E73,[1]Sheet1!$E$10:$X$629,AG$9,0)</f>
        <v>360</v>
      </c>
      <c r="AH73">
        <f>VLOOKUP($E73,[1]Sheet1!$E$10:$X$629,AH$9,0)</f>
        <v>90</v>
      </c>
      <c r="AJ73">
        <f t="shared" si="1"/>
        <v>1170</v>
      </c>
      <c r="AK73">
        <f t="shared" si="2"/>
        <v>2070</v>
      </c>
      <c r="AL73">
        <f t="shared" si="3"/>
        <v>-900</v>
      </c>
    </row>
    <row r="74" spans="1:38" ht="39.6" x14ac:dyDescent="0.3">
      <c r="A74" s="4" t="s">
        <v>236</v>
      </c>
      <c r="B74" s="5" t="s">
        <v>237</v>
      </c>
      <c r="C74" s="21" t="s">
        <v>238</v>
      </c>
      <c r="D74" s="20"/>
      <c r="E74" s="4">
        <v>1000138</v>
      </c>
      <c r="F74" s="4" t="s">
        <v>44</v>
      </c>
      <c r="G74" s="4" t="s">
        <v>45</v>
      </c>
      <c r="H74" s="4" t="s">
        <v>61</v>
      </c>
      <c r="I74" s="4" t="s">
        <v>57</v>
      </c>
      <c r="J74" s="4" t="s">
        <v>47</v>
      </c>
      <c r="K74" s="4">
        <v>14.4</v>
      </c>
      <c r="L74" s="4">
        <v>20</v>
      </c>
      <c r="M74" s="5">
        <v>180</v>
      </c>
      <c r="N74" s="5">
        <v>180</v>
      </c>
      <c r="O74" s="5">
        <v>90</v>
      </c>
      <c r="P74" s="5">
        <v>180</v>
      </c>
      <c r="Q74" s="5">
        <v>90</v>
      </c>
      <c r="R74" s="5">
        <v>0</v>
      </c>
      <c r="S74" s="5">
        <v>360</v>
      </c>
      <c r="T74" s="5">
        <v>90</v>
      </c>
      <c r="U74" s="5">
        <v>180</v>
      </c>
      <c r="V74" s="5">
        <v>90</v>
      </c>
      <c r="W74" s="5">
        <v>270</v>
      </c>
      <c r="X74" s="5">
        <v>90</v>
      </c>
      <c r="Z74" t="e">
        <f>VLOOKUP(E74,Sheet2!$A$1:$A$39,1,0)</f>
        <v>#N/A</v>
      </c>
      <c r="AA74">
        <f>VLOOKUP($E74,[1]Sheet1!$E$10:$X$629,AA$9,0)</f>
        <v>360</v>
      </c>
      <c r="AB74">
        <f>VLOOKUP($E74,[1]Sheet1!$E$10:$X$629,AB$9,0)</f>
        <v>270</v>
      </c>
      <c r="AC74">
        <f>VLOOKUP($E74,[1]Sheet1!$E$10:$X$629,AC$9,0)</f>
        <v>270</v>
      </c>
      <c r="AD74">
        <f>VLOOKUP($E74,[1]Sheet1!$E$10:$X$629,AD$9,0)</f>
        <v>450</v>
      </c>
      <c r="AE74">
        <f>VLOOKUP($E74,[1]Sheet1!$E$10:$X$629,AE$9,0)</f>
        <v>270</v>
      </c>
      <c r="AF74">
        <f>VLOOKUP($E74,[1]Sheet1!$E$10:$X$629,AF$9,0)</f>
        <v>360</v>
      </c>
      <c r="AG74">
        <f>VLOOKUP($E74,[1]Sheet1!$E$10:$X$629,AG$9,0)</f>
        <v>450</v>
      </c>
      <c r="AH74">
        <f>VLOOKUP($E74,[1]Sheet1!$E$10:$X$629,AH$9,0)</f>
        <v>90</v>
      </c>
      <c r="AJ74">
        <f t="shared" si="1"/>
        <v>1170</v>
      </c>
      <c r="AK74">
        <f t="shared" si="2"/>
        <v>2520</v>
      </c>
      <c r="AL74">
        <f t="shared" si="3"/>
        <v>-1350</v>
      </c>
    </row>
    <row r="75" spans="1:38" ht="39.6" x14ac:dyDescent="0.3">
      <c r="A75" s="4" t="s">
        <v>239</v>
      </c>
      <c r="B75" s="5" t="s">
        <v>240</v>
      </c>
      <c r="C75" s="21" t="s">
        <v>241</v>
      </c>
      <c r="D75" s="20"/>
      <c r="E75" s="4">
        <v>1000133</v>
      </c>
      <c r="F75" s="4" t="s">
        <v>44</v>
      </c>
      <c r="G75" s="4" t="s">
        <v>45</v>
      </c>
      <c r="H75" s="4" t="s">
        <v>61</v>
      </c>
      <c r="I75" s="4" t="s">
        <v>57</v>
      </c>
      <c r="J75" s="4" t="s">
        <v>47</v>
      </c>
      <c r="K75" s="4">
        <v>14.4</v>
      </c>
      <c r="L75" s="4">
        <v>20</v>
      </c>
      <c r="M75" s="5">
        <v>90</v>
      </c>
      <c r="N75" s="5">
        <v>90</v>
      </c>
      <c r="O75" s="5">
        <v>180</v>
      </c>
      <c r="P75" s="5">
        <v>90</v>
      </c>
      <c r="Q75" s="5">
        <v>180</v>
      </c>
      <c r="R75" s="5">
        <v>90</v>
      </c>
      <c r="S75" s="5">
        <v>270</v>
      </c>
      <c r="T75" s="5">
        <v>90</v>
      </c>
      <c r="U75" s="5">
        <v>270</v>
      </c>
      <c r="V75" s="5">
        <v>90</v>
      </c>
      <c r="W75" s="5">
        <v>270</v>
      </c>
      <c r="X75" s="5">
        <v>90</v>
      </c>
      <c r="Z75" t="e">
        <f>VLOOKUP(E75,Sheet2!$A$1:$A$39,1,0)</f>
        <v>#N/A</v>
      </c>
      <c r="AA75">
        <f>VLOOKUP($E75,[1]Sheet1!$E$10:$X$629,AA$9,0)</f>
        <v>360</v>
      </c>
      <c r="AB75">
        <f>VLOOKUP($E75,[1]Sheet1!$E$10:$X$629,AB$9,0)</f>
        <v>180</v>
      </c>
      <c r="AC75">
        <f>VLOOKUP($E75,[1]Sheet1!$E$10:$X$629,AC$9,0)</f>
        <v>540</v>
      </c>
      <c r="AD75">
        <f>VLOOKUP($E75,[1]Sheet1!$E$10:$X$629,AD$9,0)</f>
        <v>270</v>
      </c>
      <c r="AE75">
        <f>VLOOKUP($E75,[1]Sheet1!$E$10:$X$629,AE$9,0)</f>
        <v>360</v>
      </c>
      <c r="AF75">
        <f>VLOOKUP($E75,[1]Sheet1!$E$10:$X$629,AF$9,0)</f>
        <v>450</v>
      </c>
      <c r="AG75">
        <f>VLOOKUP($E75,[1]Sheet1!$E$10:$X$629,AG$9,0)</f>
        <v>540</v>
      </c>
      <c r="AH75">
        <f>VLOOKUP($E75,[1]Sheet1!$E$10:$X$629,AH$9,0)</f>
        <v>180</v>
      </c>
      <c r="AJ75">
        <f t="shared" ref="AJ75:AJ138" si="4">SUM(M75:T75)</f>
        <v>1080</v>
      </c>
      <c r="AK75">
        <f t="shared" ref="AK75:AK138" si="5">SUM(AA75:AH75)</f>
        <v>2880</v>
      </c>
      <c r="AL75">
        <f t="shared" ref="AL75:AL138" si="6">IFERROR(AJ75-AK75,0)</f>
        <v>-1800</v>
      </c>
    </row>
    <row r="76" spans="1:38" ht="39.6" x14ac:dyDescent="0.3">
      <c r="A76" s="4" t="s">
        <v>242</v>
      </c>
      <c r="B76" s="5" t="s">
        <v>243</v>
      </c>
      <c r="C76" s="21" t="s">
        <v>244</v>
      </c>
      <c r="D76" s="20"/>
      <c r="E76" s="4">
        <v>1000144</v>
      </c>
      <c r="F76" s="4" t="s">
        <v>44</v>
      </c>
      <c r="G76" s="4" t="s">
        <v>45</v>
      </c>
      <c r="H76" s="4" t="s">
        <v>61</v>
      </c>
      <c r="I76" s="4" t="s">
        <v>57</v>
      </c>
      <c r="J76" s="4" t="s">
        <v>47</v>
      </c>
      <c r="K76" s="4">
        <v>14.4</v>
      </c>
      <c r="L76" s="4">
        <v>20</v>
      </c>
      <c r="M76" s="5">
        <v>90</v>
      </c>
      <c r="N76" s="5">
        <v>90</v>
      </c>
      <c r="O76" s="5">
        <v>180</v>
      </c>
      <c r="P76" s="5">
        <v>0</v>
      </c>
      <c r="Q76" s="5">
        <v>180</v>
      </c>
      <c r="R76" s="5">
        <v>90</v>
      </c>
      <c r="S76" s="5">
        <v>0</v>
      </c>
      <c r="T76" s="5">
        <v>270</v>
      </c>
      <c r="U76" s="5">
        <v>90</v>
      </c>
      <c r="V76" s="5">
        <v>180</v>
      </c>
      <c r="W76" s="5">
        <v>90</v>
      </c>
      <c r="X76" s="5">
        <v>90</v>
      </c>
      <c r="Z76" t="e">
        <f>VLOOKUP(E76,Sheet2!$A$1:$A$39,1,0)</f>
        <v>#N/A</v>
      </c>
      <c r="AA76">
        <f>VLOOKUP($E76,[1]Sheet1!$E$10:$X$629,AA$9,0)</f>
        <v>360</v>
      </c>
      <c r="AB76">
        <f>VLOOKUP($E76,[1]Sheet1!$E$10:$X$629,AB$9,0)</f>
        <v>90</v>
      </c>
      <c r="AC76">
        <f>VLOOKUP($E76,[1]Sheet1!$E$10:$X$629,AC$9,0)</f>
        <v>270</v>
      </c>
      <c r="AD76">
        <f>VLOOKUP($E76,[1]Sheet1!$E$10:$X$629,AD$9,0)</f>
        <v>360</v>
      </c>
      <c r="AE76">
        <f>VLOOKUP($E76,[1]Sheet1!$E$10:$X$629,AE$9,0)</f>
        <v>90</v>
      </c>
      <c r="AF76">
        <f>VLOOKUP($E76,[1]Sheet1!$E$10:$X$629,AF$9,0)</f>
        <v>360</v>
      </c>
      <c r="AG76">
        <f>VLOOKUP($E76,[1]Sheet1!$E$10:$X$629,AG$9,0)</f>
        <v>180</v>
      </c>
      <c r="AH76">
        <f>VLOOKUP($E76,[1]Sheet1!$E$10:$X$629,AH$9,0)</f>
        <v>180</v>
      </c>
      <c r="AJ76">
        <f t="shared" si="4"/>
        <v>900</v>
      </c>
      <c r="AK76">
        <f t="shared" si="5"/>
        <v>1890</v>
      </c>
      <c r="AL76">
        <f t="shared" si="6"/>
        <v>-990</v>
      </c>
    </row>
    <row r="77" spans="1:38" ht="39.6" x14ac:dyDescent="0.3">
      <c r="A77" s="4" t="s">
        <v>245</v>
      </c>
      <c r="B77" s="5" t="s">
        <v>246</v>
      </c>
      <c r="C77" s="21" t="s">
        <v>247</v>
      </c>
      <c r="D77" s="20"/>
      <c r="E77" s="4">
        <v>1000148</v>
      </c>
      <c r="F77" s="4" t="s">
        <v>44</v>
      </c>
      <c r="G77" s="4" t="s">
        <v>45</v>
      </c>
      <c r="H77" s="4" t="s">
        <v>61</v>
      </c>
      <c r="I77" s="4" t="s">
        <v>57</v>
      </c>
      <c r="J77" s="4" t="s">
        <v>47</v>
      </c>
      <c r="K77" s="4">
        <v>14.4</v>
      </c>
      <c r="L77" s="4">
        <v>20</v>
      </c>
      <c r="M77" s="5">
        <v>270</v>
      </c>
      <c r="N77" s="5">
        <v>0</v>
      </c>
      <c r="O77" s="5">
        <v>270</v>
      </c>
      <c r="P77" s="5">
        <v>0</v>
      </c>
      <c r="Q77" s="5">
        <v>0</v>
      </c>
      <c r="R77" s="5">
        <v>360</v>
      </c>
      <c r="S77" s="5">
        <v>90</v>
      </c>
      <c r="T77" s="5">
        <v>90</v>
      </c>
      <c r="U77" s="5">
        <v>180</v>
      </c>
      <c r="V77" s="5">
        <v>90</v>
      </c>
      <c r="W77" s="5">
        <v>270</v>
      </c>
      <c r="X77" s="5">
        <v>90</v>
      </c>
      <c r="Z77" t="e">
        <f>VLOOKUP(E77,Sheet2!$A$1:$A$39,1,0)</f>
        <v>#N/A</v>
      </c>
      <c r="AA77">
        <f>VLOOKUP($E77,[1]Sheet1!$E$10:$X$629,AA$9,0)</f>
        <v>90</v>
      </c>
      <c r="AB77">
        <f>VLOOKUP($E77,[1]Sheet1!$E$10:$X$629,AB$9,0)</f>
        <v>270</v>
      </c>
      <c r="AC77">
        <f>VLOOKUP($E77,[1]Sheet1!$E$10:$X$629,AC$9,0)</f>
        <v>360</v>
      </c>
      <c r="AD77">
        <f>VLOOKUP($E77,[1]Sheet1!$E$10:$X$629,AD$9,0)</f>
        <v>0</v>
      </c>
      <c r="AE77">
        <f>VLOOKUP($E77,[1]Sheet1!$E$10:$X$629,AE$9,0)</f>
        <v>270</v>
      </c>
      <c r="AF77">
        <f>VLOOKUP($E77,[1]Sheet1!$E$10:$X$629,AF$9,0)</f>
        <v>450</v>
      </c>
      <c r="AG77">
        <f>VLOOKUP($E77,[1]Sheet1!$E$10:$X$629,AG$9,0)</f>
        <v>180</v>
      </c>
      <c r="AH77">
        <f>VLOOKUP($E77,[1]Sheet1!$E$10:$X$629,AH$9,0)</f>
        <v>90</v>
      </c>
      <c r="AJ77">
        <f t="shared" si="4"/>
        <v>1080</v>
      </c>
      <c r="AK77">
        <f t="shared" si="5"/>
        <v>1710</v>
      </c>
      <c r="AL77">
        <f t="shared" si="6"/>
        <v>-630</v>
      </c>
    </row>
    <row r="78" spans="1:38" ht="39.6" x14ac:dyDescent="0.3">
      <c r="A78" s="4" t="s">
        <v>248</v>
      </c>
      <c r="B78" s="5" t="s">
        <v>249</v>
      </c>
      <c r="C78" s="21" t="s">
        <v>250</v>
      </c>
      <c r="D78" s="20"/>
      <c r="E78" s="4">
        <v>1000135</v>
      </c>
      <c r="F78" s="4" t="s">
        <v>44</v>
      </c>
      <c r="G78" s="4" t="s">
        <v>45</v>
      </c>
      <c r="H78" s="4"/>
      <c r="I78" s="4" t="s">
        <v>57</v>
      </c>
      <c r="J78" s="4" t="s">
        <v>47</v>
      </c>
      <c r="K78" s="4">
        <v>14.4</v>
      </c>
      <c r="L78" s="4">
        <v>20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Z78" t="e">
        <f>VLOOKUP(E78,Sheet2!$A$1:$A$39,1,0)</f>
        <v>#N/A</v>
      </c>
      <c r="AA78">
        <f>VLOOKUP($E78,[1]Sheet1!$E$10:$X$629,AA$9,0)</f>
        <v>0</v>
      </c>
      <c r="AB78">
        <f>VLOOKUP($E78,[1]Sheet1!$E$10:$X$629,AB$9,0)</f>
        <v>0</v>
      </c>
      <c r="AC78">
        <f>VLOOKUP($E78,[1]Sheet1!$E$10:$X$629,AC$9,0)</f>
        <v>0</v>
      </c>
      <c r="AD78">
        <f>VLOOKUP($E78,[1]Sheet1!$E$10:$X$629,AD$9,0)</f>
        <v>0</v>
      </c>
      <c r="AE78">
        <f>VLOOKUP($E78,[1]Sheet1!$E$10:$X$629,AE$9,0)</f>
        <v>0</v>
      </c>
      <c r="AF78">
        <f>VLOOKUP($E78,[1]Sheet1!$E$10:$X$629,AF$9,0)</f>
        <v>0</v>
      </c>
      <c r="AG78">
        <f>VLOOKUP($E78,[1]Sheet1!$E$10:$X$629,AG$9,0)</f>
        <v>0</v>
      </c>
      <c r="AH78">
        <f>VLOOKUP($E78,[1]Sheet1!$E$10:$X$629,AH$9,0)</f>
        <v>0</v>
      </c>
      <c r="AJ78">
        <f t="shared" si="4"/>
        <v>0</v>
      </c>
      <c r="AK78">
        <f t="shared" si="5"/>
        <v>0</v>
      </c>
      <c r="AL78">
        <f t="shared" si="6"/>
        <v>0</v>
      </c>
    </row>
    <row r="79" spans="1:38" ht="39.6" x14ac:dyDescent="0.3">
      <c r="A79" s="4" t="s">
        <v>251</v>
      </c>
      <c r="B79" s="5" t="s">
        <v>252</v>
      </c>
      <c r="C79" s="21" t="s">
        <v>253</v>
      </c>
      <c r="D79" s="20"/>
      <c r="E79" s="4">
        <v>1000136</v>
      </c>
      <c r="F79" s="4" t="s">
        <v>44</v>
      </c>
      <c r="G79" s="4" t="s">
        <v>45</v>
      </c>
      <c r="H79" s="4"/>
      <c r="I79" s="4" t="s">
        <v>57</v>
      </c>
      <c r="J79" s="4" t="s">
        <v>47</v>
      </c>
      <c r="K79" s="4">
        <v>14.4</v>
      </c>
      <c r="L79" s="4">
        <v>20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Z79" t="e">
        <f>VLOOKUP(E79,Sheet2!$A$1:$A$39,1,0)</f>
        <v>#N/A</v>
      </c>
      <c r="AA79">
        <f>VLOOKUP($E79,[1]Sheet1!$E$10:$X$629,AA$9,0)</f>
        <v>0</v>
      </c>
      <c r="AB79">
        <f>VLOOKUP($E79,[1]Sheet1!$E$10:$X$629,AB$9,0)</f>
        <v>0</v>
      </c>
      <c r="AC79">
        <f>VLOOKUP($E79,[1]Sheet1!$E$10:$X$629,AC$9,0)</f>
        <v>0</v>
      </c>
      <c r="AD79">
        <f>VLOOKUP($E79,[1]Sheet1!$E$10:$X$629,AD$9,0)</f>
        <v>0</v>
      </c>
      <c r="AE79">
        <f>VLOOKUP($E79,[1]Sheet1!$E$10:$X$629,AE$9,0)</f>
        <v>0</v>
      </c>
      <c r="AF79">
        <f>VLOOKUP($E79,[1]Sheet1!$E$10:$X$629,AF$9,0)</f>
        <v>0</v>
      </c>
      <c r="AG79">
        <f>VLOOKUP($E79,[1]Sheet1!$E$10:$X$629,AG$9,0)</f>
        <v>0</v>
      </c>
      <c r="AH79">
        <f>VLOOKUP($E79,[1]Sheet1!$E$10:$X$629,AH$9,0)</f>
        <v>0</v>
      </c>
      <c r="AJ79">
        <f t="shared" si="4"/>
        <v>0</v>
      </c>
      <c r="AK79">
        <f t="shared" si="5"/>
        <v>0</v>
      </c>
      <c r="AL79">
        <f t="shared" si="6"/>
        <v>0</v>
      </c>
    </row>
    <row r="80" spans="1:38" ht="39.6" x14ac:dyDescent="0.3">
      <c r="A80" s="4" t="s">
        <v>254</v>
      </c>
      <c r="B80" s="5" t="s">
        <v>255</v>
      </c>
      <c r="C80" s="21" t="s">
        <v>256</v>
      </c>
      <c r="D80" s="20"/>
      <c r="E80" s="4">
        <v>1000082</v>
      </c>
      <c r="F80" s="4" t="s">
        <v>44</v>
      </c>
      <c r="G80" s="4" t="s">
        <v>45</v>
      </c>
      <c r="H80" s="4" t="s">
        <v>61</v>
      </c>
      <c r="I80" s="4" t="s">
        <v>57</v>
      </c>
      <c r="J80" s="4" t="s">
        <v>47</v>
      </c>
      <c r="K80" s="4">
        <v>9</v>
      </c>
      <c r="L80" s="4">
        <v>18</v>
      </c>
      <c r="M80" s="5">
        <v>144</v>
      </c>
      <c r="N80" s="5">
        <v>576</v>
      </c>
      <c r="O80" s="5">
        <v>432</v>
      </c>
      <c r="P80" s="5">
        <v>288</v>
      </c>
      <c r="Q80" s="5">
        <v>432</v>
      </c>
      <c r="R80" s="5">
        <v>576</v>
      </c>
      <c r="S80" s="5">
        <v>288</v>
      </c>
      <c r="T80" s="5">
        <v>432</v>
      </c>
      <c r="U80" s="5">
        <v>288</v>
      </c>
      <c r="V80" s="5">
        <v>432</v>
      </c>
      <c r="W80" s="5">
        <v>576</v>
      </c>
      <c r="X80" s="5">
        <v>432</v>
      </c>
      <c r="Z80" t="e">
        <f>VLOOKUP(E80,Sheet2!$A$1:$A$39,1,0)</f>
        <v>#N/A</v>
      </c>
      <c r="AA80">
        <f>VLOOKUP($E80,[1]Sheet1!$E$10:$X$629,AA$9,0)</f>
        <v>288</v>
      </c>
      <c r="AB80">
        <f>VLOOKUP($E80,[1]Sheet1!$E$10:$X$629,AB$9,0)</f>
        <v>432</v>
      </c>
      <c r="AC80">
        <f>VLOOKUP($E80,[1]Sheet1!$E$10:$X$629,AC$9,0)</f>
        <v>576</v>
      </c>
      <c r="AD80">
        <f>VLOOKUP($E80,[1]Sheet1!$E$10:$X$629,AD$9,0)</f>
        <v>432</v>
      </c>
      <c r="AE80">
        <f>VLOOKUP($E80,[1]Sheet1!$E$10:$X$629,AE$9,0)</f>
        <v>432</v>
      </c>
      <c r="AF80">
        <f>VLOOKUP($E80,[1]Sheet1!$E$10:$X$629,AF$9,0)</f>
        <v>576</v>
      </c>
      <c r="AG80">
        <f>VLOOKUP($E80,[1]Sheet1!$E$10:$X$629,AG$9,0)</f>
        <v>432</v>
      </c>
      <c r="AH80">
        <f>VLOOKUP($E80,[1]Sheet1!$E$10:$X$629,AH$9,0)</f>
        <v>144</v>
      </c>
      <c r="AJ80">
        <f t="shared" si="4"/>
        <v>3168</v>
      </c>
      <c r="AK80">
        <f t="shared" si="5"/>
        <v>3312</v>
      </c>
      <c r="AL80">
        <f t="shared" si="6"/>
        <v>-144</v>
      </c>
    </row>
    <row r="81" spans="1:38" ht="39.6" x14ac:dyDescent="0.3">
      <c r="A81" s="4" t="s">
        <v>257</v>
      </c>
      <c r="B81" s="5" t="s">
        <v>258</v>
      </c>
      <c r="C81" s="21" t="s">
        <v>259</v>
      </c>
      <c r="D81" s="20"/>
      <c r="E81" s="4">
        <v>1000084</v>
      </c>
      <c r="F81" s="4" t="s">
        <v>44</v>
      </c>
      <c r="G81" s="4" t="s">
        <v>45</v>
      </c>
      <c r="H81" s="4" t="s">
        <v>56</v>
      </c>
      <c r="I81" s="4" t="s">
        <v>57</v>
      </c>
      <c r="J81" s="4" t="s">
        <v>47</v>
      </c>
      <c r="K81" s="4">
        <v>9</v>
      </c>
      <c r="L81" s="4">
        <v>18</v>
      </c>
      <c r="M81" s="5">
        <v>1152</v>
      </c>
      <c r="N81" s="5">
        <v>1584</v>
      </c>
      <c r="O81" s="5">
        <v>1584</v>
      </c>
      <c r="P81" s="5">
        <v>1152</v>
      </c>
      <c r="Q81" s="5">
        <v>1296</v>
      </c>
      <c r="R81" s="5">
        <v>1440</v>
      </c>
      <c r="S81" s="5">
        <v>1440</v>
      </c>
      <c r="T81" s="5">
        <v>1152</v>
      </c>
      <c r="U81" s="5">
        <v>1440</v>
      </c>
      <c r="V81" s="5">
        <v>1728</v>
      </c>
      <c r="W81" s="5">
        <v>1440</v>
      </c>
      <c r="X81" s="5">
        <v>1584</v>
      </c>
      <c r="Z81" t="e">
        <f>VLOOKUP(E81,Sheet2!$A$1:$A$39,1,0)</f>
        <v>#N/A</v>
      </c>
      <c r="AA81">
        <f>VLOOKUP($E81,[1]Sheet1!$E$10:$X$629,AA$9,0)</f>
        <v>1296</v>
      </c>
      <c r="AB81">
        <f>VLOOKUP($E81,[1]Sheet1!$E$10:$X$629,AB$9,0)</f>
        <v>1440</v>
      </c>
      <c r="AC81">
        <f>VLOOKUP($E81,[1]Sheet1!$E$10:$X$629,AC$9,0)</f>
        <v>1728</v>
      </c>
      <c r="AD81">
        <f>VLOOKUP($E81,[1]Sheet1!$E$10:$X$629,AD$9,0)</f>
        <v>1152</v>
      </c>
      <c r="AE81">
        <f>VLOOKUP($E81,[1]Sheet1!$E$10:$X$629,AE$9,0)</f>
        <v>1008</v>
      </c>
      <c r="AF81">
        <f>VLOOKUP($E81,[1]Sheet1!$E$10:$X$629,AF$9,0)</f>
        <v>1872</v>
      </c>
      <c r="AG81">
        <f>VLOOKUP($E81,[1]Sheet1!$E$10:$X$629,AG$9,0)</f>
        <v>1296</v>
      </c>
      <c r="AH81">
        <f>VLOOKUP($E81,[1]Sheet1!$E$10:$X$629,AH$9,0)</f>
        <v>576</v>
      </c>
      <c r="AJ81">
        <f t="shared" si="4"/>
        <v>10800</v>
      </c>
      <c r="AK81">
        <f t="shared" si="5"/>
        <v>10368</v>
      </c>
      <c r="AL81">
        <f t="shared" si="6"/>
        <v>432</v>
      </c>
    </row>
    <row r="82" spans="1:38" ht="39.6" x14ac:dyDescent="0.3">
      <c r="A82" s="4" t="s">
        <v>260</v>
      </c>
      <c r="B82" s="5" t="s">
        <v>261</v>
      </c>
      <c r="C82" s="21" t="s">
        <v>262</v>
      </c>
      <c r="D82" s="20"/>
      <c r="E82" s="4">
        <v>1000593</v>
      </c>
      <c r="F82" s="4" t="s">
        <v>44</v>
      </c>
      <c r="G82" s="4" t="s">
        <v>45</v>
      </c>
      <c r="H82" s="4" t="s">
        <v>56</v>
      </c>
      <c r="I82" s="4" t="s">
        <v>57</v>
      </c>
      <c r="J82" s="4" t="s">
        <v>47</v>
      </c>
      <c r="K82" s="4">
        <v>9</v>
      </c>
      <c r="L82" s="4">
        <v>18</v>
      </c>
      <c r="M82" s="5">
        <v>720</v>
      </c>
      <c r="N82" s="5">
        <v>432</v>
      </c>
      <c r="O82" s="5">
        <v>576</v>
      </c>
      <c r="P82" s="5">
        <v>432</v>
      </c>
      <c r="Q82" s="5">
        <v>576</v>
      </c>
      <c r="R82" s="5">
        <v>432</v>
      </c>
      <c r="S82" s="5">
        <v>576</v>
      </c>
      <c r="T82" s="5">
        <v>432</v>
      </c>
      <c r="U82" s="5">
        <v>864</v>
      </c>
      <c r="V82" s="5">
        <v>576</v>
      </c>
      <c r="W82" s="5">
        <v>864</v>
      </c>
      <c r="X82" s="5">
        <v>576</v>
      </c>
      <c r="Z82" t="e">
        <f>VLOOKUP(E82,Sheet2!$A$1:$A$39,1,0)</f>
        <v>#N/A</v>
      </c>
      <c r="AA82">
        <f>VLOOKUP($E82,[1]Sheet1!$E$10:$X$629,AA$9,0)</f>
        <v>576</v>
      </c>
      <c r="AB82">
        <f>VLOOKUP($E82,[1]Sheet1!$E$10:$X$629,AB$9,0)</f>
        <v>432</v>
      </c>
      <c r="AC82">
        <f>VLOOKUP($E82,[1]Sheet1!$E$10:$X$629,AC$9,0)</f>
        <v>864</v>
      </c>
      <c r="AD82">
        <f>VLOOKUP($E82,[1]Sheet1!$E$10:$X$629,AD$9,0)</f>
        <v>432</v>
      </c>
      <c r="AE82">
        <f>VLOOKUP($E82,[1]Sheet1!$E$10:$X$629,AE$9,0)</f>
        <v>576</v>
      </c>
      <c r="AF82">
        <f>VLOOKUP($E82,[1]Sheet1!$E$10:$X$629,AF$9,0)</f>
        <v>432</v>
      </c>
      <c r="AG82">
        <f>VLOOKUP($E82,[1]Sheet1!$E$10:$X$629,AG$9,0)</f>
        <v>576</v>
      </c>
      <c r="AH82">
        <f>VLOOKUP($E82,[1]Sheet1!$E$10:$X$629,AH$9,0)</f>
        <v>288</v>
      </c>
      <c r="AJ82">
        <f t="shared" si="4"/>
        <v>4176</v>
      </c>
      <c r="AK82">
        <f t="shared" si="5"/>
        <v>4176</v>
      </c>
      <c r="AL82">
        <f t="shared" si="6"/>
        <v>0</v>
      </c>
    </row>
    <row r="83" spans="1:38" ht="39.6" x14ac:dyDescent="0.3">
      <c r="A83" s="4" t="s">
        <v>263</v>
      </c>
      <c r="B83" s="5" t="s">
        <v>264</v>
      </c>
      <c r="C83" s="21" t="s">
        <v>265</v>
      </c>
      <c r="D83" s="20"/>
      <c r="E83" s="4">
        <v>1000083</v>
      </c>
      <c r="F83" s="4" t="s">
        <v>44</v>
      </c>
      <c r="G83" s="4" t="s">
        <v>45</v>
      </c>
      <c r="H83" s="4" t="s">
        <v>61</v>
      </c>
      <c r="I83" s="4" t="s">
        <v>57</v>
      </c>
      <c r="J83" s="4" t="s">
        <v>47</v>
      </c>
      <c r="K83" s="4">
        <v>9</v>
      </c>
      <c r="L83" s="4">
        <v>18</v>
      </c>
      <c r="M83" s="5">
        <v>1008</v>
      </c>
      <c r="N83" s="5">
        <v>576</v>
      </c>
      <c r="O83" s="5">
        <v>1008</v>
      </c>
      <c r="P83" s="5">
        <v>576</v>
      </c>
      <c r="Q83" s="5">
        <v>720</v>
      </c>
      <c r="R83" s="5">
        <v>864</v>
      </c>
      <c r="S83" s="5">
        <v>576</v>
      </c>
      <c r="T83" s="5">
        <v>864</v>
      </c>
      <c r="U83" s="5">
        <v>864</v>
      </c>
      <c r="V83" s="5">
        <v>576</v>
      </c>
      <c r="W83" s="5">
        <v>1008</v>
      </c>
      <c r="X83" s="5">
        <v>720</v>
      </c>
      <c r="Z83" t="e">
        <f>VLOOKUP(E83,Sheet2!$A$1:$A$39,1,0)</f>
        <v>#N/A</v>
      </c>
      <c r="AA83">
        <f>VLOOKUP($E83,[1]Sheet1!$E$10:$X$629,AA$9,0)</f>
        <v>1008</v>
      </c>
      <c r="AB83">
        <f>VLOOKUP($E83,[1]Sheet1!$E$10:$X$629,AB$9,0)</f>
        <v>576</v>
      </c>
      <c r="AC83">
        <f>VLOOKUP($E83,[1]Sheet1!$E$10:$X$629,AC$9,0)</f>
        <v>1008</v>
      </c>
      <c r="AD83">
        <f>VLOOKUP($E83,[1]Sheet1!$E$10:$X$629,AD$9,0)</f>
        <v>864</v>
      </c>
      <c r="AE83">
        <f>VLOOKUP($E83,[1]Sheet1!$E$10:$X$629,AE$9,0)</f>
        <v>576</v>
      </c>
      <c r="AF83">
        <f>VLOOKUP($E83,[1]Sheet1!$E$10:$X$629,AF$9,0)</f>
        <v>1008</v>
      </c>
      <c r="AG83">
        <f>VLOOKUP($E83,[1]Sheet1!$E$10:$X$629,AG$9,0)</f>
        <v>720</v>
      </c>
      <c r="AH83">
        <f>VLOOKUP($E83,[1]Sheet1!$E$10:$X$629,AH$9,0)</f>
        <v>432</v>
      </c>
      <c r="AJ83">
        <f t="shared" si="4"/>
        <v>6192</v>
      </c>
      <c r="AK83">
        <f t="shared" si="5"/>
        <v>6192</v>
      </c>
      <c r="AL83">
        <f t="shared" si="6"/>
        <v>0</v>
      </c>
    </row>
    <row r="84" spans="1:38" ht="39.6" x14ac:dyDescent="0.3">
      <c r="A84" s="4" t="s">
        <v>266</v>
      </c>
      <c r="B84" s="5" t="s">
        <v>267</v>
      </c>
      <c r="C84" s="21" t="s">
        <v>268</v>
      </c>
      <c r="D84" s="20"/>
      <c r="E84" s="4">
        <v>1000588</v>
      </c>
      <c r="F84" s="4" t="s">
        <v>44</v>
      </c>
      <c r="G84" s="4" t="s">
        <v>45</v>
      </c>
      <c r="H84" s="4" t="s">
        <v>269</v>
      </c>
      <c r="I84" s="4" t="s">
        <v>57</v>
      </c>
      <c r="J84" s="4" t="s">
        <v>47</v>
      </c>
      <c r="K84" s="4">
        <v>9</v>
      </c>
      <c r="L84" s="4">
        <v>18</v>
      </c>
      <c r="M84" s="5">
        <v>1872</v>
      </c>
      <c r="N84" s="5">
        <v>2448</v>
      </c>
      <c r="O84" s="5">
        <v>2592</v>
      </c>
      <c r="P84" s="5">
        <v>1872</v>
      </c>
      <c r="Q84" s="5">
        <v>1584</v>
      </c>
      <c r="R84" s="5">
        <v>2304</v>
      </c>
      <c r="S84" s="5">
        <v>1584</v>
      </c>
      <c r="T84" s="5">
        <v>1584</v>
      </c>
      <c r="U84" s="5">
        <v>2736</v>
      </c>
      <c r="V84" s="5">
        <v>3024</v>
      </c>
      <c r="W84" s="5">
        <v>1872</v>
      </c>
      <c r="X84" s="5">
        <v>3024</v>
      </c>
      <c r="Z84" t="e">
        <f>VLOOKUP(E84,Sheet2!$A$1:$A$39,1,0)</f>
        <v>#N/A</v>
      </c>
      <c r="AA84">
        <f>VLOOKUP($E84,[1]Sheet1!$E$10:$X$629,AA$9,0)</f>
        <v>2160</v>
      </c>
      <c r="AB84">
        <f>VLOOKUP($E84,[1]Sheet1!$E$10:$X$629,AB$9,0)</f>
        <v>2016</v>
      </c>
      <c r="AC84">
        <f>VLOOKUP($E84,[1]Sheet1!$E$10:$X$629,AC$9,0)</f>
        <v>2736</v>
      </c>
      <c r="AD84">
        <f>VLOOKUP($E84,[1]Sheet1!$E$10:$X$629,AD$9,0)</f>
        <v>1584</v>
      </c>
      <c r="AE84">
        <f>VLOOKUP($E84,[1]Sheet1!$E$10:$X$629,AE$9,0)</f>
        <v>1728</v>
      </c>
      <c r="AF84">
        <f>VLOOKUP($E84,[1]Sheet1!$E$10:$X$629,AF$9,0)</f>
        <v>2448</v>
      </c>
      <c r="AG84">
        <f>VLOOKUP($E84,[1]Sheet1!$E$10:$X$629,AG$9,0)</f>
        <v>1872</v>
      </c>
      <c r="AH84">
        <f>VLOOKUP($E84,[1]Sheet1!$E$10:$X$629,AH$9,0)</f>
        <v>864</v>
      </c>
      <c r="AJ84">
        <f t="shared" si="4"/>
        <v>15840</v>
      </c>
      <c r="AK84">
        <f t="shared" si="5"/>
        <v>15408</v>
      </c>
      <c r="AL84">
        <f t="shared" si="6"/>
        <v>432</v>
      </c>
    </row>
    <row r="85" spans="1:38" ht="39.6" x14ac:dyDescent="0.3">
      <c r="A85" s="4" t="s">
        <v>270</v>
      </c>
      <c r="B85" s="5" t="s">
        <v>271</v>
      </c>
      <c r="C85" s="21" t="s">
        <v>272</v>
      </c>
      <c r="D85" s="20"/>
      <c r="E85" s="4">
        <v>1000586</v>
      </c>
      <c r="F85" s="4" t="s">
        <v>44</v>
      </c>
      <c r="G85" s="4" t="s">
        <v>45</v>
      </c>
      <c r="H85" s="4" t="s">
        <v>56</v>
      </c>
      <c r="I85" s="4" t="s">
        <v>57</v>
      </c>
      <c r="J85" s="4" t="s">
        <v>47</v>
      </c>
      <c r="K85" s="4">
        <v>9</v>
      </c>
      <c r="L85" s="4">
        <v>18</v>
      </c>
      <c r="M85" s="5">
        <v>576</v>
      </c>
      <c r="N85" s="5">
        <v>864</v>
      </c>
      <c r="O85" s="5">
        <v>864</v>
      </c>
      <c r="P85" s="5">
        <v>864</v>
      </c>
      <c r="Q85" s="5">
        <v>864</v>
      </c>
      <c r="R85" s="5">
        <v>1008</v>
      </c>
      <c r="S85" s="5">
        <v>864</v>
      </c>
      <c r="T85" s="5">
        <v>720</v>
      </c>
      <c r="U85" s="5">
        <v>1008</v>
      </c>
      <c r="V85" s="5">
        <v>1152</v>
      </c>
      <c r="W85" s="5">
        <v>1008</v>
      </c>
      <c r="X85" s="5">
        <v>1152</v>
      </c>
      <c r="Z85" t="e">
        <f>VLOOKUP(E85,Sheet2!$A$1:$A$39,1,0)</f>
        <v>#N/A</v>
      </c>
      <c r="AA85">
        <f>VLOOKUP($E85,[1]Sheet1!$E$10:$X$629,AA$9,0)</f>
        <v>720</v>
      </c>
      <c r="AB85">
        <f>VLOOKUP($E85,[1]Sheet1!$E$10:$X$629,AB$9,0)</f>
        <v>720</v>
      </c>
      <c r="AC85">
        <f>VLOOKUP($E85,[1]Sheet1!$E$10:$X$629,AC$9,0)</f>
        <v>1296</v>
      </c>
      <c r="AD85">
        <f>VLOOKUP($E85,[1]Sheet1!$E$10:$X$629,AD$9,0)</f>
        <v>1008</v>
      </c>
      <c r="AE85">
        <f>VLOOKUP($E85,[1]Sheet1!$E$10:$X$629,AE$9,0)</f>
        <v>720</v>
      </c>
      <c r="AF85">
        <f>VLOOKUP($E85,[1]Sheet1!$E$10:$X$629,AF$9,0)</f>
        <v>1152</v>
      </c>
      <c r="AG85">
        <f>VLOOKUP($E85,[1]Sheet1!$E$10:$X$629,AG$9,0)</f>
        <v>864</v>
      </c>
      <c r="AH85">
        <f>VLOOKUP($E85,[1]Sheet1!$E$10:$X$629,AH$9,0)</f>
        <v>432</v>
      </c>
      <c r="AJ85">
        <f t="shared" si="4"/>
        <v>6624</v>
      </c>
      <c r="AK85">
        <f t="shared" si="5"/>
        <v>6912</v>
      </c>
      <c r="AL85">
        <f t="shared" si="6"/>
        <v>-288</v>
      </c>
    </row>
    <row r="86" spans="1:38" ht="39.6" x14ac:dyDescent="0.3">
      <c r="A86" s="4" t="s">
        <v>273</v>
      </c>
      <c r="B86" s="5" t="s">
        <v>274</v>
      </c>
      <c r="C86" s="21" t="s">
        <v>275</v>
      </c>
      <c r="D86" s="20"/>
      <c r="E86" s="4">
        <v>1000081</v>
      </c>
      <c r="F86" s="4" t="s">
        <v>44</v>
      </c>
      <c r="G86" s="4" t="s">
        <v>45</v>
      </c>
      <c r="H86" s="4" t="s">
        <v>61</v>
      </c>
      <c r="I86" s="4" t="s">
        <v>57</v>
      </c>
      <c r="J86" s="4" t="s">
        <v>47</v>
      </c>
      <c r="K86" s="4">
        <v>9</v>
      </c>
      <c r="L86" s="4">
        <v>18</v>
      </c>
      <c r="M86" s="5">
        <v>288</v>
      </c>
      <c r="N86" s="5">
        <v>144</v>
      </c>
      <c r="O86" s="5">
        <v>0</v>
      </c>
      <c r="P86" s="5">
        <v>288</v>
      </c>
      <c r="Q86" s="5">
        <v>0</v>
      </c>
      <c r="R86" s="5">
        <v>432</v>
      </c>
      <c r="S86" s="5">
        <v>0</v>
      </c>
      <c r="T86" s="5">
        <v>144</v>
      </c>
      <c r="U86" s="5">
        <v>144</v>
      </c>
      <c r="V86" s="5">
        <v>144</v>
      </c>
      <c r="W86" s="5">
        <v>288</v>
      </c>
      <c r="X86" s="5">
        <v>144</v>
      </c>
      <c r="Z86" t="e">
        <f>VLOOKUP(E86,Sheet2!$A$1:$A$39,1,0)</f>
        <v>#N/A</v>
      </c>
      <c r="AA86">
        <f>VLOOKUP($E86,[1]Sheet1!$E$10:$X$629,AA$9,0)</f>
        <v>144</v>
      </c>
      <c r="AB86">
        <f>VLOOKUP($E86,[1]Sheet1!$E$10:$X$629,AB$9,0)</f>
        <v>432</v>
      </c>
      <c r="AC86">
        <f>VLOOKUP($E86,[1]Sheet1!$E$10:$X$629,AC$9,0)</f>
        <v>144</v>
      </c>
      <c r="AD86">
        <f>VLOOKUP($E86,[1]Sheet1!$E$10:$X$629,AD$9,0)</f>
        <v>432</v>
      </c>
      <c r="AE86">
        <f>VLOOKUP($E86,[1]Sheet1!$E$10:$X$629,AE$9,0)</f>
        <v>0</v>
      </c>
      <c r="AF86">
        <f>VLOOKUP($E86,[1]Sheet1!$E$10:$X$629,AF$9,0)</f>
        <v>576</v>
      </c>
      <c r="AG86">
        <f>VLOOKUP($E86,[1]Sheet1!$E$10:$X$629,AG$9,0)</f>
        <v>144</v>
      </c>
      <c r="AH86">
        <f>VLOOKUP($E86,[1]Sheet1!$E$10:$X$629,AH$9,0)</f>
        <v>0</v>
      </c>
      <c r="AJ86">
        <f t="shared" si="4"/>
        <v>1296</v>
      </c>
      <c r="AK86">
        <f t="shared" si="5"/>
        <v>1872</v>
      </c>
      <c r="AL86">
        <f t="shared" si="6"/>
        <v>-576</v>
      </c>
    </row>
    <row r="87" spans="1:38" ht="39.6" x14ac:dyDescent="0.3">
      <c r="A87" s="4" t="s">
        <v>276</v>
      </c>
      <c r="B87" s="5" t="s">
        <v>277</v>
      </c>
      <c r="C87" s="21" t="s">
        <v>278</v>
      </c>
      <c r="D87" s="20"/>
      <c r="E87" s="4">
        <v>1000579</v>
      </c>
      <c r="F87" s="4" t="s">
        <v>44</v>
      </c>
      <c r="G87" s="4" t="s">
        <v>45</v>
      </c>
      <c r="H87" s="4" t="s">
        <v>61</v>
      </c>
      <c r="I87" s="4" t="s">
        <v>57</v>
      </c>
      <c r="J87" s="4" t="s">
        <v>47</v>
      </c>
      <c r="K87" s="4">
        <v>9</v>
      </c>
      <c r="L87" s="4">
        <v>18</v>
      </c>
      <c r="M87" s="5">
        <v>0</v>
      </c>
      <c r="N87" s="5">
        <v>0</v>
      </c>
      <c r="O87" s="5">
        <v>144</v>
      </c>
      <c r="P87" s="5">
        <v>0</v>
      </c>
      <c r="Q87" s="5">
        <v>0</v>
      </c>
      <c r="R87" s="5">
        <v>144</v>
      </c>
      <c r="S87" s="5">
        <v>288</v>
      </c>
      <c r="T87" s="5">
        <v>0</v>
      </c>
      <c r="U87" s="5">
        <v>144</v>
      </c>
      <c r="V87" s="5">
        <v>0</v>
      </c>
      <c r="W87" s="5">
        <v>144</v>
      </c>
      <c r="X87" s="5">
        <v>0</v>
      </c>
      <c r="Z87" t="e">
        <f>VLOOKUP(E87,Sheet2!$A$1:$A$39,1,0)</f>
        <v>#N/A</v>
      </c>
      <c r="AA87">
        <f>VLOOKUP($E87,[1]Sheet1!$E$10:$X$629,AA$9,0)</f>
        <v>144</v>
      </c>
      <c r="AB87">
        <f>VLOOKUP($E87,[1]Sheet1!$E$10:$X$629,AB$9,0)</f>
        <v>288</v>
      </c>
      <c r="AC87">
        <f>VLOOKUP($E87,[1]Sheet1!$E$10:$X$629,AC$9,0)</f>
        <v>0</v>
      </c>
      <c r="AD87">
        <f>VLOOKUP($E87,[1]Sheet1!$E$10:$X$629,AD$9,0)</f>
        <v>288</v>
      </c>
      <c r="AE87">
        <f>VLOOKUP($E87,[1]Sheet1!$E$10:$X$629,AE$9,0)</f>
        <v>0</v>
      </c>
      <c r="AF87">
        <f>VLOOKUP($E87,[1]Sheet1!$E$10:$X$629,AF$9,0)</f>
        <v>144</v>
      </c>
      <c r="AG87">
        <f>VLOOKUP($E87,[1]Sheet1!$E$10:$X$629,AG$9,0)</f>
        <v>144</v>
      </c>
      <c r="AH87">
        <f>VLOOKUP($E87,[1]Sheet1!$E$10:$X$629,AH$9,0)</f>
        <v>0</v>
      </c>
      <c r="AJ87">
        <f t="shared" si="4"/>
        <v>576</v>
      </c>
      <c r="AK87">
        <f t="shared" si="5"/>
        <v>1008</v>
      </c>
      <c r="AL87">
        <f t="shared" si="6"/>
        <v>-432</v>
      </c>
    </row>
    <row r="88" spans="1:38" ht="39.6" x14ac:dyDescent="0.3">
      <c r="A88" s="4" t="s">
        <v>279</v>
      </c>
      <c r="B88" s="5" t="s">
        <v>280</v>
      </c>
      <c r="C88" s="21" t="s">
        <v>281</v>
      </c>
      <c r="D88" s="20"/>
      <c r="E88" s="4">
        <v>1000587</v>
      </c>
      <c r="F88" s="4" t="s">
        <v>44</v>
      </c>
      <c r="G88" s="4" t="s">
        <v>45</v>
      </c>
      <c r="H88" s="4" t="s">
        <v>61</v>
      </c>
      <c r="I88" s="4" t="s">
        <v>57</v>
      </c>
      <c r="J88" s="4" t="s">
        <v>47</v>
      </c>
      <c r="K88" s="4">
        <v>9</v>
      </c>
      <c r="L88" s="4">
        <v>18</v>
      </c>
      <c r="M88" s="5">
        <v>432</v>
      </c>
      <c r="N88" s="5">
        <v>576</v>
      </c>
      <c r="O88" s="5">
        <v>576</v>
      </c>
      <c r="P88" s="5">
        <v>720</v>
      </c>
      <c r="Q88" s="5">
        <v>432</v>
      </c>
      <c r="R88" s="5">
        <v>720</v>
      </c>
      <c r="S88" s="5">
        <v>432</v>
      </c>
      <c r="T88" s="5">
        <v>432</v>
      </c>
      <c r="U88" s="5">
        <v>864</v>
      </c>
      <c r="V88" s="5">
        <v>576</v>
      </c>
      <c r="W88" s="5">
        <v>576</v>
      </c>
      <c r="X88" s="5">
        <v>720</v>
      </c>
      <c r="Z88" t="e">
        <f>VLOOKUP(E88,Sheet2!$A$1:$A$39,1,0)</f>
        <v>#N/A</v>
      </c>
      <c r="AA88">
        <f>VLOOKUP($E88,[1]Sheet1!$E$10:$X$629,AA$9,0)</f>
        <v>576</v>
      </c>
      <c r="AB88">
        <f>VLOOKUP($E88,[1]Sheet1!$E$10:$X$629,AB$9,0)</f>
        <v>576</v>
      </c>
      <c r="AC88">
        <f>VLOOKUP($E88,[1]Sheet1!$E$10:$X$629,AC$9,0)</f>
        <v>864</v>
      </c>
      <c r="AD88">
        <f>VLOOKUP($E88,[1]Sheet1!$E$10:$X$629,AD$9,0)</f>
        <v>720</v>
      </c>
      <c r="AE88">
        <f>VLOOKUP($E88,[1]Sheet1!$E$10:$X$629,AE$9,0)</f>
        <v>720</v>
      </c>
      <c r="AF88">
        <f>VLOOKUP($E88,[1]Sheet1!$E$10:$X$629,AF$9,0)</f>
        <v>864</v>
      </c>
      <c r="AG88">
        <f>VLOOKUP($E88,[1]Sheet1!$E$10:$X$629,AG$9,0)</f>
        <v>864</v>
      </c>
      <c r="AH88">
        <f>VLOOKUP($E88,[1]Sheet1!$E$10:$X$629,AH$9,0)</f>
        <v>288</v>
      </c>
      <c r="AJ88">
        <f t="shared" si="4"/>
        <v>4320</v>
      </c>
      <c r="AK88">
        <f t="shared" si="5"/>
        <v>5472</v>
      </c>
      <c r="AL88">
        <f t="shared" si="6"/>
        <v>-1152</v>
      </c>
    </row>
    <row r="89" spans="1:38" ht="39.6" x14ac:dyDescent="0.3">
      <c r="A89" s="4" t="s">
        <v>282</v>
      </c>
      <c r="B89" s="5" t="s">
        <v>283</v>
      </c>
      <c r="C89" s="21" t="s">
        <v>284</v>
      </c>
      <c r="D89" s="20"/>
      <c r="E89" s="4">
        <v>1000589</v>
      </c>
      <c r="F89" s="4" t="s">
        <v>44</v>
      </c>
      <c r="G89" s="4" t="s">
        <v>45</v>
      </c>
      <c r="H89" s="4" t="s">
        <v>269</v>
      </c>
      <c r="I89" s="4" t="s">
        <v>57</v>
      </c>
      <c r="J89" s="4" t="s">
        <v>47</v>
      </c>
      <c r="K89" s="4">
        <v>9</v>
      </c>
      <c r="L89" s="4">
        <v>18</v>
      </c>
      <c r="M89" s="5">
        <v>2016</v>
      </c>
      <c r="N89" s="5">
        <v>2016</v>
      </c>
      <c r="O89" s="5">
        <v>2448</v>
      </c>
      <c r="P89" s="5">
        <v>1584</v>
      </c>
      <c r="Q89" s="5">
        <v>1872</v>
      </c>
      <c r="R89" s="5">
        <v>1872</v>
      </c>
      <c r="S89" s="5">
        <v>1152</v>
      </c>
      <c r="T89" s="5">
        <v>1584</v>
      </c>
      <c r="U89" s="5">
        <v>2736</v>
      </c>
      <c r="V89" s="5">
        <v>2880</v>
      </c>
      <c r="W89" s="5">
        <v>1728</v>
      </c>
      <c r="X89" s="5">
        <v>2736</v>
      </c>
      <c r="Z89" t="e">
        <f>VLOOKUP(E89,Sheet2!$A$1:$A$39,1,0)</f>
        <v>#N/A</v>
      </c>
      <c r="AA89">
        <f>VLOOKUP($E89,[1]Sheet1!$E$10:$X$629,AA$9,0)</f>
        <v>2592</v>
      </c>
      <c r="AB89">
        <f>VLOOKUP($E89,[1]Sheet1!$E$10:$X$629,AB$9,0)</f>
        <v>1872</v>
      </c>
      <c r="AC89">
        <f>VLOOKUP($E89,[1]Sheet1!$E$10:$X$629,AC$9,0)</f>
        <v>2592</v>
      </c>
      <c r="AD89">
        <f>VLOOKUP($E89,[1]Sheet1!$E$10:$X$629,AD$9,0)</f>
        <v>1872</v>
      </c>
      <c r="AE89">
        <f>VLOOKUP($E89,[1]Sheet1!$E$10:$X$629,AE$9,0)</f>
        <v>1440</v>
      </c>
      <c r="AF89">
        <f>VLOOKUP($E89,[1]Sheet1!$E$10:$X$629,AF$9,0)</f>
        <v>2016</v>
      </c>
      <c r="AG89">
        <f>VLOOKUP($E89,[1]Sheet1!$E$10:$X$629,AG$9,0)</f>
        <v>1584</v>
      </c>
      <c r="AH89">
        <f>VLOOKUP($E89,[1]Sheet1!$E$10:$X$629,AH$9,0)</f>
        <v>864</v>
      </c>
      <c r="AJ89">
        <f t="shared" si="4"/>
        <v>14544</v>
      </c>
      <c r="AK89">
        <f t="shared" si="5"/>
        <v>14832</v>
      </c>
      <c r="AL89">
        <f t="shared" si="6"/>
        <v>-288</v>
      </c>
    </row>
    <row r="90" spans="1:38" ht="39.6" x14ac:dyDescent="0.3">
      <c r="A90" s="4" t="s">
        <v>285</v>
      </c>
      <c r="B90" s="5" t="s">
        <v>286</v>
      </c>
      <c r="C90" s="21" t="s">
        <v>287</v>
      </c>
      <c r="D90" s="20"/>
      <c r="E90" s="4">
        <v>1000078</v>
      </c>
      <c r="F90" s="4" t="s">
        <v>44</v>
      </c>
      <c r="G90" s="4" t="s">
        <v>45</v>
      </c>
      <c r="H90" s="4" t="s">
        <v>61</v>
      </c>
      <c r="I90" s="4" t="s">
        <v>57</v>
      </c>
      <c r="J90" s="4" t="s">
        <v>47</v>
      </c>
      <c r="K90" s="4">
        <v>9</v>
      </c>
      <c r="L90" s="4">
        <v>18</v>
      </c>
      <c r="M90" s="5">
        <v>0</v>
      </c>
      <c r="N90" s="5">
        <v>0</v>
      </c>
      <c r="O90" s="5">
        <v>144</v>
      </c>
      <c r="P90" s="5">
        <v>0</v>
      </c>
      <c r="Q90" s="5">
        <v>144</v>
      </c>
      <c r="R90" s="5">
        <v>0</v>
      </c>
      <c r="S90" s="5">
        <v>0</v>
      </c>
      <c r="T90" s="5">
        <v>144</v>
      </c>
      <c r="U90" s="5">
        <v>0</v>
      </c>
      <c r="V90" s="5">
        <v>0</v>
      </c>
      <c r="W90" s="5">
        <v>144</v>
      </c>
      <c r="X90" s="5">
        <v>144</v>
      </c>
      <c r="Z90" t="e">
        <f>VLOOKUP(E90,Sheet2!$A$1:$A$39,1,0)</f>
        <v>#N/A</v>
      </c>
      <c r="AA90">
        <f>VLOOKUP($E90,[1]Sheet1!$E$10:$X$629,AA$9,0)</f>
        <v>288</v>
      </c>
      <c r="AB90">
        <f>VLOOKUP($E90,[1]Sheet1!$E$10:$X$629,AB$9,0)</f>
        <v>0</v>
      </c>
      <c r="AC90">
        <f>VLOOKUP($E90,[1]Sheet1!$E$10:$X$629,AC$9,0)</f>
        <v>0</v>
      </c>
      <c r="AD90">
        <f>VLOOKUP($E90,[1]Sheet1!$E$10:$X$629,AD$9,0)</f>
        <v>144</v>
      </c>
      <c r="AE90">
        <f>VLOOKUP($E90,[1]Sheet1!$E$10:$X$629,AE$9,0)</f>
        <v>144</v>
      </c>
      <c r="AF90">
        <f>VLOOKUP($E90,[1]Sheet1!$E$10:$X$629,AF$9,0)</f>
        <v>0</v>
      </c>
      <c r="AG90">
        <f>VLOOKUP($E90,[1]Sheet1!$E$10:$X$629,AG$9,0)</f>
        <v>144</v>
      </c>
      <c r="AH90">
        <f>VLOOKUP($E90,[1]Sheet1!$E$10:$X$629,AH$9,0)</f>
        <v>144</v>
      </c>
      <c r="AJ90">
        <f t="shared" si="4"/>
        <v>432</v>
      </c>
      <c r="AK90">
        <f t="shared" si="5"/>
        <v>864</v>
      </c>
      <c r="AL90">
        <f t="shared" si="6"/>
        <v>-432</v>
      </c>
    </row>
    <row r="91" spans="1:38" ht="39.6" x14ac:dyDescent="0.3">
      <c r="A91" s="4" t="s">
        <v>288</v>
      </c>
      <c r="B91" s="5" t="s">
        <v>289</v>
      </c>
      <c r="C91" s="21" t="s">
        <v>290</v>
      </c>
      <c r="D91" s="20"/>
      <c r="E91" s="4">
        <v>1000592</v>
      </c>
      <c r="F91" s="4" t="s">
        <v>44</v>
      </c>
      <c r="G91" s="4" t="s">
        <v>45</v>
      </c>
      <c r="H91" s="4" t="s">
        <v>56</v>
      </c>
      <c r="I91" s="4" t="s">
        <v>57</v>
      </c>
      <c r="J91" s="4" t="s">
        <v>47</v>
      </c>
      <c r="K91" s="4">
        <v>9</v>
      </c>
      <c r="L91" s="4">
        <v>18</v>
      </c>
      <c r="M91" s="5">
        <v>576</v>
      </c>
      <c r="N91" s="5">
        <v>432</v>
      </c>
      <c r="O91" s="5">
        <v>576</v>
      </c>
      <c r="P91" s="5">
        <v>432</v>
      </c>
      <c r="Q91" s="5">
        <v>576</v>
      </c>
      <c r="R91" s="5">
        <v>576</v>
      </c>
      <c r="S91" s="5">
        <v>432</v>
      </c>
      <c r="T91" s="5">
        <v>576</v>
      </c>
      <c r="U91" s="5">
        <v>432</v>
      </c>
      <c r="V91" s="5">
        <v>864</v>
      </c>
      <c r="W91" s="5">
        <v>576</v>
      </c>
      <c r="X91" s="5">
        <v>864</v>
      </c>
      <c r="Z91" t="e">
        <f>VLOOKUP(E91,Sheet2!$A$1:$A$39,1,0)</f>
        <v>#N/A</v>
      </c>
      <c r="AA91">
        <f>VLOOKUP($E91,[1]Sheet1!$E$10:$X$629,AA$9,0)</f>
        <v>576</v>
      </c>
      <c r="AB91">
        <f>VLOOKUP($E91,[1]Sheet1!$E$10:$X$629,AB$9,0)</f>
        <v>576</v>
      </c>
      <c r="AC91">
        <f>VLOOKUP($E91,[1]Sheet1!$E$10:$X$629,AC$9,0)</f>
        <v>720</v>
      </c>
      <c r="AD91">
        <f>VLOOKUP($E91,[1]Sheet1!$E$10:$X$629,AD$9,0)</f>
        <v>432</v>
      </c>
      <c r="AE91">
        <f>VLOOKUP($E91,[1]Sheet1!$E$10:$X$629,AE$9,0)</f>
        <v>432</v>
      </c>
      <c r="AF91">
        <f>VLOOKUP($E91,[1]Sheet1!$E$10:$X$629,AF$9,0)</f>
        <v>720</v>
      </c>
      <c r="AG91">
        <f>VLOOKUP($E91,[1]Sheet1!$E$10:$X$629,AG$9,0)</f>
        <v>576</v>
      </c>
      <c r="AH91">
        <f>VLOOKUP($E91,[1]Sheet1!$E$10:$X$629,AH$9,0)</f>
        <v>288</v>
      </c>
      <c r="AJ91">
        <f t="shared" si="4"/>
        <v>4176</v>
      </c>
      <c r="AK91">
        <f t="shared" si="5"/>
        <v>4320</v>
      </c>
      <c r="AL91">
        <f t="shared" si="6"/>
        <v>-144</v>
      </c>
    </row>
    <row r="92" spans="1:38" ht="39.6" x14ac:dyDescent="0.3">
      <c r="A92" s="4" t="s">
        <v>291</v>
      </c>
      <c r="B92" s="5" t="s">
        <v>292</v>
      </c>
      <c r="C92" s="21" t="s">
        <v>293</v>
      </c>
      <c r="D92" s="20"/>
      <c r="E92" s="4">
        <v>1000080</v>
      </c>
      <c r="F92" s="4" t="s">
        <v>44</v>
      </c>
      <c r="G92" s="4" t="s">
        <v>45</v>
      </c>
      <c r="H92" s="4" t="s">
        <v>61</v>
      </c>
      <c r="I92" s="4" t="s">
        <v>57</v>
      </c>
      <c r="J92" s="4" t="s">
        <v>47</v>
      </c>
      <c r="K92" s="4">
        <v>9</v>
      </c>
      <c r="L92" s="4">
        <v>18</v>
      </c>
      <c r="M92" s="5">
        <v>0</v>
      </c>
      <c r="N92" s="5">
        <v>144</v>
      </c>
      <c r="O92" s="5">
        <v>144</v>
      </c>
      <c r="P92" s="5">
        <v>144</v>
      </c>
      <c r="Q92" s="5">
        <v>432</v>
      </c>
      <c r="R92" s="5">
        <v>0</v>
      </c>
      <c r="S92" s="5">
        <v>144</v>
      </c>
      <c r="T92" s="5">
        <v>0</v>
      </c>
      <c r="U92" s="5">
        <v>288</v>
      </c>
      <c r="V92" s="5">
        <v>144</v>
      </c>
      <c r="W92" s="5">
        <v>0</v>
      </c>
      <c r="X92" s="5">
        <v>432</v>
      </c>
      <c r="Z92" t="e">
        <f>VLOOKUP(E92,Sheet2!$A$1:$A$39,1,0)</f>
        <v>#N/A</v>
      </c>
      <c r="AA92">
        <f>VLOOKUP($E92,[1]Sheet1!$E$10:$X$629,AA$9,0)</f>
        <v>288</v>
      </c>
      <c r="AB92">
        <f>VLOOKUP($E92,[1]Sheet1!$E$10:$X$629,AB$9,0)</f>
        <v>144</v>
      </c>
      <c r="AC92">
        <f>VLOOKUP($E92,[1]Sheet1!$E$10:$X$629,AC$9,0)</f>
        <v>144</v>
      </c>
      <c r="AD92">
        <f>VLOOKUP($E92,[1]Sheet1!$E$10:$X$629,AD$9,0)</f>
        <v>432</v>
      </c>
      <c r="AE92">
        <f>VLOOKUP($E92,[1]Sheet1!$E$10:$X$629,AE$9,0)</f>
        <v>144</v>
      </c>
      <c r="AF92">
        <f>VLOOKUP($E92,[1]Sheet1!$E$10:$X$629,AF$9,0)</f>
        <v>144</v>
      </c>
      <c r="AG92">
        <f>VLOOKUP($E92,[1]Sheet1!$E$10:$X$629,AG$9,0)</f>
        <v>144</v>
      </c>
      <c r="AH92">
        <f>VLOOKUP($E92,[1]Sheet1!$E$10:$X$629,AH$9,0)</f>
        <v>288</v>
      </c>
      <c r="AJ92">
        <f t="shared" si="4"/>
        <v>1008</v>
      </c>
      <c r="AK92">
        <f t="shared" si="5"/>
        <v>1728</v>
      </c>
      <c r="AL92">
        <f t="shared" si="6"/>
        <v>-720</v>
      </c>
    </row>
    <row r="93" spans="1:38" ht="39.6" x14ac:dyDescent="0.3">
      <c r="A93" s="4" t="s">
        <v>294</v>
      </c>
      <c r="B93" s="5" t="s">
        <v>295</v>
      </c>
      <c r="C93" s="21" t="s">
        <v>296</v>
      </c>
      <c r="D93" s="20"/>
      <c r="E93" s="4">
        <v>1000076</v>
      </c>
      <c r="F93" s="4" t="s">
        <v>44</v>
      </c>
      <c r="G93" s="4" t="s">
        <v>45</v>
      </c>
      <c r="H93" s="4" t="s">
        <v>56</v>
      </c>
      <c r="I93" s="4" t="s">
        <v>57</v>
      </c>
      <c r="J93" s="4" t="s">
        <v>47</v>
      </c>
      <c r="K93" s="4">
        <v>9</v>
      </c>
      <c r="L93" s="4">
        <v>18</v>
      </c>
      <c r="M93" s="5">
        <v>576</v>
      </c>
      <c r="N93" s="5">
        <v>576</v>
      </c>
      <c r="O93" s="5">
        <v>720</v>
      </c>
      <c r="P93" s="5">
        <v>432</v>
      </c>
      <c r="Q93" s="5">
        <v>576</v>
      </c>
      <c r="R93" s="5">
        <v>432</v>
      </c>
      <c r="S93" s="5">
        <v>288</v>
      </c>
      <c r="T93" s="5">
        <v>720</v>
      </c>
      <c r="U93" s="5">
        <v>576</v>
      </c>
      <c r="V93" s="5">
        <v>1008</v>
      </c>
      <c r="W93" s="5">
        <v>720</v>
      </c>
      <c r="X93" s="5">
        <v>720</v>
      </c>
      <c r="Z93" t="e">
        <f>VLOOKUP(E93,Sheet2!$A$1:$A$39,1,0)</f>
        <v>#N/A</v>
      </c>
      <c r="AA93">
        <f>VLOOKUP($E93,[1]Sheet1!$E$10:$X$629,AA$9,0)</f>
        <v>576</v>
      </c>
      <c r="AB93">
        <f>VLOOKUP($E93,[1]Sheet1!$E$10:$X$629,AB$9,0)</f>
        <v>720</v>
      </c>
      <c r="AC93">
        <f>VLOOKUP($E93,[1]Sheet1!$E$10:$X$629,AC$9,0)</f>
        <v>576</v>
      </c>
      <c r="AD93">
        <f>VLOOKUP($E93,[1]Sheet1!$E$10:$X$629,AD$9,0)</f>
        <v>576</v>
      </c>
      <c r="AE93">
        <f>VLOOKUP($E93,[1]Sheet1!$E$10:$X$629,AE$9,0)</f>
        <v>432</v>
      </c>
      <c r="AF93">
        <f>VLOOKUP($E93,[1]Sheet1!$E$10:$X$629,AF$9,0)</f>
        <v>720</v>
      </c>
      <c r="AG93">
        <f>VLOOKUP($E93,[1]Sheet1!$E$10:$X$629,AG$9,0)</f>
        <v>432</v>
      </c>
      <c r="AH93">
        <f>VLOOKUP($E93,[1]Sheet1!$E$10:$X$629,AH$9,0)</f>
        <v>144</v>
      </c>
      <c r="AJ93">
        <f t="shared" si="4"/>
        <v>4320</v>
      </c>
      <c r="AK93">
        <f t="shared" si="5"/>
        <v>4176</v>
      </c>
      <c r="AL93">
        <f t="shared" si="6"/>
        <v>144</v>
      </c>
    </row>
    <row r="94" spans="1:38" ht="39.6" x14ac:dyDescent="0.3">
      <c r="A94" s="4" t="s">
        <v>297</v>
      </c>
      <c r="B94" s="5" t="s">
        <v>298</v>
      </c>
      <c r="C94" s="21" t="s">
        <v>299</v>
      </c>
      <c r="D94" s="20"/>
      <c r="E94" s="4">
        <v>1000590</v>
      </c>
      <c r="F94" s="4" t="s">
        <v>44</v>
      </c>
      <c r="G94" s="4" t="s">
        <v>45</v>
      </c>
      <c r="H94" s="4" t="s">
        <v>61</v>
      </c>
      <c r="I94" s="4" t="s">
        <v>57</v>
      </c>
      <c r="J94" s="4" t="s">
        <v>47</v>
      </c>
      <c r="K94" s="4">
        <v>9</v>
      </c>
      <c r="L94" s="4">
        <v>18</v>
      </c>
      <c r="M94" s="5">
        <v>144</v>
      </c>
      <c r="N94" s="5">
        <v>0</v>
      </c>
      <c r="O94" s="5">
        <v>144</v>
      </c>
      <c r="P94" s="5">
        <v>144</v>
      </c>
      <c r="Q94" s="5">
        <v>0</v>
      </c>
      <c r="R94" s="5">
        <v>0</v>
      </c>
      <c r="S94" s="5">
        <v>0</v>
      </c>
      <c r="T94" s="5">
        <v>288</v>
      </c>
      <c r="U94" s="5">
        <v>144</v>
      </c>
      <c r="V94" s="5">
        <v>0</v>
      </c>
      <c r="W94" s="5">
        <v>144</v>
      </c>
      <c r="X94" s="5">
        <v>0</v>
      </c>
      <c r="Z94" t="e">
        <f>VLOOKUP(E94,Sheet2!$A$1:$A$39,1,0)</f>
        <v>#N/A</v>
      </c>
      <c r="AA94">
        <f>VLOOKUP($E94,[1]Sheet1!$E$10:$X$629,AA$9,0)</f>
        <v>144</v>
      </c>
      <c r="AB94">
        <f>VLOOKUP($E94,[1]Sheet1!$E$10:$X$629,AB$9,0)</f>
        <v>144</v>
      </c>
      <c r="AC94">
        <f>VLOOKUP($E94,[1]Sheet1!$E$10:$X$629,AC$9,0)</f>
        <v>144</v>
      </c>
      <c r="AD94">
        <f>VLOOKUP($E94,[1]Sheet1!$E$10:$X$629,AD$9,0)</f>
        <v>144</v>
      </c>
      <c r="AE94">
        <f>VLOOKUP($E94,[1]Sheet1!$E$10:$X$629,AE$9,0)</f>
        <v>144</v>
      </c>
      <c r="AF94">
        <f>VLOOKUP($E94,[1]Sheet1!$E$10:$X$629,AF$9,0)</f>
        <v>288</v>
      </c>
      <c r="AG94">
        <f>VLOOKUP($E94,[1]Sheet1!$E$10:$X$629,AG$9,0)</f>
        <v>0</v>
      </c>
      <c r="AH94">
        <f>VLOOKUP($E94,[1]Sheet1!$E$10:$X$629,AH$9,0)</f>
        <v>0</v>
      </c>
      <c r="AJ94">
        <f t="shared" si="4"/>
        <v>720</v>
      </c>
      <c r="AK94">
        <f t="shared" si="5"/>
        <v>1008</v>
      </c>
      <c r="AL94">
        <f t="shared" si="6"/>
        <v>-288</v>
      </c>
    </row>
    <row r="95" spans="1:38" ht="39.6" x14ac:dyDescent="0.3">
      <c r="A95" s="4" t="s">
        <v>300</v>
      </c>
      <c r="B95" s="5" t="s">
        <v>301</v>
      </c>
      <c r="C95" s="21" t="s">
        <v>302</v>
      </c>
      <c r="D95" s="20"/>
      <c r="E95" s="4">
        <v>1000580</v>
      </c>
      <c r="F95" s="4" t="s">
        <v>44</v>
      </c>
      <c r="G95" s="4" t="s">
        <v>45</v>
      </c>
      <c r="H95" s="4" t="s">
        <v>61</v>
      </c>
      <c r="I95" s="4" t="s">
        <v>57</v>
      </c>
      <c r="J95" s="4" t="s">
        <v>47</v>
      </c>
      <c r="K95" s="4">
        <v>9</v>
      </c>
      <c r="L95" s="4">
        <v>18</v>
      </c>
      <c r="M95" s="5">
        <v>576</v>
      </c>
      <c r="N95" s="5">
        <v>864</v>
      </c>
      <c r="O95" s="5">
        <v>720</v>
      </c>
      <c r="P95" s="5">
        <v>864</v>
      </c>
      <c r="Q95" s="5">
        <v>720</v>
      </c>
      <c r="R95" s="5">
        <v>720</v>
      </c>
      <c r="S95" s="5">
        <v>576</v>
      </c>
      <c r="T95" s="5">
        <v>720</v>
      </c>
      <c r="U95" s="5">
        <v>720</v>
      </c>
      <c r="V95" s="5">
        <v>1152</v>
      </c>
      <c r="W95" s="5">
        <v>720</v>
      </c>
      <c r="X95" s="5">
        <v>720</v>
      </c>
      <c r="Z95" t="e">
        <f>VLOOKUP(E95,Sheet2!$A$1:$A$39,1,0)</f>
        <v>#N/A</v>
      </c>
      <c r="AA95">
        <f>VLOOKUP($E95,[1]Sheet1!$E$10:$X$629,AA$9,0)</f>
        <v>1008</v>
      </c>
      <c r="AB95">
        <f>VLOOKUP($E95,[1]Sheet1!$E$10:$X$629,AB$9,0)</f>
        <v>576</v>
      </c>
      <c r="AC95">
        <f>VLOOKUP($E95,[1]Sheet1!$E$10:$X$629,AC$9,0)</f>
        <v>1152</v>
      </c>
      <c r="AD95">
        <f>VLOOKUP($E95,[1]Sheet1!$E$10:$X$629,AD$9,0)</f>
        <v>864</v>
      </c>
      <c r="AE95">
        <f>VLOOKUP($E95,[1]Sheet1!$E$10:$X$629,AE$9,0)</f>
        <v>720</v>
      </c>
      <c r="AF95">
        <f>VLOOKUP($E95,[1]Sheet1!$E$10:$X$629,AF$9,0)</f>
        <v>1008</v>
      </c>
      <c r="AG95">
        <f>VLOOKUP($E95,[1]Sheet1!$E$10:$X$629,AG$9,0)</f>
        <v>864</v>
      </c>
      <c r="AH95">
        <f>VLOOKUP($E95,[1]Sheet1!$E$10:$X$629,AH$9,0)</f>
        <v>432</v>
      </c>
      <c r="AJ95">
        <f t="shared" si="4"/>
        <v>5760</v>
      </c>
      <c r="AK95">
        <f t="shared" si="5"/>
        <v>6624</v>
      </c>
      <c r="AL95">
        <f t="shared" si="6"/>
        <v>-864</v>
      </c>
    </row>
    <row r="96" spans="1:38" ht="39.6" x14ac:dyDescent="0.3">
      <c r="A96" s="4" t="s">
        <v>303</v>
      </c>
      <c r="B96" s="5" t="s">
        <v>304</v>
      </c>
      <c r="C96" s="21" t="s">
        <v>305</v>
      </c>
      <c r="D96" s="20"/>
      <c r="E96" s="4">
        <v>1000583</v>
      </c>
      <c r="F96" s="4" t="s">
        <v>44</v>
      </c>
      <c r="G96" s="4" t="s">
        <v>45</v>
      </c>
      <c r="H96" s="4" t="s">
        <v>56</v>
      </c>
      <c r="I96" s="4" t="s">
        <v>57</v>
      </c>
      <c r="J96" s="4" t="s">
        <v>47</v>
      </c>
      <c r="K96" s="4">
        <v>9</v>
      </c>
      <c r="L96" s="4">
        <v>18</v>
      </c>
      <c r="M96" s="5">
        <v>1440</v>
      </c>
      <c r="N96" s="5">
        <v>1296</v>
      </c>
      <c r="O96" s="5">
        <v>1728</v>
      </c>
      <c r="P96" s="5">
        <v>1008</v>
      </c>
      <c r="Q96" s="5">
        <v>1440</v>
      </c>
      <c r="R96" s="5">
        <v>1152</v>
      </c>
      <c r="S96" s="5">
        <v>1296</v>
      </c>
      <c r="T96" s="5">
        <v>1152</v>
      </c>
      <c r="U96" s="5">
        <v>1728</v>
      </c>
      <c r="V96" s="5">
        <v>1728</v>
      </c>
      <c r="W96" s="5">
        <v>1296</v>
      </c>
      <c r="X96" s="5">
        <v>1440</v>
      </c>
      <c r="Z96" t="e">
        <f>VLOOKUP(E96,Sheet2!$A$1:$A$39,1,0)</f>
        <v>#N/A</v>
      </c>
      <c r="AA96">
        <f>VLOOKUP($E96,[1]Sheet1!$E$10:$X$629,AA$9,0)</f>
        <v>1440</v>
      </c>
      <c r="AB96">
        <f>VLOOKUP($E96,[1]Sheet1!$E$10:$X$629,AB$9,0)</f>
        <v>1296</v>
      </c>
      <c r="AC96">
        <f>VLOOKUP($E96,[1]Sheet1!$E$10:$X$629,AC$9,0)</f>
        <v>1584</v>
      </c>
      <c r="AD96">
        <f>VLOOKUP($E96,[1]Sheet1!$E$10:$X$629,AD$9,0)</f>
        <v>1008</v>
      </c>
      <c r="AE96">
        <f>VLOOKUP($E96,[1]Sheet1!$E$10:$X$629,AE$9,0)</f>
        <v>1296</v>
      </c>
      <c r="AF96">
        <f>VLOOKUP($E96,[1]Sheet1!$E$10:$X$629,AF$9,0)</f>
        <v>1584</v>
      </c>
      <c r="AG96">
        <f>VLOOKUP($E96,[1]Sheet1!$E$10:$X$629,AG$9,0)</f>
        <v>1296</v>
      </c>
      <c r="AH96">
        <f>VLOOKUP($E96,[1]Sheet1!$E$10:$X$629,AH$9,0)</f>
        <v>576</v>
      </c>
      <c r="AJ96">
        <f t="shared" si="4"/>
        <v>10512</v>
      </c>
      <c r="AK96">
        <f t="shared" si="5"/>
        <v>10080</v>
      </c>
      <c r="AL96">
        <f t="shared" si="6"/>
        <v>432</v>
      </c>
    </row>
    <row r="97" spans="1:38" ht="39.6" x14ac:dyDescent="0.3">
      <c r="A97" s="4" t="s">
        <v>306</v>
      </c>
      <c r="B97" s="5" t="s">
        <v>307</v>
      </c>
      <c r="C97" s="21" t="s">
        <v>308</v>
      </c>
      <c r="D97" s="20"/>
      <c r="E97" s="4">
        <v>1000581</v>
      </c>
      <c r="F97" s="4" t="s">
        <v>44</v>
      </c>
      <c r="G97" s="4" t="s">
        <v>45</v>
      </c>
      <c r="H97" s="4" t="s">
        <v>61</v>
      </c>
      <c r="I97" s="4" t="s">
        <v>57</v>
      </c>
      <c r="J97" s="4" t="s">
        <v>47</v>
      </c>
      <c r="K97" s="4">
        <v>9</v>
      </c>
      <c r="L97" s="4">
        <v>18</v>
      </c>
      <c r="M97" s="5">
        <v>576</v>
      </c>
      <c r="N97" s="5">
        <v>864</v>
      </c>
      <c r="O97" s="5">
        <v>576</v>
      </c>
      <c r="P97" s="5">
        <v>576</v>
      </c>
      <c r="Q97" s="5">
        <v>576</v>
      </c>
      <c r="R97" s="5">
        <v>720</v>
      </c>
      <c r="S97" s="5">
        <v>576</v>
      </c>
      <c r="T97" s="5">
        <v>432</v>
      </c>
      <c r="U97" s="5">
        <v>864</v>
      </c>
      <c r="V97" s="5">
        <v>864</v>
      </c>
      <c r="W97" s="5">
        <v>576</v>
      </c>
      <c r="X97" s="5">
        <v>720</v>
      </c>
      <c r="Z97" t="e">
        <f>VLOOKUP(E97,Sheet2!$A$1:$A$39,1,0)</f>
        <v>#N/A</v>
      </c>
      <c r="AA97">
        <f>VLOOKUP($E97,[1]Sheet1!$E$10:$X$629,AA$9,0)</f>
        <v>1008</v>
      </c>
      <c r="AB97">
        <f>VLOOKUP($E97,[1]Sheet1!$E$10:$X$629,AB$9,0)</f>
        <v>576</v>
      </c>
      <c r="AC97">
        <f>VLOOKUP($E97,[1]Sheet1!$E$10:$X$629,AC$9,0)</f>
        <v>1008</v>
      </c>
      <c r="AD97">
        <f>VLOOKUP($E97,[1]Sheet1!$E$10:$X$629,AD$9,0)</f>
        <v>576</v>
      </c>
      <c r="AE97">
        <f>VLOOKUP($E97,[1]Sheet1!$E$10:$X$629,AE$9,0)</f>
        <v>1008</v>
      </c>
      <c r="AF97">
        <f>VLOOKUP($E97,[1]Sheet1!$E$10:$X$629,AF$9,0)</f>
        <v>576</v>
      </c>
      <c r="AG97">
        <f>VLOOKUP($E97,[1]Sheet1!$E$10:$X$629,AG$9,0)</f>
        <v>864</v>
      </c>
      <c r="AH97">
        <f>VLOOKUP($E97,[1]Sheet1!$E$10:$X$629,AH$9,0)</f>
        <v>432</v>
      </c>
      <c r="AJ97">
        <f t="shared" si="4"/>
        <v>4896</v>
      </c>
      <c r="AK97">
        <f t="shared" si="5"/>
        <v>6048</v>
      </c>
      <c r="AL97">
        <f t="shared" si="6"/>
        <v>-1152</v>
      </c>
    </row>
    <row r="98" spans="1:38" ht="39.6" x14ac:dyDescent="0.3">
      <c r="A98" s="4" t="s">
        <v>309</v>
      </c>
      <c r="B98" s="5" t="s">
        <v>310</v>
      </c>
      <c r="C98" s="21" t="s">
        <v>311</v>
      </c>
      <c r="D98" s="20"/>
      <c r="E98" s="4">
        <v>1000079</v>
      </c>
      <c r="F98" s="4" t="s">
        <v>44</v>
      </c>
      <c r="G98" s="4" t="s">
        <v>45</v>
      </c>
      <c r="H98" s="4" t="s">
        <v>61</v>
      </c>
      <c r="I98" s="4" t="s">
        <v>57</v>
      </c>
      <c r="J98" s="4" t="s">
        <v>47</v>
      </c>
      <c r="K98" s="4">
        <v>9</v>
      </c>
      <c r="L98" s="4">
        <v>18</v>
      </c>
      <c r="M98" s="5">
        <v>0</v>
      </c>
      <c r="N98" s="5">
        <v>0</v>
      </c>
      <c r="O98" s="5">
        <v>144</v>
      </c>
      <c r="P98" s="5">
        <v>0</v>
      </c>
      <c r="Q98" s="5">
        <v>0</v>
      </c>
      <c r="R98" s="5">
        <v>144</v>
      </c>
      <c r="S98" s="5">
        <v>288</v>
      </c>
      <c r="T98" s="5">
        <v>0</v>
      </c>
      <c r="U98" s="5">
        <v>144</v>
      </c>
      <c r="V98" s="5">
        <v>0</v>
      </c>
      <c r="W98" s="5">
        <v>0</v>
      </c>
      <c r="X98" s="5">
        <v>0</v>
      </c>
      <c r="Z98" t="e">
        <f>VLOOKUP(E98,Sheet2!$A$1:$A$39,1,0)</f>
        <v>#N/A</v>
      </c>
      <c r="AA98">
        <f>VLOOKUP($E98,[1]Sheet1!$E$10:$X$629,AA$9,0)</f>
        <v>144</v>
      </c>
      <c r="AB98">
        <f>VLOOKUP($E98,[1]Sheet1!$E$10:$X$629,AB$9,0)</f>
        <v>288</v>
      </c>
      <c r="AC98">
        <f>VLOOKUP($E98,[1]Sheet1!$E$10:$X$629,AC$9,0)</f>
        <v>288</v>
      </c>
      <c r="AD98">
        <f>VLOOKUP($E98,[1]Sheet1!$E$10:$X$629,AD$9,0)</f>
        <v>0</v>
      </c>
      <c r="AE98">
        <f>VLOOKUP($E98,[1]Sheet1!$E$10:$X$629,AE$9,0)</f>
        <v>0</v>
      </c>
      <c r="AF98">
        <f>VLOOKUP($E98,[1]Sheet1!$E$10:$X$629,AF$9,0)</f>
        <v>288</v>
      </c>
      <c r="AG98">
        <f>VLOOKUP($E98,[1]Sheet1!$E$10:$X$629,AG$9,0)</f>
        <v>144</v>
      </c>
      <c r="AH98">
        <f>VLOOKUP($E98,[1]Sheet1!$E$10:$X$629,AH$9,0)</f>
        <v>144</v>
      </c>
      <c r="AJ98">
        <f t="shared" si="4"/>
        <v>576</v>
      </c>
      <c r="AK98">
        <f t="shared" si="5"/>
        <v>1296</v>
      </c>
      <c r="AL98">
        <f t="shared" si="6"/>
        <v>-720</v>
      </c>
    </row>
    <row r="99" spans="1:38" ht="39.6" x14ac:dyDescent="0.3">
      <c r="A99" s="4" t="s">
        <v>312</v>
      </c>
      <c r="B99" s="5" t="s">
        <v>313</v>
      </c>
      <c r="C99" s="21" t="s">
        <v>314</v>
      </c>
      <c r="D99" s="20"/>
      <c r="E99" s="4">
        <v>1000585</v>
      </c>
      <c r="F99" s="4" t="s">
        <v>44</v>
      </c>
      <c r="G99" s="4" t="s">
        <v>45</v>
      </c>
      <c r="H99" s="4" t="s">
        <v>56</v>
      </c>
      <c r="I99" s="4" t="s">
        <v>57</v>
      </c>
      <c r="J99" s="4" t="s">
        <v>47</v>
      </c>
      <c r="K99" s="4">
        <v>9</v>
      </c>
      <c r="L99" s="4">
        <v>18</v>
      </c>
      <c r="M99" s="5">
        <v>1008</v>
      </c>
      <c r="N99" s="5">
        <v>1152</v>
      </c>
      <c r="O99" s="5">
        <v>1008</v>
      </c>
      <c r="P99" s="5">
        <v>1152</v>
      </c>
      <c r="Q99" s="5">
        <v>1008</v>
      </c>
      <c r="R99" s="5">
        <v>1296</v>
      </c>
      <c r="S99" s="5">
        <v>1152</v>
      </c>
      <c r="T99" s="5">
        <v>720</v>
      </c>
      <c r="U99" s="5">
        <v>1584</v>
      </c>
      <c r="V99" s="5">
        <v>1440</v>
      </c>
      <c r="W99" s="5">
        <v>864</v>
      </c>
      <c r="X99" s="5">
        <v>1296</v>
      </c>
      <c r="Z99" t="e">
        <f>VLOOKUP(E99,Sheet2!$A$1:$A$39,1,0)</f>
        <v>#N/A</v>
      </c>
      <c r="AA99">
        <f>VLOOKUP($E99,[1]Sheet1!$E$10:$X$629,AA$9,0)</f>
        <v>1152</v>
      </c>
      <c r="AB99">
        <f>VLOOKUP($E99,[1]Sheet1!$E$10:$X$629,AB$9,0)</f>
        <v>864</v>
      </c>
      <c r="AC99">
        <f>VLOOKUP($E99,[1]Sheet1!$E$10:$X$629,AC$9,0)</f>
        <v>1584</v>
      </c>
      <c r="AD99">
        <f>VLOOKUP($E99,[1]Sheet1!$E$10:$X$629,AD$9,0)</f>
        <v>1152</v>
      </c>
      <c r="AE99">
        <f>VLOOKUP($E99,[1]Sheet1!$E$10:$X$629,AE$9,0)</f>
        <v>1152</v>
      </c>
      <c r="AF99">
        <f>VLOOKUP($E99,[1]Sheet1!$E$10:$X$629,AF$9,0)</f>
        <v>1440</v>
      </c>
      <c r="AG99">
        <f>VLOOKUP($E99,[1]Sheet1!$E$10:$X$629,AG$9,0)</f>
        <v>864</v>
      </c>
      <c r="AH99">
        <f>VLOOKUP($E99,[1]Sheet1!$E$10:$X$629,AH$9,0)</f>
        <v>576</v>
      </c>
      <c r="AJ99">
        <f t="shared" si="4"/>
        <v>8496</v>
      </c>
      <c r="AK99">
        <f t="shared" si="5"/>
        <v>8784</v>
      </c>
      <c r="AL99">
        <f t="shared" si="6"/>
        <v>-288</v>
      </c>
    </row>
    <row r="100" spans="1:38" ht="39.6" x14ac:dyDescent="0.3">
      <c r="A100" s="4" t="s">
        <v>315</v>
      </c>
      <c r="B100" s="5" t="s">
        <v>316</v>
      </c>
      <c r="C100" s="21" t="s">
        <v>317</v>
      </c>
      <c r="D100" s="20"/>
      <c r="E100" s="4">
        <v>1000582</v>
      </c>
      <c r="F100" s="4" t="s">
        <v>44</v>
      </c>
      <c r="G100" s="4" t="s">
        <v>45</v>
      </c>
      <c r="H100" s="4" t="s">
        <v>61</v>
      </c>
      <c r="I100" s="4" t="s">
        <v>57</v>
      </c>
      <c r="J100" s="4" t="s">
        <v>47</v>
      </c>
      <c r="K100" s="4">
        <v>9</v>
      </c>
      <c r="L100" s="4">
        <v>18</v>
      </c>
      <c r="M100" s="5">
        <v>1152</v>
      </c>
      <c r="N100" s="5">
        <v>1296</v>
      </c>
      <c r="O100" s="5">
        <v>1584</v>
      </c>
      <c r="P100" s="5">
        <v>1296</v>
      </c>
      <c r="Q100" s="5">
        <v>1152</v>
      </c>
      <c r="R100" s="5">
        <v>1440</v>
      </c>
      <c r="S100" s="5">
        <v>1152</v>
      </c>
      <c r="T100" s="5">
        <v>1152</v>
      </c>
      <c r="U100" s="5">
        <v>1440</v>
      </c>
      <c r="V100" s="5">
        <v>1728</v>
      </c>
      <c r="W100" s="5">
        <v>1152</v>
      </c>
      <c r="X100" s="5">
        <v>1584</v>
      </c>
      <c r="Z100" t="e">
        <f>VLOOKUP(E100,Sheet2!$A$1:$A$39,1,0)</f>
        <v>#N/A</v>
      </c>
      <c r="AA100">
        <f>VLOOKUP($E100,[1]Sheet1!$E$10:$X$629,AA$9,0)</f>
        <v>1296</v>
      </c>
      <c r="AB100">
        <f>VLOOKUP($E100,[1]Sheet1!$E$10:$X$629,AB$9,0)</f>
        <v>1296</v>
      </c>
      <c r="AC100">
        <f>VLOOKUP($E100,[1]Sheet1!$E$10:$X$629,AC$9,0)</f>
        <v>1728</v>
      </c>
      <c r="AD100">
        <f>VLOOKUP($E100,[1]Sheet1!$E$10:$X$629,AD$9,0)</f>
        <v>1296</v>
      </c>
      <c r="AE100">
        <f>VLOOKUP($E100,[1]Sheet1!$E$10:$X$629,AE$9,0)</f>
        <v>1152</v>
      </c>
      <c r="AF100">
        <f>VLOOKUP($E100,[1]Sheet1!$E$10:$X$629,AF$9,0)</f>
        <v>1440</v>
      </c>
      <c r="AG100">
        <f>VLOOKUP($E100,[1]Sheet1!$E$10:$X$629,AG$9,0)</f>
        <v>1296</v>
      </c>
      <c r="AH100">
        <f>VLOOKUP($E100,[1]Sheet1!$E$10:$X$629,AH$9,0)</f>
        <v>576</v>
      </c>
      <c r="AJ100">
        <f t="shared" si="4"/>
        <v>10224</v>
      </c>
      <c r="AK100">
        <f t="shared" si="5"/>
        <v>10080</v>
      </c>
      <c r="AL100">
        <f t="shared" si="6"/>
        <v>144</v>
      </c>
    </row>
    <row r="101" spans="1:38" ht="39.6" x14ac:dyDescent="0.3">
      <c r="A101" s="4" t="s">
        <v>318</v>
      </c>
      <c r="B101" s="5" t="s">
        <v>319</v>
      </c>
      <c r="C101" s="21" t="s">
        <v>320</v>
      </c>
      <c r="D101" s="20"/>
      <c r="E101" s="4">
        <v>1000591</v>
      </c>
      <c r="F101" s="4" t="s">
        <v>44</v>
      </c>
      <c r="G101" s="4" t="s">
        <v>45</v>
      </c>
      <c r="H101" s="4" t="s">
        <v>269</v>
      </c>
      <c r="I101" s="4" t="s">
        <v>57</v>
      </c>
      <c r="J101" s="4" t="s">
        <v>47</v>
      </c>
      <c r="K101" s="4">
        <v>9</v>
      </c>
      <c r="L101" s="4">
        <v>18</v>
      </c>
      <c r="M101" s="5">
        <v>1008</v>
      </c>
      <c r="N101" s="5">
        <v>1152</v>
      </c>
      <c r="O101" s="5">
        <v>1296</v>
      </c>
      <c r="P101" s="5">
        <v>1152</v>
      </c>
      <c r="Q101" s="5">
        <v>1008</v>
      </c>
      <c r="R101" s="5">
        <v>1152</v>
      </c>
      <c r="S101" s="5">
        <v>1008</v>
      </c>
      <c r="T101" s="5">
        <v>864</v>
      </c>
      <c r="U101" s="5">
        <v>1440</v>
      </c>
      <c r="V101" s="5">
        <v>1728</v>
      </c>
      <c r="W101" s="5">
        <v>1152</v>
      </c>
      <c r="X101" s="5">
        <v>1728</v>
      </c>
      <c r="Z101" t="e">
        <f>VLOOKUP(E101,Sheet2!$A$1:$A$39,1,0)</f>
        <v>#N/A</v>
      </c>
      <c r="AA101">
        <f>VLOOKUP($E101,[1]Sheet1!$E$10:$X$629,AA$9,0)</f>
        <v>1152</v>
      </c>
      <c r="AB101">
        <f>VLOOKUP($E101,[1]Sheet1!$E$10:$X$629,AB$9,0)</f>
        <v>1152</v>
      </c>
      <c r="AC101">
        <f>VLOOKUP($E101,[1]Sheet1!$E$10:$X$629,AC$9,0)</f>
        <v>1296</v>
      </c>
      <c r="AD101">
        <f>VLOOKUP($E101,[1]Sheet1!$E$10:$X$629,AD$9,0)</f>
        <v>1296</v>
      </c>
      <c r="AE101">
        <f>VLOOKUP($E101,[1]Sheet1!$E$10:$X$629,AE$9,0)</f>
        <v>1008</v>
      </c>
      <c r="AF101">
        <f>VLOOKUP($E101,[1]Sheet1!$E$10:$X$629,AF$9,0)</f>
        <v>1296</v>
      </c>
      <c r="AG101">
        <f>VLOOKUP($E101,[1]Sheet1!$E$10:$X$629,AG$9,0)</f>
        <v>1008</v>
      </c>
      <c r="AH101">
        <f>VLOOKUP($E101,[1]Sheet1!$E$10:$X$629,AH$9,0)</f>
        <v>720</v>
      </c>
      <c r="AJ101">
        <f t="shared" si="4"/>
        <v>8640</v>
      </c>
      <c r="AK101">
        <f t="shared" si="5"/>
        <v>8928</v>
      </c>
      <c r="AL101">
        <f t="shared" si="6"/>
        <v>-288</v>
      </c>
    </row>
    <row r="102" spans="1:38" ht="39.6" x14ac:dyDescent="0.3">
      <c r="A102" s="4" t="s">
        <v>321</v>
      </c>
      <c r="B102" s="5" t="s">
        <v>322</v>
      </c>
      <c r="C102" s="21" t="s">
        <v>323</v>
      </c>
      <c r="D102" s="20"/>
      <c r="E102" s="4">
        <v>1000584</v>
      </c>
      <c r="F102" s="4" t="s">
        <v>44</v>
      </c>
      <c r="G102" s="4" t="s">
        <v>45</v>
      </c>
      <c r="H102" s="4" t="s">
        <v>56</v>
      </c>
      <c r="I102" s="4" t="s">
        <v>57</v>
      </c>
      <c r="J102" s="4" t="s">
        <v>47</v>
      </c>
      <c r="K102" s="4">
        <v>9</v>
      </c>
      <c r="L102" s="4">
        <v>18</v>
      </c>
      <c r="M102" s="5">
        <v>720</v>
      </c>
      <c r="N102" s="5">
        <v>720</v>
      </c>
      <c r="O102" s="5">
        <v>720</v>
      </c>
      <c r="P102" s="5">
        <v>864</v>
      </c>
      <c r="Q102" s="5">
        <v>720</v>
      </c>
      <c r="R102" s="5">
        <v>864</v>
      </c>
      <c r="S102" s="5">
        <v>576</v>
      </c>
      <c r="T102" s="5">
        <v>432</v>
      </c>
      <c r="U102" s="5">
        <v>864</v>
      </c>
      <c r="V102" s="5">
        <v>864</v>
      </c>
      <c r="W102" s="5">
        <v>720</v>
      </c>
      <c r="X102" s="5">
        <v>720</v>
      </c>
      <c r="Z102" t="e">
        <f>VLOOKUP(E102,Sheet2!$A$1:$A$39,1,0)</f>
        <v>#N/A</v>
      </c>
      <c r="AA102">
        <f>VLOOKUP($E102,[1]Sheet1!$E$10:$X$629,AA$9,0)</f>
        <v>576</v>
      </c>
      <c r="AB102">
        <f>VLOOKUP($E102,[1]Sheet1!$E$10:$X$629,AB$9,0)</f>
        <v>576</v>
      </c>
      <c r="AC102">
        <f>VLOOKUP($E102,[1]Sheet1!$E$10:$X$629,AC$9,0)</f>
        <v>864</v>
      </c>
      <c r="AD102">
        <f>VLOOKUP($E102,[1]Sheet1!$E$10:$X$629,AD$9,0)</f>
        <v>720</v>
      </c>
      <c r="AE102">
        <f>VLOOKUP($E102,[1]Sheet1!$E$10:$X$629,AE$9,0)</f>
        <v>720</v>
      </c>
      <c r="AF102">
        <f>VLOOKUP($E102,[1]Sheet1!$E$10:$X$629,AF$9,0)</f>
        <v>576</v>
      </c>
      <c r="AG102">
        <f>VLOOKUP($E102,[1]Sheet1!$E$10:$X$629,AG$9,0)</f>
        <v>432</v>
      </c>
      <c r="AH102">
        <f>VLOOKUP($E102,[1]Sheet1!$E$10:$X$629,AH$9,0)</f>
        <v>432</v>
      </c>
      <c r="AJ102">
        <f t="shared" si="4"/>
        <v>5616</v>
      </c>
      <c r="AK102">
        <f t="shared" si="5"/>
        <v>4896</v>
      </c>
      <c r="AL102">
        <f t="shared" si="6"/>
        <v>720</v>
      </c>
    </row>
    <row r="103" spans="1:38" ht="39.6" x14ac:dyDescent="0.3">
      <c r="A103" s="4" t="s">
        <v>324</v>
      </c>
      <c r="B103" s="5" t="s">
        <v>325</v>
      </c>
      <c r="C103" s="21" t="s">
        <v>326</v>
      </c>
      <c r="D103" s="20"/>
      <c r="E103" s="4">
        <v>1000077</v>
      </c>
      <c r="F103" s="4" t="s">
        <v>44</v>
      </c>
      <c r="G103" s="4" t="s">
        <v>45</v>
      </c>
      <c r="H103" s="4" t="s">
        <v>56</v>
      </c>
      <c r="I103" s="4" t="s">
        <v>57</v>
      </c>
      <c r="J103" s="4" t="s">
        <v>47</v>
      </c>
      <c r="K103" s="4">
        <v>9</v>
      </c>
      <c r="L103" s="4">
        <v>18</v>
      </c>
      <c r="M103" s="5">
        <v>720</v>
      </c>
      <c r="N103" s="5">
        <v>432</v>
      </c>
      <c r="O103" s="5">
        <v>1008</v>
      </c>
      <c r="P103" s="5">
        <v>576</v>
      </c>
      <c r="Q103" s="5">
        <v>288</v>
      </c>
      <c r="R103" s="5">
        <v>720</v>
      </c>
      <c r="S103" s="5">
        <v>576</v>
      </c>
      <c r="T103" s="5">
        <v>1152</v>
      </c>
      <c r="U103" s="5">
        <v>864</v>
      </c>
      <c r="V103" s="5">
        <v>864</v>
      </c>
      <c r="W103" s="5">
        <v>720</v>
      </c>
      <c r="X103" s="5">
        <v>720</v>
      </c>
      <c r="Z103" t="e">
        <f>VLOOKUP(E103,Sheet2!$A$1:$A$39,1,0)</f>
        <v>#N/A</v>
      </c>
      <c r="AA103">
        <f>VLOOKUP($E103,[1]Sheet1!$E$10:$X$629,AA$9,0)</f>
        <v>288</v>
      </c>
      <c r="AB103">
        <f>VLOOKUP($E103,[1]Sheet1!$E$10:$X$629,AB$9,0)</f>
        <v>576</v>
      </c>
      <c r="AC103">
        <f>VLOOKUP($E103,[1]Sheet1!$E$10:$X$629,AC$9,0)</f>
        <v>1008</v>
      </c>
      <c r="AD103">
        <f>VLOOKUP($E103,[1]Sheet1!$E$10:$X$629,AD$9,0)</f>
        <v>432</v>
      </c>
      <c r="AE103">
        <f>VLOOKUP($E103,[1]Sheet1!$E$10:$X$629,AE$9,0)</f>
        <v>288</v>
      </c>
      <c r="AF103">
        <f>VLOOKUP($E103,[1]Sheet1!$E$10:$X$629,AF$9,0)</f>
        <v>864</v>
      </c>
      <c r="AG103">
        <f>VLOOKUP($E103,[1]Sheet1!$E$10:$X$629,AG$9,0)</f>
        <v>576</v>
      </c>
      <c r="AH103">
        <f>VLOOKUP($E103,[1]Sheet1!$E$10:$X$629,AH$9,0)</f>
        <v>144</v>
      </c>
      <c r="AJ103">
        <f t="shared" si="4"/>
        <v>5472</v>
      </c>
      <c r="AK103">
        <f t="shared" si="5"/>
        <v>4176</v>
      </c>
      <c r="AL103">
        <f t="shared" si="6"/>
        <v>1296</v>
      </c>
    </row>
    <row r="104" spans="1:38" ht="39.6" x14ac:dyDescent="0.3">
      <c r="A104" s="4" t="s">
        <v>327</v>
      </c>
      <c r="B104" s="5" t="s">
        <v>328</v>
      </c>
      <c r="C104" s="21" t="s">
        <v>329</v>
      </c>
      <c r="D104" s="20"/>
      <c r="E104" s="4">
        <v>1000822</v>
      </c>
      <c r="F104" s="4" t="s">
        <v>44</v>
      </c>
      <c r="G104" s="4" t="s">
        <v>45</v>
      </c>
      <c r="H104" s="4" t="s">
        <v>56</v>
      </c>
      <c r="I104" s="4" t="s">
        <v>52</v>
      </c>
      <c r="J104" s="4" t="s">
        <v>47</v>
      </c>
      <c r="K104" s="4">
        <v>7</v>
      </c>
      <c r="L104" s="4">
        <v>14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Z104" t="e">
        <f>VLOOKUP(E104,Sheet2!$A$1:$A$39,1,0)</f>
        <v>#N/A</v>
      </c>
      <c r="AA104">
        <f>VLOOKUP($E104,[1]Sheet1!$E$10:$X$629,AA$9,0)</f>
        <v>0</v>
      </c>
      <c r="AB104">
        <f>VLOOKUP($E104,[1]Sheet1!$E$10:$X$629,AB$9,0)</f>
        <v>0</v>
      </c>
      <c r="AC104">
        <f>VLOOKUP($E104,[1]Sheet1!$E$10:$X$629,AC$9,0)</f>
        <v>0</v>
      </c>
      <c r="AD104">
        <f>VLOOKUP($E104,[1]Sheet1!$E$10:$X$629,AD$9,0)</f>
        <v>0</v>
      </c>
      <c r="AE104">
        <f>VLOOKUP($E104,[1]Sheet1!$E$10:$X$629,AE$9,0)</f>
        <v>0</v>
      </c>
      <c r="AF104">
        <f>VLOOKUP($E104,[1]Sheet1!$E$10:$X$629,AF$9,0)</f>
        <v>0</v>
      </c>
      <c r="AG104">
        <f>VLOOKUP($E104,[1]Sheet1!$E$10:$X$629,AG$9,0)</f>
        <v>0</v>
      </c>
      <c r="AH104">
        <f>VLOOKUP($E104,[1]Sheet1!$E$10:$X$629,AH$9,0)</f>
        <v>0</v>
      </c>
      <c r="AJ104">
        <f t="shared" si="4"/>
        <v>0</v>
      </c>
      <c r="AK104">
        <f t="shared" si="5"/>
        <v>0</v>
      </c>
      <c r="AL104">
        <f t="shared" si="6"/>
        <v>0</v>
      </c>
    </row>
    <row r="105" spans="1:38" ht="39.6" x14ac:dyDescent="0.3">
      <c r="A105" s="4" t="s">
        <v>330</v>
      </c>
      <c r="B105" s="5" t="s">
        <v>331</v>
      </c>
      <c r="C105" s="21" t="s">
        <v>332</v>
      </c>
      <c r="D105" s="20"/>
      <c r="E105" s="4">
        <v>1000652</v>
      </c>
      <c r="F105" s="4" t="s">
        <v>44</v>
      </c>
      <c r="G105" s="4" t="s">
        <v>45</v>
      </c>
      <c r="H105" s="4" t="s">
        <v>56</v>
      </c>
      <c r="I105" s="4" t="s">
        <v>52</v>
      </c>
      <c r="J105" s="4" t="s">
        <v>47</v>
      </c>
      <c r="K105" s="4">
        <v>7</v>
      </c>
      <c r="L105" s="4">
        <v>14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Z105" t="e">
        <f>VLOOKUP(E105,Sheet2!$A$1:$A$39,1,0)</f>
        <v>#N/A</v>
      </c>
      <c r="AA105">
        <f>VLOOKUP($E105,[1]Sheet1!$E$10:$X$629,AA$9,0)</f>
        <v>0</v>
      </c>
      <c r="AB105">
        <f>VLOOKUP($E105,[1]Sheet1!$E$10:$X$629,AB$9,0)</f>
        <v>0</v>
      </c>
      <c r="AC105">
        <f>VLOOKUP($E105,[1]Sheet1!$E$10:$X$629,AC$9,0)</f>
        <v>0</v>
      </c>
      <c r="AD105">
        <f>VLOOKUP($E105,[1]Sheet1!$E$10:$X$629,AD$9,0)</f>
        <v>0</v>
      </c>
      <c r="AE105">
        <f>VLOOKUP($E105,[1]Sheet1!$E$10:$X$629,AE$9,0)</f>
        <v>0</v>
      </c>
      <c r="AF105">
        <f>VLOOKUP($E105,[1]Sheet1!$E$10:$X$629,AF$9,0)</f>
        <v>0</v>
      </c>
      <c r="AG105">
        <f>VLOOKUP($E105,[1]Sheet1!$E$10:$X$629,AG$9,0)</f>
        <v>0</v>
      </c>
      <c r="AH105">
        <f>VLOOKUP($E105,[1]Sheet1!$E$10:$X$629,AH$9,0)</f>
        <v>0</v>
      </c>
      <c r="AJ105">
        <f t="shared" si="4"/>
        <v>0</v>
      </c>
      <c r="AK105">
        <f t="shared" si="5"/>
        <v>0</v>
      </c>
      <c r="AL105">
        <f t="shared" si="6"/>
        <v>0</v>
      </c>
    </row>
    <row r="106" spans="1:38" ht="39.6" x14ac:dyDescent="0.3">
      <c r="A106" s="4" t="s">
        <v>333</v>
      </c>
      <c r="B106" s="5" t="s">
        <v>334</v>
      </c>
      <c r="C106" s="21" t="s">
        <v>335</v>
      </c>
      <c r="D106" s="20"/>
      <c r="E106" s="4">
        <v>1000823</v>
      </c>
      <c r="F106" s="4" t="s">
        <v>44</v>
      </c>
      <c r="G106" s="4" t="s">
        <v>45</v>
      </c>
      <c r="H106" s="4" t="s">
        <v>56</v>
      </c>
      <c r="I106" s="4" t="s">
        <v>52</v>
      </c>
      <c r="J106" s="4" t="s">
        <v>47</v>
      </c>
      <c r="K106" s="4">
        <v>7</v>
      </c>
      <c r="L106" s="4">
        <v>14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Z106" t="e">
        <f>VLOOKUP(E106,Sheet2!$A$1:$A$39,1,0)</f>
        <v>#N/A</v>
      </c>
      <c r="AA106">
        <f>VLOOKUP($E106,[1]Sheet1!$E$10:$X$629,AA$9,0)</f>
        <v>0</v>
      </c>
      <c r="AB106">
        <f>VLOOKUP($E106,[1]Sheet1!$E$10:$X$629,AB$9,0)</f>
        <v>0</v>
      </c>
      <c r="AC106">
        <f>VLOOKUP($E106,[1]Sheet1!$E$10:$X$629,AC$9,0)</f>
        <v>0</v>
      </c>
      <c r="AD106">
        <f>VLOOKUP($E106,[1]Sheet1!$E$10:$X$629,AD$9,0)</f>
        <v>0</v>
      </c>
      <c r="AE106">
        <f>VLOOKUP($E106,[1]Sheet1!$E$10:$X$629,AE$9,0)</f>
        <v>0</v>
      </c>
      <c r="AF106">
        <f>VLOOKUP($E106,[1]Sheet1!$E$10:$X$629,AF$9,0)</f>
        <v>0</v>
      </c>
      <c r="AG106">
        <f>VLOOKUP($E106,[1]Sheet1!$E$10:$X$629,AG$9,0)</f>
        <v>0</v>
      </c>
      <c r="AH106">
        <f>VLOOKUP($E106,[1]Sheet1!$E$10:$X$629,AH$9,0)</f>
        <v>0</v>
      </c>
      <c r="AJ106">
        <f t="shared" si="4"/>
        <v>0</v>
      </c>
      <c r="AK106">
        <f t="shared" si="5"/>
        <v>0</v>
      </c>
      <c r="AL106">
        <f t="shared" si="6"/>
        <v>0</v>
      </c>
    </row>
    <row r="107" spans="1:38" ht="39.6" x14ac:dyDescent="0.3">
      <c r="A107" s="4" t="s">
        <v>336</v>
      </c>
      <c r="B107" s="5" t="s">
        <v>337</v>
      </c>
      <c r="C107" s="21" t="s">
        <v>338</v>
      </c>
      <c r="D107" s="20"/>
      <c r="E107" s="4">
        <v>1000158</v>
      </c>
      <c r="F107" s="4" t="s">
        <v>44</v>
      </c>
      <c r="G107" s="4" t="s">
        <v>45</v>
      </c>
      <c r="H107" s="4"/>
      <c r="I107" s="4" t="s">
        <v>46</v>
      </c>
      <c r="J107" s="4" t="s">
        <v>47</v>
      </c>
      <c r="K107" s="4">
        <v>8</v>
      </c>
      <c r="L107" s="4">
        <v>3.99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Z107" t="e">
        <f>VLOOKUP(E107,Sheet2!$A$1:$A$39,1,0)</f>
        <v>#N/A</v>
      </c>
      <c r="AA107">
        <f>VLOOKUP($E107,[1]Sheet1!$E$10:$X$629,AA$9,0)</f>
        <v>0</v>
      </c>
      <c r="AB107">
        <f>VLOOKUP($E107,[1]Sheet1!$E$10:$X$629,AB$9,0)</f>
        <v>0</v>
      </c>
      <c r="AC107">
        <f>VLOOKUP($E107,[1]Sheet1!$E$10:$X$629,AC$9,0)</f>
        <v>0</v>
      </c>
      <c r="AD107">
        <f>VLOOKUP($E107,[1]Sheet1!$E$10:$X$629,AD$9,0)</f>
        <v>0</v>
      </c>
      <c r="AE107">
        <f>VLOOKUP($E107,[1]Sheet1!$E$10:$X$629,AE$9,0)</f>
        <v>0</v>
      </c>
      <c r="AF107">
        <f>VLOOKUP($E107,[1]Sheet1!$E$10:$X$629,AF$9,0)</f>
        <v>0</v>
      </c>
      <c r="AG107">
        <f>VLOOKUP($E107,[1]Sheet1!$E$10:$X$629,AG$9,0)</f>
        <v>0</v>
      </c>
      <c r="AH107">
        <f>VLOOKUP($E107,[1]Sheet1!$E$10:$X$629,AH$9,0)</f>
        <v>0</v>
      </c>
      <c r="AJ107">
        <f t="shared" si="4"/>
        <v>0</v>
      </c>
      <c r="AK107">
        <f t="shared" si="5"/>
        <v>0</v>
      </c>
      <c r="AL107">
        <f t="shared" si="6"/>
        <v>0</v>
      </c>
    </row>
    <row r="108" spans="1:38" ht="39.6" x14ac:dyDescent="0.3">
      <c r="A108" s="4" t="s">
        <v>339</v>
      </c>
      <c r="B108" s="5" t="s">
        <v>340</v>
      </c>
      <c r="C108" s="21" t="s">
        <v>338</v>
      </c>
      <c r="D108" s="20"/>
      <c r="E108" s="4">
        <v>1000154</v>
      </c>
      <c r="F108" s="4" t="s">
        <v>44</v>
      </c>
      <c r="G108" s="4" t="s">
        <v>45</v>
      </c>
      <c r="H108" s="4"/>
      <c r="I108" s="4" t="s">
        <v>46</v>
      </c>
      <c r="J108" s="4" t="s">
        <v>47</v>
      </c>
      <c r="K108" s="4">
        <v>8</v>
      </c>
      <c r="L108" s="4">
        <v>3.99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Z108" t="e">
        <f>VLOOKUP(E108,Sheet2!$A$1:$A$39,1,0)</f>
        <v>#N/A</v>
      </c>
      <c r="AA108">
        <f>VLOOKUP($E108,[1]Sheet1!$E$10:$X$629,AA$9,0)</f>
        <v>0</v>
      </c>
      <c r="AB108">
        <f>VLOOKUP($E108,[1]Sheet1!$E$10:$X$629,AB$9,0)</f>
        <v>0</v>
      </c>
      <c r="AC108">
        <f>VLOOKUP($E108,[1]Sheet1!$E$10:$X$629,AC$9,0)</f>
        <v>0</v>
      </c>
      <c r="AD108">
        <f>VLOOKUP($E108,[1]Sheet1!$E$10:$X$629,AD$9,0)</f>
        <v>0</v>
      </c>
      <c r="AE108">
        <f>VLOOKUP($E108,[1]Sheet1!$E$10:$X$629,AE$9,0)</f>
        <v>0</v>
      </c>
      <c r="AF108">
        <f>VLOOKUP($E108,[1]Sheet1!$E$10:$X$629,AF$9,0)</f>
        <v>0</v>
      </c>
      <c r="AG108">
        <f>VLOOKUP($E108,[1]Sheet1!$E$10:$X$629,AG$9,0)</f>
        <v>0</v>
      </c>
      <c r="AH108">
        <f>VLOOKUP($E108,[1]Sheet1!$E$10:$X$629,AH$9,0)</f>
        <v>0</v>
      </c>
      <c r="AJ108">
        <f t="shared" si="4"/>
        <v>0</v>
      </c>
      <c r="AK108">
        <f t="shared" si="5"/>
        <v>0</v>
      </c>
      <c r="AL108">
        <f t="shared" si="6"/>
        <v>0</v>
      </c>
    </row>
    <row r="109" spans="1:38" ht="39.6" x14ac:dyDescent="0.3">
      <c r="A109" s="4" t="s">
        <v>341</v>
      </c>
      <c r="B109" s="5" t="s">
        <v>342</v>
      </c>
      <c r="C109" s="21" t="s">
        <v>338</v>
      </c>
      <c r="D109" s="20"/>
      <c r="E109" s="4">
        <v>1000162</v>
      </c>
      <c r="F109" s="4" t="s">
        <v>44</v>
      </c>
      <c r="G109" s="4" t="s">
        <v>45</v>
      </c>
      <c r="H109" s="4"/>
      <c r="I109" s="4" t="s">
        <v>46</v>
      </c>
      <c r="J109" s="4" t="s">
        <v>47</v>
      </c>
      <c r="K109" s="4">
        <v>8</v>
      </c>
      <c r="L109" s="4">
        <v>3.99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Z109" t="e">
        <f>VLOOKUP(E109,Sheet2!$A$1:$A$39,1,0)</f>
        <v>#N/A</v>
      </c>
      <c r="AA109">
        <f>VLOOKUP($E109,[1]Sheet1!$E$10:$X$629,AA$9,0)</f>
        <v>0</v>
      </c>
      <c r="AB109">
        <f>VLOOKUP($E109,[1]Sheet1!$E$10:$X$629,AB$9,0)</f>
        <v>0</v>
      </c>
      <c r="AC109">
        <f>VLOOKUP($E109,[1]Sheet1!$E$10:$X$629,AC$9,0)</f>
        <v>0</v>
      </c>
      <c r="AD109">
        <f>VLOOKUP($E109,[1]Sheet1!$E$10:$X$629,AD$9,0)</f>
        <v>0</v>
      </c>
      <c r="AE109">
        <f>VLOOKUP($E109,[1]Sheet1!$E$10:$X$629,AE$9,0)</f>
        <v>0</v>
      </c>
      <c r="AF109">
        <f>VLOOKUP($E109,[1]Sheet1!$E$10:$X$629,AF$9,0)</f>
        <v>0</v>
      </c>
      <c r="AG109">
        <f>VLOOKUP($E109,[1]Sheet1!$E$10:$X$629,AG$9,0)</f>
        <v>0</v>
      </c>
      <c r="AH109">
        <f>VLOOKUP($E109,[1]Sheet1!$E$10:$X$629,AH$9,0)</f>
        <v>0</v>
      </c>
      <c r="AJ109">
        <f t="shared" si="4"/>
        <v>0</v>
      </c>
      <c r="AK109">
        <f t="shared" si="5"/>
        <v>0</v>
      </c>
      <c r="AL109">
        <f t="shared" si="6"/>
        <v>0</v>
      </c>
    </row>
    <row r="110" spans="1:38" ht="39.6" x14ac:dyDescent="0.3">
      <c r="A110" s="4" t="s">
        <v>343</v>
      </c>
      <c r="B110" s="5" t="s">
        <v>344</v>
      </c>
      <c r="C110" s="21" t="s">
        <v>338</v>
      </c>
      <c r="D110" s="20"/>
      <c r="E110" s="4">
        <v>1000161</v>
      </c>
      <c r="F110" s="4" t="s">
        <v>44</v>
      </c>
      <c r="G110" s="4" t="s">
        <v>45</v>
      </c>
      <c r="H110" s="4"/>
      <c r="I110" s="4" t="s">
        <v>46</v>
      </c>
      <c r="J110" s="4" t="s">
        <v>47</v>
      </c>
      <c r="K110" s="4">
        <v>8</v>
      </c>
      <c r="L110" s="4">
        <v>3.99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Z110" t="e">
        <f>VLOOKUP(E110,Sheet2!$A$1:$A$39,1,0)</f>
        <v>#N/A</v>
      </c>
      <c r="AA110">
        <f>VLOOKUP($E110,[1]Sheet1!$E$10:$X$629,AA$9,0)</f>
        <v>0</v>
      </c>
      <c r="AB110">
        <f>VLOOKUP($E110,[1]Sheet1!$E$10:$X$629,AB$9,0)</f>
        <v>0</v>
      </c>
      <c r="AC110">
        <f>VLOOKUP($E110,[1]Sheet1!$E$10:$X$629,AC$9,0)</f>
        <v>0</v>
      </c>
      <c r="AD110">
        <f>VLOOKUP($E110,[1]Sheet1!$E$10:$X$629,AD$9,0)</f>
        <v>0</v>
      </c>
      <c r="AE110">
        <f>VLOOKUP($E110,[1]Sheet1!$E$10:$X$629,AE$9,0)</f>
        <v>0</v>
      </c>
      <c r="AF110">
        <f>VLOOKUP($E110,[1]Sheet1!$E$10:$X$629,AF$9,0)</f>
        <v>0</v>
      </c>
      <c r="AG110">
        <f>VLOOKUP($E110,[1]Sheet1!$E$10:$X$629,AG$9,0)</f>
        <v>0</v>
      </c>
      <c r="AH110">
        <f>VLOOKUP($E110,[1]Sheet1!$E$10:$X$629,AH$9,0)</f>
        <v>0</v>
      </c>
      <c r="AJ110">
        <f t="shared" si="4"/>
        <v>0</v>
      </c>
      <c r="AK110">
        <f t="shared" si="5"/>
        <v>0</v>
      </c>
      <c r="AL110">
        <f t="shared" si="6"/>
        <v>0</v>
      </c>
    </row>
    <row r="111" spans="1:38" ht="39.6" x14ac:dyDescent="0.3">
      <c r="A111" s="4" t="s">
        <v>345</v>
      </c>
      <c r="B111" s="5" t="s">
        <v>346</v>
      </c>
      <c r="C111" s="21" t="s">
        <v>338</v>
      </c>
      <c r="D111" s="20"/>
      <c r="E111" s="4">
        <v>1000176</v>
      </c>
      <c r="F111" s="4" t="s">
        <v>44</v>
      </c>
      <c r="G111" s="4" t="s">
        <v>45</v>
      </c>
      <c r="H111" s="4"/>
      <c r="I111" s="4" t="s">
        <v>46</v>
      </c>
      <c r="J111" s="4" t="s">
        <v>47</v>
      </c>
      <c r="K111" s="4">
        <v>8</v>
      </c>
      <c r="L111" s="4">
        <v>3.99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Z111" t="e">
        <f>VLOOKUP(E111,Sheet2!$A$1:$A$39,1,0)</f>
        <v>#N/A</v>
      </c>
      <c r="AA111">
        <f>VLOOKUP($E111,[1]Sheet1!$E$10:$X$629,AA$9,0)</f>
        <v>0</v>
      </c>
      <c r="AB111">
        <f>VLOOKUP($E111,[1]Sheet1!$E$10:$X$629,AB$9,0)</f>
        <v>0</v>
      </c>
      <c r="AC111">
        <f>VLOOKUP($E111,[1]Sheet1!$E$10:$X$629,AC$9,0)</f>
        <v>0</v>
      </c>
      <c r="AD111">
        <f>VLOOKUP($E111,[1]Sheet1!$E$10:$X$629,AD$9,0)</f>
        <v>0</v>
      </c>
      <c r="AE111">
        <f>VLOOKUP($E111,[1]Sheet1!$E$10:$X$629,AE$9,0)</f>
        <v>0</v>
      </c>
      <c r="AF111">
        <f>VLOOKUP($E111,[1]Sheet1!$E$10:$X$629,AF$9,0)</f>
        <v>0</v>
      </c>
      <c r="AG111">
        <f>VLOOKUP($E111,[1]Sheet1!$E$10:$X$629,AG$9,0)</f>
        <v>0</v>
      </c>
      <c r="AH111">
        <f>VLOOKUP($E111,[1]Sheet1!$E$10:$X$629,AH$9,0)</f>
        <v>0</v>
      </c>
      <c r="AJ111">
        <f t="shared" si="4"/>
        <v>0</v>
      </c>
      <c r="AK111">
        <f t="shared" si="5"/>
        <v>0</v>
      </c>
      <c r="AL111">
        <f t="shared" si="6"/>
        <v>0</v>
      </c>
    </row>
    <row r="112" spans="1:38" ht="39.6" x14ac:dyDescent="0.3">
      <c r="A112" s="4" t="s">
        <v>347</v>
      </c>
      <c r="B112" s="5" t="s">
        <v>348</v>
      </c>
      <c r="C112" s="21" t="s">
        <v>338</v>
      </c>
      <c r="D112" s="20"/>
      <c r="E112" s="4">
        <v>1000167</v>
      </c>
      <c r="F112" s="4" t="s">
        <v>44</v>
      </c>
      <c r="G112" s="4" t="s">
        <v>45</v>
      </c>
      <c r="H112" s="4"/>
      <c r="I112" s="4" t="s">
        <v>46</v>
      </c>
      <c r="J112" s="4" t="s">
        <v>47</v>
      </c>
      <c r="K112" s="4">
        <v>8</v>
      </c>
      <c r="L112" s="4">
        <v>3.99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Z112" t="e">
        <f>VLOOKUP(E112,Sheet2!$A$1:$A$39,1,0)</f>
        <v>#N/A</v>
      </c>
      <c r="AA112">
        <f>VLOOKUP($E112,[1]Sheet1!$E$10:$X$629,AA$9,0)</f>
        <v>0</v>
      </c>
      <c r="AB112">
        <f>VLOOKUP($E112,[1]Sheet1!$E$10:$X$629,AB$9,0)</f>
        <v>0</v>
      </c>
      <c r="AC112">
        <f>VLOOKUP($E112,[1]Sheet1!$E$10:$X$629,AC$9,0)</f>
        <v>0</v>
      </c>
      <c r="AD112">
        <f>VLOOKUP($E112,[1]Sheet1!$E$10:$X$629,AD$9,0)</f>
        <v>0</v>
      </c>
      <c r="AE112">
        <f>VLOOKUP($E112,[1]Sheet1!$E$10:$X$629,AE$9,0)</f>
        <v>0</v>
      </c>
      <c r="AF112">
        <f>VLOOKUP($E112,[1]Sheet1!$E$10:$X$629,AF$9,0)</f>
        <v>0</v>
      </c>
      <c r="AG112">
        <f>VLOOKUP($E112,[1]Sheet1!$E$10:$X$629,AG$9,0)</f>
        <v>0</v>
      </c>
      <c r="AH112">
        <f>VLOOKUP($E112,[1]Sheet1!$E$10:$X$629,AH$9,0)</f>
        <v>0</v>
      </c>
      <c r="AJ112">
        <f t="shared" si="4"/>
        <v>0</v>
      </c>
      <c r="AK112">
        <f t="shared" si="5"/>
        <v>0</v>
      </c>
      <c r="AL112">
        <f t="shared" si="6"/>
        <v>0</v>
      </c>
    </row>
    <row r="113" spans="1:38" ht="39.6" x14ac:dyDescent="0.3">
      <c r="A113" s="4" t="s">
        <v>349</v>
      </c>
      <c r="B113" s="5" t="s">
        <v>350</v>
      </c>
      <c r="C113" s="21" t="s">
        <v>338</v>
      </c>
      <c r="D113" s="20"/>
      <c r="E113" s="4">
        <v>1000166</v>
      </c>
      <c r="F113" s="4" t="s">
        <v>44</v>
      </c>
      <c r="G113" s="4" t="s">
        <v>45</v>
      </c>
      <c r="H113" s="4"/>
      <c r="I113" s="4" t="s">
        <v>46</v>
      </c>
      <c r="J113" s="4" t="s">
        <v>47</v>
      </c>
      <c r="K113" s="4">
        <v>8</v>
      </c>
      <c r="L113" s="4">
        <v>3.99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Z113" t="e">
        <f>VLOOKUP(E113,Sheet2!$A$1:$A$39,1,0)</f>
        <v>#N/A</v>
      </c>
      <c r="AA113">
        <f>VLOOKUP($E113,[1]Sheet1!$E$10:$X$629,AA$9,0)</f>
        <v>0</v>
      </c>
      <c r="AB113">
        <f>VLOOKUP($E113,[1]Sheet1!$E$10:$X$629,AB$9,0)</f>
        <v>0</v>
      </c>
      <c r="AC113">
        <f>VLOOKUP($E113,[1]Sheet1!$E$10:$X$629,AC$9,0)</f>
        <v>0</v>
      </c>
      <c r="AD113">
        <f>VLOOKUP($E113,[1]Sheet1!$E$10:$X$629,AD$9,0)</f>
        <v>0</v>
      </c>
      <c r="AE113">
        <f>VLOOKUP($E113,[1]Sheet1!$E$10:$X$629,AE$9,0)</f>
        <v>0</v>
      </c>
      <c r="AF113">
        <f>VLOOKUP($E113,[1]Sheet1!$E$10:$X$629,AF$9,0)</f>
        <v>0</v>
      </c>
      <c r="AG113">
        <f>VLOOKUP($E113,[1]Sheet1!$E$10:$X$629,AG$9,0)</f>
        <v>0</v>
      </c>
      <c r="AH113">
        <f>VLOOKUP($E113,[1]Sheet1!$E$10:$X$629,AH$9,0)</f>
        <v>0</v>
      </c>
      <c r="AJ113">
        <f t="shared" si="4"/>
        <v>0</v>
      </c>
      <c r="AK113">
        <f t="shared" si="5"/>
        <v>0</v>
      </c>
      <c r="AL113">
        <f t="shared" si="6"/>
        <v>0</v>
      </c>
    </row>
    <row r="114" spans="1:38" ht="39.6" x14ac:dyDescent="0.3">
      <c r="A114" s="4" t="s">
        <v>351</v>
      </c>
      <c r="B114" s="5" t="s">
        <v>352</v>
      </c>
      <c r="C114" s="21" t="s">
        <v>338</v>
      </c>
      <c r="D114" s="20"/>
      <c r="E114" s="4">
        <v>1000175</v>
      </c>
      <c r="F114" s="4" t="s">
        <v>44</v>
      </c>
      <c r="G114" s="4" t="s">
        <v>45</v>
      </c>
      <c r="H114" s="4"/>
      <c r="I114" s="4" t="s">
        <v>46</v>
      </c>
      <c r="J114" s="4" t="s">
        <v>47</v>
      </c>
      <c r="K114" s="4">
        <v>8</v>
      </c>
      <c r="L114" s="4">
        <v>3.99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Z114" t="e">
        <f>VLOOKUP(E114,Sheet2!$A$1:$A$39,1,0)</f>
        <v>#N/A</v>
      </c>
      <c r="AA114">
        <f>VLOOKUP($E114,[1]Sheet1!$E$10:$X$629,AA$9,0)</f>
        <v>0</v>
      </c>
      <c r="AB114">
        <f>VLOOKUP($E114,[1]Sheet1!$E$10:$X$629,AB$9,0)</f>
        <v>0</v>
      </c>
      <c r="AC114">
        <f>VLOOKUP($E114,[1]Sheet1!$E$10:$X$629,AC$9,0)</f>
        <v>0</v>
      </c>
      <c r="AD114">
        <f>VLOOKUP($E114,[1]Sheet1!$E$10:$X$629,AD$9,0)</f>
        <v>0</v>
      </c>
      <c r="AE114">
        <f>VLOOKUP($E114,[1]Sheet1!$E$10:$X$629,AE$9,0)</f>
        <v>0</v>
      </c>
      <c r="AF114">
        <f>VLOOKUP($E114,[1]Sheet1!$E$10:$X$629,AF$9,0)</f>
        <v>0</v>
      </c>
      <c r="AG114">
        <f>VLOOKUP($E114,[1]Sheet1!$E$10:$X$629,AG$9,0)</f>
        <v>0</v>
      </c>
      <c r="AH114">
        <f>VLOOKUP($E114,[1]Sheet1!$E$10:$X$629,AH$9,0)</f>
        <v>0</v>
      </c>
      <c r="AJ114">
        <f t="shared" si="4"/>
        <v>0</v>
      </c>
      <c r="AK114">
        <f t="shared" si="5"/>
        <v>0</v>
      </c>
      <c r="AL114">
        <f t="shared" si="6"/>
        <v>0</v>
      </c>
    </row>
    <row r="115" spans="1:38" ht="39.6" x14ac:dyDescent="0.3">
      <c r="A115" s="4" t="s">
        <v>353</v>
      </c>
      <c r="B115" s="5" t="s">
        <v>354</v>
      </c>
      <c r="C115" s="21" t="s">
        <v>338</v>
      </c>
      <c r="D115" s="20"/>
      <c r="E115" s="4">
        <v>1000159</v>
      </c>
      <c r="F115" s="4" t="s">
        <v>44</v>
      </c>
      <c r="G115" s="4" t="s">
        <v>45</v>
      </c>
      <c r="H115" s="4"/>
      <c r="I115" s="4" t="s">
        <v>46</v>
      </c>
      <c r="J115" s="4" t="s">
        <v>47</v>
      </c>
      <c r="K115" s="4">
        <v>8</v>
      </c>
      <c r="L115" s="4">
        <v>3.99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Z115" t="e">
        <f>VLOOKUP(E115,Sheet2!$A$1:$A$39,1,0)</f>
        <v>#N/A</v>
      </c>
      <c r="AA115">
        <f>VLOOKUP($E115,[1]Sheet1!$E$10:$X$629,AA$9,0)</f>
        <v>0</v>
      </c>
      <c r="AB115">
        <f>VLOOKUP($E115,[1]Sheet1!$E$10:$X$629,AB$9,0)</f>
        <v>0</v>
      </c>
      <c r="AC115">
        <f>VLOOKUP($E115,[1]Sheet1!$E$10:$X$629,AC$9,0)</f>
        <v>0</v>
      </c>
      <c r="AD115">
        <f>VLOOKUP($E115,[1]Sheet1!$E$10:$X$629,AD$9,0)</f>
        <v>0</v>
      </c>
      <c r="AE115">
        <f>VLOOKUP($E115,[1]Sheet1!$E$10:$X$629,AE$9,0)</f>
        <v>0</v>
      </c>
      <c r="AF115">
        <f>VLOOKUP($E115,[1]Sheet1!$E$10:$X$629,AF$9,0)</f>
        <v>0</v>
      </c>
      <c r="AG115">
        <f>VLOOKUP($E115,[1]Sheet1!$E$10:$X$629,AG$9,0)</f>
        <v>0</v>
      </c>
      <c r="AH115">
        <f>VLOOKUP($E115,[1]Sheet1!$E$10:$X$629,AH$9,0)</f>
        <v>0</v>
      </c>
      <c r="AJ115">
        <f t="shared" si="4"/>
        <v>0</v>
      </c>
      <c r="AK115">
        <f t="shared" si="5"/>
        <v>0</v>
      </c>
      <c r="AL115">
        <f t="shared" si="6"/>
        <v>0</v>
      </c>
    </row>
    <row r="116" spans="1:38" ht="39.6" x14ac:dyDescent="0.3">
      <c r="A116" s="4" t="s">
        <v>355</v>
      </c>
      <c r="B116" s="5" t="s">
        <v>356</v>
      </c>
      <c r="C116" s="21" t="s">
        <v>338</v>
      </c>
      <c r="D116" s="20"/>
      <c r="E116" s="4">
        <v>1000182</v>
      </c>
      <c r="F116" s="4" t="s">
        <v>44</v>
      </c>
      <c r="G116" s="4" t="s">
        <v>45</v>
      </c>
      <c r="H116" s="4"/>
      <c r="I116" s="4" t="s">
        <v>46</v>
      </c>
      <c r="J116" s="4" t="s">
        <v>47</v>
      </c>
      <c r="K116" s="4">
        <v>8</v>
      </c>
      <c r="L116" s="4">
        <v>3.99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Z116" t="e">
        <f>VLOOKUP(E116,Sheet2!$A$1:$A$39,1,0)</f>
        <v>#N/A</v>
      </c>
      <c r="AA116">
        <f>VLOOKUP($E116,[1]Sheet1!$E$10:$X$629,AA$9,0)</f>
        <v>0</v>
      </c>
      <c r="AB116">
        <f>VLOOKUP($E116,[1]Sheet1!$E$10:$X$629,AB$9,0)</f>
        <v>0</v>
      </c>
      <c r="AC116">
        <f>VLOOKUP($E116,[1]Sheet1!$E$10:$X$629,AC$9,0)</f>
        <v>0</v>
      </c>
      <c r="AD116">
        <f>VLOOKUP($E116,[1]Sheet1!$E$10:$X$629,AD$9,0)</f>
        <v>0</v>
      </c>
      <c r="AE116">
        <f>VLOOKUP($E116,[1]Sheet1!$E$10:$X$629,AE$9,0)</f>
        <v>0</v>
      </c>
      <c r="AF116">
        <f>VLOOKUP($E116,[1]Sheet1!$E$10:$X$629,AF$9,0)</f>
        <v>0</v>
      </c>
      <c r="AG116">
        <f>VLOOKUP($E116,[1]Sheet1!$E$10:$X$629,AG$9,0)</f>
        <v>0</v>
      </c>
      <c r="AH116">
        <f>VLOOKUP($E116,[1]Sheet1!$E$10:$X$629,AH$9,0)</f>
        <v>0</v>
      </c>
      <c r="AJ116">
        <f t="shared" si="4"/>
        <v>0</v>
      </c>
      <c r="AK116">
        <f t="shared" si="5"/>
        <v>0</v>
      </c>
      <c r="AL116">
        <f t="shared" si="6"/>
        <v>0</v>
      </c>
    </row>
    <row r="117" spans="1:38" ht="39.6" x14ac:dyDescent="0.3">
      <c r="A117" s="4" t="s">
        <v>357</v>
      </c>
      <c r="B117" s="5" t="s">
        <v>358</v>
      </c>
      <c r="C117" s="21" t="s">
        <v>338</v>
      </c>
      <c r="D117" s="20"/>
      <c r="E117" s="4">
        <v>1000168</v>
      </c>
      <c r="F117" s="4" t="s">
        <v>44</v>
      </c>
      <c r="G117" s="4" t="s">
        <v>45</v>
      </c>
      <c r="H117" s="4"/>
      <c r="I117" s="4" t="s">
        <v>46</v>
      </c>
      <c r="J117" s="4" t="s">
        <v>47</v>
      </c>
      <c r="K117" s="4">
        <v>8</v>
      </c>
      <c r="L117" s="4">
        <v>3.99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Z117" t="e">
        <f>VLOOKUP(E117,Sheet2!$A$1:$A$39,1,0)</f>
        <v>#N/A</v>
      </c>
      <c r="AA117">
        <f>VLOOKUP($E117,[1]Sheet1!$E$10:$X$629,AA$9,0)</f>
        <v>0</v>
      </c>
      <c r="AB117">
        <f>VLOOKUP($E117,[1]Sheet1!$E$10:$X$629,AB$9,0)</f>
        <v>0</v>
      </c>
      <c r="AC117">
        <f>VLOOKUP($E117,[1]Sheet1!$E$10:$X$629,AC$9,0)</f>
        <v>0</v>
      </c>
      <c r="AD117">
        <f>VLOOKUP($E117,[1]Sheet1!$E$10:$X$629,AD$9,0)</f>
        <v>0</v>
      </c>
      <c r="AE117">
        <f>VLOOKUP($E117,[1]Sheet1!$E$10:$X$629,AE$9,0)</f>
        <v>0</v>
      </c>
      <c r="AF117">
        <f>VLOOKUP($E117,[1]Sheet1!$E$10:$X$629,AF$9,0)</f>
        <v>0</v>
      </c>
      <c r="AG117">
        <f>VLOOKUP($E117,[1]Sheet1!$E$10:$X$629,AG$9,0)</f>
        <v>0</v>
      </c>
      <c r="AH117">
        <f>VLOOKUP($E117,[1]Sheet1!$E$10:$X$629,AH$9,0)</f>
        <v>0</v>
      </c>
      <c r="AJ117">
        <f t="shared" si="4"/>
        <v>0</v>
      </c>
      <c r="AK117">
        <f t="shared" si="5"/>
        <v>0</v>
      </c>
      <c r="AL117">
        <f t="shared" si="6"/>
        <v>0</v>
      </c>
    </row>
    <row r="118" spans="1:38" ht="39.6" x14ac:dyDescent="0.3">
      <c r="A118" s="4" t="s">
        <v>359</v>
      </c>
      <c r="B118" s="5" t="s">
        <v>360</v>
      </c>
      <c r="C118" s="21" t="s">
        <v>338</v>
      </c>
      <c r="D118" s="20"/>
      <c r="E118" s="4">
        <v>1000183</v>
      </c>
      <c r="F118" s="4" t="s">
        <v>44</v>
      </c>
      <c r="G118" s="4" t="s">
        <v>45</v>
      </c>
      <c r="H118" s="4"/>
      <c r="I118" s="4" t="s">
        <v>46</v>
      </c>
      <c r="J118" s="4" t="s">
        <v>47</v>
      </c>
      <c r="K118" s="4">
        <v>8</v>
      </c>
      <c r="L118" s="4">
        <v>3.99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Z118" t="e">
        <f>VLOOKUP(E118,Sheet2!$A$1:$A$39,1,0)</f>
        <v>#N/A</v>
      </c>
      <c r="AA118">
        <f>VLOOKUP($E118,[1]Sheet1!$E$10:$X$629,AA$9,0)</f>
        <v>0</v>
      </c>
      <c r="AB118">
        <f>VLOOKUP($E118,[1]Sheet1!$E$10:$X$629,AB$9,0)</f>
        <v>0</v>
      </c>
      <c r="AC118">
        <f>VLOOKUP($E118,[1]Sheet1!$E$10:$X$629,AC$9,0)</f>
        <v>0</v>
      </c>
      <c r="AD118">
        <f>VLOOKUP($E118,[1]Sheet1!$E$10:$X$629,AD$9,0)</f>
        <v>0</v>
      </c>
      <c r="AE118">
        <f>VLOOKUP($E118,[1]Sheet1!$E$10:$X$629,AE$9,0)</f>
        <v>0</v>
      </c>
      <c r="AF118">
        <f>VLOOKUP($E118,[1]Sheet1!$E$10:$X$629,AF$9,0)</f>
        <v>0</v>
      </c>
      <c r="AG118">
        <f>VLOOKUP($E118,[1]Sheet1!$E$10:$X$629,AG$9,0)</f>
        <v>0</v>
      </c>
      <c r="AH118">
        <f>VLOOKUP($E118,[1]Sheet1!$E$10:$X$629,AH$9,0)</f>
        <v>0</v>
      </c>
      <c r="AJ118">
        <f t="shared" si="4"/>
        <v>0</v>
      </c>
      <c r="AK118">
        <f t="shared" si="5"/>
        <v>0</v>
      </c>
      <c r="AL118">
        <f t="shared" si="6"/>
        <v>0</v>
      </c>
    </row>
    <row r="119" spans="1:38" ht="39.6" x14ac:dyDescent="0.3">
      <c r="A119" s="4" t="s">
        <v>361</v>
      </c>
      <c r="B119" s="5" t="s">
        <v>362</v>
      </c>
      <c r="C119" s="21" t="s">
        <v>338</v>
      </c>
      <c r="D119" s="20"/>
      <c r="E119" s="4">
        <v>1000157</v>
      </c>
      <c r="F119" s="4" t="s">
        <v>44</v>
      </c>
      <c r="G119" s="4" t="s">
        <v>45</v>
      </c>
      <c r="H119" s="4"/>
      <c r="I119" s="4" t="s">
        <v>46</v>
      </c>
      <c r="J119" s="4" t="s">
        <v>47</v>
      </c>
      <c r="K119" s="4">
        <v>8</v>
      </c>
      <c r="L119" s="4">
        <v>3.99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Z119" t="e">
        <f>VLOOKUP(E119,Sheet2!$A$1:$A$39,1,0)</f>
        <v>#N/A</v>
      </c>
      <c r="AA119">
        <f>VLOOKUP($E119,[1]Sheet1!$E$10:$X$629,AA$9,0)</f>
        <v>0</v>
      </c>
      <c r="AB119">
        <f>VLOOKUP($E119,[1]Sheet1!$E$10:$X$629,AB$9,0)</f>
        <v>0</v>
      </c>
      <c r="AC119">
        <f>VLOOKUP($E119,[1]Sheet1!$E$10:$X$629,AC$9,0)</f>
        <v>0</v>
      </c>
      <c r="AD119">
        <f>VLOOKUP($E119,[1]Sheet1!$E$10:$X$629,AD$9,0)</f>
        <v>0</v>
      </c>
      <c r="AE119">
        <f>VLOOKUP($E119,[1]Sheet1!$E$10:$X$629,AE$9,0)</f>
        <v>0</v>
      </c>
      <c r="AF119">
        <f>VLOOKUP($E119,[1]Sheet1!$E$10:$X$629,AF$9,0)</f>
        <v>0</v>
      </c>
      <c r="AG119">
        <f>VLOOKUP($E119,[1]Sheet1!$E$10:$X$629,AG$9,0)</f>
        <v>0</v>
      </c>
      <c r="AH119">
        <f>VLOOKUP($E119,[1]Sheet1!$E$10:$X$629,AH$9,0)</f>
        <v>0</v>
      </c>
      <c r="AJ119">
        <f t="shared" si="4"/>
        <v>0</v>
      </c>
      <c r="AK119">
        <f t="shared" si="5"/>
        <v>0</v>
      </c>
      <c r="AL119">
        <f t="shared" si="6"/>
        <v>0</v>
      </c>
    </row>
    <row r="120" spans="1:38" ht="39.6" x14ac:dyDescent="0.3">
      <c r="A120" s="4" t="s">
        <v>363</v>
      </c>
      <c r="B120" s="5" t="s">
        <v>364</v>
      </c>
      <c r="C120" s="21" t="s">
        <v>338</v>
      </c>
      <c r="D120" s="20"/>
      <c r="E120" s="4">
        <v>1000172</v>
      </c>
      <c r="F120" s="4" t="s">
        <v>44</v>
      </c>
      <c r="G120" s="4" t="s">
        <v>45</v>
      </c>
      <c r="H120" s="4"/>
      <c r="I120" s="4" t="s">
        <v>46</v>
      </c>
      <c r="J120" s="4" t="s">
        <v>47</v>
      </c>
      <c r="K120" s="4">
        <v>8</v>
      </c>
      <c r="L120" s="4">
        <v>3.99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Z120" t="e">
        <f>VLOOKUP(E120,Sheet2!$A$1:$A$39,1,0)</f>
        <v>#N/A</v>
      </c>
      <c r="AA120">
        <f>VLOOKUP($E120,[1]Sheet1!$E$10:$X$629,AA$9,0)</f>
        <v>0</v>
      </c>
      <c r="AB120">
        <f>VLOOKUP($E120,[1]Sheet1!$E$10:$X$629,AB$9,0)</f>
        <v>0</v>
      </c>
      <c r="AC120">
        <f>VLOOKUP($E120,[1]Sheet1!$E$10:$X$629,AC$9,0)</f>
        <v>0</v>
      </c>
      <c r="AD120">
        <f>VLOOKUP($E120,[1]Sheet1!$E$10:$X$629,AD$9,0)</f>
        <v>0</v>
      </c>
      <c r="AE120">
        <f>VLOOKUP($E120,[1]Sheet1!$E$10:$X$629,AE$9,0)</f>
        <v>0</v>
      </c>
      <c r="AF120">
        <f>VLOOKUP($E120,[1]Sheet1!$E$10:$X$629,AF$9,0)</f>
        <v>0</v>
      </c>
      <c r="AG120">
        <f>VLOOKUP($E120,[1]Sheet1!$E$10:$X$629,AG$9,0)</f>
        <v>0</v>
      </c>
      <c r="AH120">
        <f>VLOOKUP($E120,[1]Sheet1!$E$10:$X$629,AH$9,0)</f>
        <v>0</v>
      </c>
      <c r="AJ120">
        <f t="shared" si="4"/>
        <v>0</v>
      </c>
      <c r="AK120">
        <f t="shared" si="5"/>
        <v>0</v>
      </c>
      <c r="AL120">
        <f t="shared" si="6"/>
        <v>0</v>
      </c>
    </row>
    <row r="121" spans="1:38" ht="39.6" x14ac:dyDescent="0.3">
      <c r="A121" s="4" t="s">
        <v>365</v>
      </c>
      <c r="B121" s="5" t="s">
        <v>366</v>
      </c>
      <c r="C121" s="21" t="s">
        <v>338</v>
      </c>
      <c r="D121" s="20"/>
      <c r="E121" s="4">
        <v>1000174</v>
      </c>
      <c r="F121" s="4" t="s">
        <v>44</v>
      </c>
      <c r="G121" s="4" t="s">
        <v>45</v>
      </c>
      <c r="H121" s="4"/>
      <c r="I121" s="4" t="s">
        <v>46</v>
      </c>
      <c r="J121" s="4" t="s">
        <v>47</v>
      </c>
      <c r="K121" s="4">
        <v>8</v>
      </c>
      <c r="L121" s="4">
        <v>3.99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Z121" t="e">
        <f>VLOOKUP(E121,Sheet2!$A$1:$A$39,1,0)</f>
        <v>#N/A</v>
      </c>
      <c r="AA121">
        <f>VLOOKUP($E121,[1]Sheet1!$E$10:$X$629,AA$9,0)</f>
        <v>0</v>
      </c>
      <c r="AB121">
        <f>VLOOKUP($E121,[1]Sheet1!$E$10:$X$629,AB$9,0)</f>
        <v>0</v>
      </c>
      <c r="AC121">
        <f>VLOOKUP($E121,[1]Sheet1!$E$10:$X$629,AC$9,0)</f>
        <v>0</v>
      </c>
      <c r="AD121">
        <f>VLOOKUP($E121,[1]Sheet1!$E$10:$X$629,AD$9,0)</f>
        <v>0</v>
      </c>
      <c r="AE121">
        <f>VLOOKUP($E121,[1]Sheet1!$E$10:$X$629,AE$9,0)</f>
        <v>0</v>
      </c>
      <c r="AF121">
        <f>VLOOKUP($E121,[1]Sheet1!$E$10:$X$629,AF$9,0)</f>
        <v>0</v>
      </c>
      <c r="AG121">
        <f>VLOOKUP($E121,[1]Sheet1!$E$10:$X$629,AG$9,0)</f>
        <v>0</v>
      </c>
      <c r="AH121">
        <f>VLOOKUP($E121,[1]Sheet1!$E$10:$X$629,AH$9,0)</f>
        <v>0</v>
      </c>
      <c r="AJ121">
        <f t="shared" si="4"/>
        <v>0</v>
      </c>
      <c r="AK121">
        <f t="shared" si="5"/>
        <v>0</v>
      </c>
      <c r="AL121">
        <f t="shared" si="6"/>
        <v>0</v>
      </c>
    </row>
    <row r="122" spans="1:38" ht="39.6" x14ac:dyDescent="0.3">
      <c r="A122" s="4" t="s">
        <v>367</v>
      </c>
      <c r="B122" s="5" t="s">
        <v>368</v>
      </c>
      <c r="C122" s="21" t="s">
        <v>338</v>
      </c>
      <c r="D122" s="20"/>
      <c r="E122" s="4">
        <v>1000165</v>
      </c>
      <c r="F122" s="4" t="s">
        <v>44</v>
      </c>
      <c r="G122" s="4" t="s">
        <v>45</v>
      </c>
      <c r="H122" s="4"/>
      <c r="I122" s="4" t="s">
        <v>46</v>
      </c>
      <c r="J122" s="4" t="s">
        <v>47</v>
      </c>
      <c r="K122" s="4">
        <v>8</v>
      </c>
      <c r="L122" s="4">
        <v>3.99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Z122" t="e">
        <f>VLOOKUP(E122,Sheet2!$A$1:$A$39,1,0)</f>
        <v>#N/A</v>
      </c>
      <c r="AA122">
        <f>VLOOKUP($E122,[1]Sheet1!$E$10:$X$629,AA$9,0)</f>
        <v>0</v>
      </c>
      <c r="AB122">
        <f>VLOOKUP($E122,[1]Sheet1!$E$10:$X$629,AB$9,0)</f>
        <v>0</v>
      </c>
      <c r="AC122">
        <f>VLOOKUP($E122,[1]Sheet1!$E$10:$X$629,AC$9,0)</f>
        <v>0</v>
      </c>
      <c r="AD122">
        <f>VLOOKUP($E122,[1]Sheet1!$E$10:$X$629,AD$9,0)</f>
        <v>0</v>
      </c>
      <c r="AE122">
        <f>VLOOKUP($E122,[1]Sheet1!$E$10:$X$629,AE$9,0)</f>
        <v>0</v>
      </c>
      <c r="AF122">
        <f>VLOOKUP($E122,[1]Sheet1!$E$10:$X$629,AF$9,0)</f>
        <v>0</v>
      </c>
      <c r="AG122">
        <f>VLOOKUP($E122,[1]Sheet1!$E$10:$X$629,AG$9,0)</f>
        <v>0</v>
      </c>
      <c r="AH122">
        <f>VLOOKUP($E122,[1]Sheet1!$E$10:$X$629,AH$9,0)</f>
        <v>0</v>
      </c>
      <c r="AJ122">
        <f t="shared" si="4"/>
        <v>0</v>
      </c>
      <c r="AK122">
        <f t="shared" si="5"/>
        <v>0</v>
      </c>
      <c r="AL122">
        <f t="shared" si="6"/>
        <v>0</v>
      </c>
    </row>
    <row r="123" spans="1:38" ht="39.6" x14ac:dyDescent="0.3">
      <c r="A123" s="4" t="s">
        <v>369</v>
      </c>
      <c r="B123" s="5" t="s">
        <v>370</v>
      </c>
      <c r="C123" s="21" t="s">
        <v>338</v>
      </c>
      <c r="D123" s="20"/>
      <c r="E123" s="4">
        <v>1000170</v>
      </c>
      <c r="F123" s="4" t="s">
        <v>44</v>
      </c>
      <c r="G123" s="4" t="s">
        <v>45</v>
      </c>
      <c r="H123" s="4"/>
      <c r="I123" s="4" t="s">
        <v>46</v>
      </c>
      <c r="J123" s="4" t="s">
        <v>47</v>
      </c>
      <c r="K123" s="4">
        <v>8</v>
      </c>
      <c r="L123" s="4">
        <v>3.99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Z123" t="e">
        <f>VLOOKUP(E123,Sheet2!$A$1:$A$39,1,0)</f>
        <v>#N/A</v>
      </c>
      <c r="AA123">
        <f>VLOOKUP($E123,[1]Sheet1!$E$10:$X$629,AA$9,0)</f>
        <v>0</v>
      </c>
      <c r="AB123">
        <f>VLOOKUP($E123,[1]Sheet1!$E$10:$X$629,AB$9,0)</f>
        <v>0</v>
      </c>
      <c r="AC123">
        <f>VLOOKUP($E123,[1]Sheet1!$E$10:$X$629,AC$9,0)</f>
        <v>0</v>
      </c>
      <c r="AD123">
        <f>VLOOKUP($E123,[1]Sheet1!$E$10:$X$629,AD$9,0)</f>
        <v>0</v>
      </c>
      <c r="AE123">
        <f>VLOOKUP($E123,[1]Sheet1!$E$10:$X$629,AE$9,0)</f>
        <v>0</v>
      </c>
      <c r="AF123">
        <f>VLOOKUP($E123,[1]Sheet1!$E$10:$X$629,AF$9,0)</f>
        <v>0</v>
      </c>
      <c r="AG123">
        <f>VLOOKUP($E123,[1]Sheet1!$E$10:$X$629,AG$9,0)</f>
        <v>0</v>
      </c>
      <c r="AH123">
        <f>VLOOKUP($E123,[1]Sheet1!$E$10:$X$629,AH$9,0)</f>
        <v>0</v>
      </c>
      <c r="AJ123">
        <f t="shared" si="4"/>
        <v>0</v>
      </c>
      <c r="AK123">
        <f t="shared" si="5"/>
        <v>0</v>
      </c>
      <c r="AL123">
        <f t="shared" si="6"/>
        <v>0</v>
      </c>
    </row>
    <row r="124" spans="1:38" ht="39.6" x14ac:dyDescent="0.3">
      <c r="A124" s="4" t="s">
        <v>371</v>
      </c>
      <c r="B124" s="5" t="s">
        <v>372</v>
      </c>
      <c r="C124" s="21" t="s">
        <v>338</v>
      </c>
      <c r="D124" s="20"/>
      <c r="E124" s="4">
        <v>1000169</v>
      </c>
      <c r="F124" s="4" t="s">
        <v>44</v>
      </c>
      <c r="G124" s="4" t="s">
        <v>45</v>
      </c>
      <c r="H124" s="4"/>
      <c r="I124" s="4" t="s">
        <v>46</v>
      </c>
      <c r="J124" s="4" t="s">
        <v>47</v>
      </c>
      <c r="K124" s="4">
        <v>8</v>
      </c>
      <c r="L124" s="4">
        <v>3.99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Z124" t="e">
        <f>VLOOKUP(E124,Sheet2!$A$1:$A$39,1,0)</f>
        <v>#N/A</v>
      </c>
      <c r="AA124">
        <f>VLOOKUP($E124,[1]Sheet1!$E$10:$X$629,AA$9,0)</f>
        <v>0</v>
      </c>
      <c r="AB124">
        <f>VLOOKUP($E124,[1]Sheet1!$E$10:$X$629,AB$9,0)</f>
        <v>0</v>
      </c>
      <c r="AC124">
        <f>VLOOKUP($E124,[1]Sheet1!$E$10:$X$629,AC$9,0)</f>
        <v>0</v>
      </c>
      <c r="AD124">
        <f>VLOOKUP($E124,[1]Sheet1!$E$10:$X$629,AD$9,0)</f>
        <v>0</v>
      </c>
      <c r="AE124">
        <f>VLOOKUP($E124,[1]Sheet1!$E$10:$X$629,AE$9,0)</f>
        <v>0</v>
      </c>
      <c r="AF124">
        <f>VLOOKUP($E124,[1]Sheet1!$E$10:$X$629,AF$9,0)</f>
        <v>0</v>
      </c>
      <c r="AG124">
        <f>VLOOKUP($E124,[1]Sheet1!$E$10:$X$629,AG$9,0)</f>
        <v>0</v>
      </c>
      <c r="AH124">
        <f>VLOOKUP($E124,[1]Sheet1!$E$10:$X$629,AH$9,0)</f>
        <v>0</v>
      </c>
      <c r="AJ124">
        <f t="shared" si="4"/>
        <v>0</v>
      </c>
      <c r="AK124">
        <f t="shared" si="5"/>
        <v>0</v>
      </c>
      <c r="AL124">
        <f t="shared" si="6"/>
        <v>0</v>
      </c>
    </row>
    <row r="125" spans="1:38" ht="39.6" x14ac:dyDescent="0.3">
      <c r="A125" s="4" t="s">
        <v>373</v>
      </c>
      <c r="B125" s="5" t="s">
        <v>374</v>
      </c>
      <c r="C125" s="21" t="s">
        <v>338</v>
      </c>
      <c r="D125" s="20"/>
      <c r="E125" s="4">
        <v>1000164</v>
      </c>
      <c r="F125" s="4" t="s">
        <v>44</v>
      </c>
      <c r="G125" s="4" t="s">
        <v>45</v>
      </c>
      <c r="H125" s="4"/>
      <c r="I125" s="4" t="s">
        <v>46</v>
      </c>
      <c r="J125" s="4" t="s">
        <v>47</v>
      </c>
      <c r="K125" s="4">
        <v>8</v>
      </c>
      <c r="L125" s="4">
        <v>3.99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Z125" t="e">
        <f>VLOOKUP(E125,Sheet2!$A$1:$A$39,1,0)</f>
        <v>#N/A</v>
      </c>
      <c r="AA125">
        <f>VLOOKUP($E125,[1]Sheet1!$E$10:$X$629,AA$9,0)</f>
        <v>0</v>
      </c>
      <c r="AB125">
        <f>VLOOKUP($E125,[1]Sheet1!$E$10:$X$629,AB$9,0)</f>
        <v>0</v>
      </c>
      <c r="AC125">
        <f>VLOOKUP($E125,[1]Sheet1!$E$10:$X$629,AC$9,0)</f>
        <v>0</v>
      </c>
      <c r="AD125">
        <f>VLOOKUP($E125,[1]Sheet1!$E$10:$X$629,AD$9,0)</f>
        <v>0</v>
      </c>
      <c r="AE125">
        <f>VLOOKUP($E125,[1]Sheet1!$E$10:$X$629,AE$9,0)</f>
        <v>0</v>
      </c>
      <c r="AF125">
        <f>VLOOKUP($E125,[1]Sheet1!$E$10:$X$629,AF$9,0)</f>
        <v>0</v>
      </c>
      <c r="AG125">
        <f>VLOOKUP($E125,[1]Sheet1!$E$10:$X$629,AG$9,0)</f>
        <v>0</v>
      </c>
      <c r="AH125">
        <f>VLOOKUP($E125,[1]Sheet1!$E$10:$X$629,AH$9,0)</f>
        <v>0</v>
      </c>
      <c r="AJ125">
        <f t="shared" si="4"/>
        <v>0</v>
      </c>
      <c r="AK125">
        <f t="shared" si="5"/>
        <v>0</v>
      </c>
      <c r="AL125">
        <f t="shared" si="6"/>
        <v>0</v>
      </c>
    </row>
    <row r="126" spans="1:38" ht="39.6" x14ac:dyDescent="0.3">
      <c r="A126" s="4" t="s">
        <v>375</v>
      </c>
      <c r="B126" s="5" t="s">
        <v>376</v>
      </c>
      <c r="C126" s="21" t="s">
        <v>338</v>
      </c>
      <c r="D126" s="20"/>
      <c r="E126" s="4">
        <v>1000179</v>
      </c>
      <c r="F126" s="4" t="s">
        <v>44</v>
      </c>
      <c r="G126" s="4" t="s">
        <v>45</v>
      </c>
      <c r="H126" s="4"/>
      <c r="I126" s="4" t="s">
        <v>46</v>
      </c>
      <c r="J126" s="4" t="s">
        <v>47</v>
      </c>
      <c r="K126" s="4">
        <v>8</v>
      </c>
      <c r="L126" s="4">
        <v>3.99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Z126" t="e">
        <f>VLOOKUP(E126,Sheet2!$A$1:$A$39,1,0)</f>
        <v>#N/A</v>
      </c>
      <c r="AA126">
        <f>VLOOKUP($E126,[1]Sheet1!$E$10:$X$629,AA$9,0)</f>
        <v>0</v>
      </c>
      <c r="AB126">
        <f>VLOOKUP($E126,[1]Sheet1!$E$10:$X$629,AB$9,0)</f>
        <v>0</v>
      </c>
      <c r="AC126">
        <f>VLOOKUP($E126,[1]Sheet1!$E$10:$X$629,AC$9,0)</f>
        <v>0</v>
      </c>
      <c r="AD126">
        <f>VLOOKUP($E126,[1]Sheet1!$E$10:$X$629,AD$9,0)</f>
        <v>0</v>
      </c>
      <c r="AE126">
        <f>VLOOKUP($E126,[1]Sheet1!$E$10:$X$629,AE$9,0)</f>
        <v>0</v>
      </c>
      <c r="AF126">
        <f>VLOOKUP($E126,[1]Sheet1!$E$10:$X$629,AF$9,0)</f>
        <v>0</v>
      </c>
      <c r="AG126">
        <f>VLOOKUP($E126,[1]Sheet1!$E$10:$X$629,AG$9,0)</f>
        <v>0</v>
      </c>
      <c r="AH126">
        <f>VLOOKUP($E126,[1]Sheet1!$E$10:$X$629,AH$9,0)</f>
        <v>0</v>
      </c>
      <c r="AJ126">
        <f t="shared" si="4"/>
        <v>0</v>
      </c>
      <c r="AK126">
        <f t="shared" si="5"/>
        <v>0</v>
      </c>
      <c r="AL126">
        <f t="shared" si="6"/>
        <v>0</v>
      </c>
    </row>
    <row r="127" spans="1:38" ht="39.6" x14ac:dyDescent="0.3">
      <c r="A127" s="4" t="s">
        <v>377</v>
      </c>
      <c r="B127" s="5" t="s">
        <v>378</v>
      </c>
      <c r="C127" s="21" t="s">
        <v>338</v>
      </c>
      <c r="D127" s="20"/>
      <c r="E127" s="4">
        <v>1000171</v>
      </c>
      <c r="F127" s="4" t="s">
        <v>44</v>
      </c>
      <c r="G127" s="4" t="s">
        <v>45</v>
      </c>
      <c r="H127" s="4"/>
      <c r="I127" s="4" t="s">
        <v>46</v>
      </c>
      <c r="J127" s="4" t="s">
        <v>47</v>
      </c>
      <c r="K127" s="4">
        <v>8</v>
      </c>
      <c r="L127" s="4">
        <v>3.99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Z127" t="e">
        <f>VLOOKUP(E127,Sheet2!$A$1:$A$39,1,0)</f>
        <v>#N/A</v>
      </c>
      <c r="AA127">
        <f>VLOOKUP($E127,[1]Sheet1!$E$10:$X$629,AA$9,0)</f>
        <v>0</v>
      </c>
      <c r="AB127">
        <f>VLOOKUP($E127,[1]Sheet1!$E$10:$X$629,AB$9,0)</f>
        <v>0</v>
      </c>
      <c r="AC127">
        <f>VLOOKUP($E127,[1]Sheet1!$E$10:$X$629,AC$9,0)</f>
        <v>0</v>
      </c>
      <c r="AD127">
        <f>VLOOKUP($E127,[1]Sheet1!$E$10:$X$629,AD$9,0)</f>
        <v>0</v>
      </c>
      <c r="AE127">
        <f>VLOOKUP($E127,[1]Sheet1!$E$10:$X$629,AE$9,0)</f>
        <v>0</v>
      </c>
      <c r="AF127">
        <f>VLOOKUP($E127,[1]Sheet1!$E$10:$X$629,AF$9,0)</f>
        <v>0</v>
      </c>
      <c r="AG127">
        <f>VLOOKUP($E127,[1]Sheet1!$E$10:$X$629,AG$9,0)</f>
        <v>0</v>
      </c>
      <c r="AH127">
        <f>VLOOKUP($E127,[1]Sheet1!$E$10:$X$629,AH$9,0)</f>
        <v>0</v>
      </c>
      <c r="AJ127">
        <f t="shared" si="4"/>
        <v>0</v>
      </c>
      <c r="AK127">
        <f t="shared" si="5"/>
        <v>0</v>
      </c>
      <c r="AL127">
        <f t="shared" si="6"/>
        <v>0</v>
      </c>
    </row>
    <row r="128" spans="1:38" ht="39.6" x14ac:dyDescent="0.3">
      <c r="A128" s="4" t="s">
        <v>379</v>
      </c>
      <c r="B128" s="5" t="s">
        <v>380</v>
      </c>
      <c r="C128" s="21" t="s">
        <v>338</v>
      </c>
      <c r="D128" s="20"/>
      <c r="E128" s="4">
        <v>1000180</v>
      </c>
      <c r="F128" s="4" t="s">
        <v>44</v>
      </c>
      <c r="G128" s="4" t="s">
        <v>45</v>
      </c>
      <c r="H128" s="4"/>
      <c r="I128" s="4" t="s">
        <v>46</v>
      </c>
      <c r="J128" s="4" t="s">
        <v>47</v>
      </c>
      <c r="K128" s="4">
        <v>8</v>
      </c>
      <c r="L128" s="4">
        <v>3.99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Z128" t="e">
        <f>VLOOKUP(E128,Sheet2!$A$1:$A$39,1,0)</f>
        <v>#N/A</v>
      </c>
      <c r="AA128">
        <f>VLOOKUP($E128,[1]Sheet1!$E$10:$X$629,AA$9,0)</f>
        <v>0</v>
      </c>
      <c r="AB128">
        <f>VLOOKUP($E128,[1]Sheet1!$E$10:$X$629,AB$9,0)</f>
        <v>0</v>
      </c>
      <c r="AC128">
        <f>VLOOKUP($E128,[1]Sheet1!$E$10:$X$629,AC$9,0)</f>
        <v>0</v>
      </c>
      <c r="AD128">
        <f>VLOOKUP($E128,[1]Sheet1!$E$10:$X$629,AD$9,0)</f>
        <v>0</v>
      </c>
      <c r="AE128">
        <f>VLOOKUP($E128,[1]Sheet1!$E$10:$X$629,AE$9,0)</f>
        <v>0</v>
      </c>
      <c r="AF128">
        <f>VLOOKUP($E128,[1]Sheet1!$E$10:$X$629,AF$9,0)</f>
        <v>0</v>
      </c>
      <c r="AG128">
        <f>VLOOKUP($E128,[1]Sheet1!$E$10:$X$629,AG$9,0)</f>
        <v>0</v>
      </c>
      <c r="AH128">
        <f>VLOOKUP($E128,[1]Sheet1!$E$10:$X$629,AH$9,0)</f>
        <v>0</v>
      </c>
      <c r="AJ128">
        <f t="shared" si="4"/>
        <v>0</v>
      </c>
      <c r="AK128">
        <f t="shared" si="5"/>
        <v>0</v>
      </c>
      <c r="AL128">
        <f t="shared" si="6"/>
        <v>0</v>
      </c>
    </row>
    <row r="129" spans="1:38" ht="39.6" x14ac:dyDescent="0.3">
      <c r="A129" s="4" t="s">
        <v>381</v>
      </c>
      <c r="B129" s="5" t="s">
        <v>382</v>
      </c>
      <c r="C129" s="21" t="s">
        <v>338</v>
      </c>
      <c r="D129" s="20"/>
      <c r="E129" s="4">
        <v>1000155</v>
      </c>
      <c r="F129" s="4" t="s">
        <v>44</v>
      </c>
      <c r="G129" s="4" t="s">
        <v>45</v>
      </c>
      <c r="H129" s="4"/>
      <c r="I129" s="4" t="s">
        <v>46</v>
      </c>
      <c r="J129" s="4" t="s">
        <v>47</v>
      </c>
      <c r="K129" s="4">
        <v>8</v>
      </c>
      <c r="L129" s="4">
        <v>3.99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Z129" t="e">
        <f>VLOOKUP(E129,Sheet2!$A$1:$A$39,1,0)</f>
        <v>#N/A</v>
      </c>
      <c r="AA129">
        <f>VLOOKUP($E129,[1]Sheet1!$E$10:$X$629,AA$9,0)</f>
        <v>0</v>
      </c>
      <c r="AB129">
        <f>VLOOKUP($E129,[1]Sheet1!$E$10:$X$629,AB$9,0)</f>
        <v>0</v>
      </c>
      <c r="AC129">
        <f>VLOOKUP($E129,[1]Sheet1!$E$10:$X$629,AC$9,0)</f>
        <v>0</v>
      </c>
      <c r="AD129">
        <f>VLOOKUP($E129,[1]Sheet1!$E$10:$X$629,AD$9,0)</f>
        <v>0</v>
      </c>
      <c r="AE129">
        <f>VLOOKUP($E129,[1]Sheet1!$E$10:$X$629,AE$9,0)</f>
        <v>0</v>
      </c>
      <c r="AF129">
        <f>VLOOKUP($E129,[1]Sheet1!$E$10:$X$629,AF$9,0)</f>
        <v>0</v>
      </c>
      <c r="AG129">
        <f>VLOOKUP($E129,[1]Sheet1!$E$10:$X$629,AG$9,0)</f>
        <v>0</v>
      </c>
      <c r="AH129">
        <f>VLOOKUP($E129,[1]Sheet1!$E$10:$X$629,AH$9,0)</f>
        <v>0</v>
      </c>
      <c r="AJ129">
        <f t="shared" si="4"/>
        <v>0</v>
      </c>
      <c r="AK129">
        <f t="shared" si="5"/>
        <v>0</v>
      </c>
      <c r="AL129">
        <f t="shared" si="6"/>
        <v>0</v>
      </c>
    </row>
    <row r="130" spans="1:38" ht="39.6" x14ac:dyDescent="0.3">
      <c r="A130" s="4" t="s">
        <v>383</v>
      </c>
      <c r="B130" s="5" t="s">
        <v>384</v>
      </c>
      <c r="C130" s="21" t="s">
        <v>338</v>
      </c>
      <c r="D130" s="20"/>
      <c r="E130" s="4">
        <v>1000156</v>
      </c>
      <c r="F130" s="4" t="s">
        <v>44</v>
      </c>
      <c r="G130" s="4" t="s">
        <v>45</v>
      </c>
      <c r="H130" s="4"/>
      <c r="I130" s="4" t="s">
        <v>46</v>
      </c>
      <c r="J130" s="4" t="s">
        <v>47</v>
      </c>
      <c r="K130" s="4">
        <v>8</v>
      </c>
      <c r="L130" s="4">
        <v>3.99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Z130" t="e">
        <f>VLOOKUP(E130,Sheet2!$A$1:$A$39,1,0)</f>
        <v>#N/A</v>
      </c>
      <c r="AA130">
        <f>VLOOKUP($E130,[1]Sheet1!$E$10:$X$629,AA$9,0)</f>
        <v>0</v>
      </c>
      <c r="AB130">
        <f>VLOOKUP($E130,[1]Sheet1!$E$10:$X$629,AB$9,0)</f>
        <v>0</v>
      </c>
      <c r="AC130">
        <f>VLOOKUP($E130,[1]Sheet1!$E$10:$X$629,AC$9,0)</f>
        <v>0</v>
      </c>
      <c r="AD130">
        <f>VLOOKUP($E130,[1]Sheet1!$E$10:$X$629,AD$9,0)</f>
        <v>0</v>
      </c>
      <c r="AE130">
        <f>VLOOKUP($E130,[1]Sheet1!$E$10:$X$629,AE$9,0)</f>
        <v>0</v>
      </c>
      <c r="AF130">
        <f>VLOOKUP($E130,[1]Sheet1!$E$10:$X$629,AF$9,0)</f>
        <v>0</v>
      </c>
      <c r="AG130">
        <f>VLOOKUP($E130,[1]Sheet1!$E$10:$X$629,AG$9,0)</f>
        <v>0</v>
      </c>
      <c r="AH130">
        <f>VLOOKUP($E130,[1]Sheet1!$E$10:$X$629,AH$9,0)</f>
        <v>0</v>
      </c>
      <c r="AJ130">
        <f t="shared" si="4"/>
        <v>0</v>
      </c>
      <c r="AK130">
        <f t="shared" si="5"/>
        <v>0</v>
      </c>
      <c r="AL130">
        <f t="shared" si="6"/>
        <v>0</v>
      </c>
    </row>
    <row r="131" spans="1:38" ht="39.6" x14ac:dyDescent="0.3">
      <c r="A131" s="4" t="s">
        <v>385</v>
      </c>
      <c r="B131" s="5" t="s">
        <v>386</v>
      </c>
      <c r="C131" s="21" t="s">
        <v>338</v>
      </c>
      <c r="D131" s="20"/>
      <c r="E131" s="4">
        <v>1000163</v>
      </c>
      <c r="F131" s="4" t="s">
        <v>44</v>
      </c>
      <c r="G131" s="4" t="s">
        <v>45</v>
      </c>
      <c r="H131" s="4"/>
      <c r="I131" s="4" t="s">
        <v>46</v>
      </c>
      <c r="J131" s="4" t="s">
        <v>47</v>
      </c>
      <c r="K131" s="4">
        <v>8</v>
      </c>
      <c r="L131" s="4">
        <v>3.99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Z131" t="e">
        <f>VLOOKUP(E131,Sheet2!$A$1:$A$39,1,0)</f>
        <v>#N/A</v>
      </c>
      <c r="AA131">
        <f>VLOOKUP($E131,[1]Sheet1!$E$10:$X$629,AA$9,0)</f>
        <v>0</v>
      </c>
      <c r="AB131">
        <f>VLOOKUP($E131,[1]Sheet1!$E$10:$X$629,AB$9,0)</f>
        <v>0</v>
      </c>
      <c r="AC131">
        <f>VLOOKUP($E131,[1]Sheet1!$E$10:$X$629,AC$9,0)</f>
        <v>0</v>
      </c>
      <c r="AD131">
        <f>VLOOKUP($E131,[1]Sheet1!$E$10:$X$629,AD$9,0)</f>
        <v>0</v>
      </c>
      <c r="AE131">
        <f>VLOOKUP($E131,[1]Sheet1!$E$10:$X$629,AE$9,0)</f>
        <v>0</v>
      </c>
      <c r="AF131">
        <f>VLOOKUP($E131,[1]Sheet1!$E$10:$X$629,AF$9,0)</f>
        <v>0</v>
      </c>
      <c r="AG131">
        <f>VLOOKUP($E131,[1]Sheet1!$E$10:$X$629,AG$9,0)</f>
        <v>0</v>
      </c>
      <c r="AH131">
        <f>VLOOKUP($E131,[1]Sheet1!$E$10:$X$629,AH$9,0)</f>
        <v>0</v>
      </c>
      <c r="AJ131">
        <f t="shared" si="4"/>
        <v>0</v>
      </c>
      <c r="AK131">
        <f t="shared" si="5"/>
        <v>0</v>
      </c>
      <c r="AL131">
        <f t="shared" si="6"/>
        <v>0</v>
      </c>
    </row>
    <row r="132" spans="1:38" ht="39.6" x14ac:dyDescent="0.3">
      <c r="A132" s="4" t="s">
        <v>387</v>
      </c>
      <c r="B132" s="5" t="s">
        <v>388</v>
      </c>
      <c r="C132" s="21" t="s">
        <v>338</v>
      </c>
      <c r="D132" s="20"/>
      <c r="E132" s="4">
        <v>1000177</v>
      </c>
      <c r="F132" s="4" t="s">
        <v>44</v>
      </c>
      <c r="G132" s="4" t="s">
        <v>45</v>
      </c>
      <c r="H132" s="4"/>
      <c r="I132" s="4" t="s">
        <v>46</v>
      </c>
      <c r="J132" s="4" t="s">
        <v>47</v>
      </c>
      <c r="K132" s="4">
        <v>8</v>
      </c>
      <c r="L132" s="4">
        <v>3.99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Z132" t="e">
        <f>VLOOKUP(E132,Sheet2!$A$1:$A$39,1,0)</f>
        <v>#N/A</v>
      </c>
      <c r="AA132">
        <f>VLOOKUP($E132,[1]Sheet1!$E$10:$X$629,AA$9,0)</f>
        <v>0</v>
      </c>
      <c r="AB132">
        <f>VLOOKUP($E132,[1]Sheet1!$E$10:$X$629,AB$9,0)</f>
        <v>0</v>
      </c>
      <c r="AC132">
        <f>VLOOKUP($E132,[1]Sheet1!$E$10:$X$629,AC$9,0)</f>
        <v>0</v>
      </c>
      <c r="AD132">
        <f>VLOOKUP($E132,[1]Sheet1!$E$10:$X$629,AD$9,0)</f>
        <v>0</v>
      </c>
      <c r="AE132">
        <f>VLOOKUP($E132,[1]Sheet1!$E$10:$X$629,AE$9,0)</f>
        <v>0</v>
      </c>
      <c r="AF132">
        <f>VLOOKUP($E132,[1]Sheet1!$E$10:$X$629,AF$9,0)</f>
        <v>0</v>
      </c>
      <c r="AG132">
        <f>VLOOKUP($E132,[1]Sheet1!$E$10:$X$629,AG$9,0)</f>
        <v>0</v>
      </c>
      <c r="AH132">
        <f>VLOOKUP($E132,[1]Sheet1!$E$10:$X$629,AH$9,0)</f>
        <v>0</v>
      </c>
      <c r="AJ132">
        <f t="shared" si="4"/>
        <v>0</v>
      </c>
      <c r="AK132">
        <f t="shared" si="5"/>
        <v>0</v>
      </c>
      <c r="AL132">
        <f t="shared" si="6"/>
        <v>0</v>
      </c>
    </row>
    <row r="133" spans="1:38" ht="39.6" x14ac:dyDescent="0.3">
      <c r="A133" s="4" t="s">
        <v>389</v>
      </c>
      <c r="B133" s="5" t="s">
        <v>390</v>
      </c>
      <c r="C133" s="21" t="s">
        <v>338</v>
      </c>
      <c r="D133" s="20"/>
      <c r="E133" s="4">
        <v>1000178</v>
      </c>
      <c r="F133" s="4" t="s">
        <v>44</v>
      </c>
      <c r="G133" s="4" t="s">
        <v>45</v>
      </c>
      <c r="H133" s="4"/>
      <c r="I133" s="4" t="s">
        <v>46</v>
      </c>
      <c r="J133" s="4" t="s">
        <v>47</v>
      </c>
      <c r="K133" s="4">
        <v>8</v>
      </c>
      <c r="L133" s="4">
        <v>3.99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Z133" t="e">
        <f>VLOOKUP(E133,Sheet2!$A$1:$A$39,1,0)</f>
        <v>#N/A</v>
      </c>
      <c r="AA133">
        <f>VLOOKUP($E133,[1]Sheet1!$E$10:$X$629,AA$9,0)</f>
        <v>0</v>
      </c>
      <c r="AB133">
        <f>VLOOKUP($E133,[1]Sheet1!$E$10:$X$629,AB$9,0)</f>
        <v>0</v>
      </c>
      <c r="AC133">
        <f>VLOOKUP($E133,[1]Sheet1!$E$10:$X$629,AC$9,0)</f>
        <v>0</v>
      </c>
      <c r="AD133">
        <f>VLOOKUP($E133,[1]Sheet1!$E$10:$X$629,AD$9,0)</f>
        <v>0</v>
      </c>
      <c r="AE133">
        <f>VLOOKUP($E133,[1]Sheet1!$E$10:$X$629,AE$9,0)</f>
        <v>0</v>
      </c>
      <c r="AF133">
        <f>VLOOKUP($E133,[1]Sheet1!$E$10:$X$629,AF$9,0)</f>
        <v>0</v>
      </c>
      <c r="AG133">
        <f>VLOOKUP($E133,[1]Sheet1!$E$10:$X$629,AG$9,0)</f>
        <v>0</v>
      </c>
      <c r="AH133">
        <f>VLOOKUP($E133,[1]Sheet1!$E$10:$X$629,AH$9,0)</f>
        <v>0</v>
      </c>
      <c r="AJ133">
        <f t="shared" si="4"/>
        <v>0</v>
      </c>
      <c r="AK133">
        <f t="shared" si="5"/>
        <v>0</v>
      </c>
      <c r="AL133">
        <f t="shared" si="6"/>
        <v>0</v>
      </c>
    </row>
    <row r="134" spans="1:38" ht="39.6" x14ac:dyDescent="0.3">
      <c r="A134" s="4" t="s">
        <v>391</v>
      </c>
      <c r="B134" s="5" t="s">
        <v>392</v>
      </c>
      <c r="C134" s="21" t="s">
        <v>338</v>
      </c>
      <c r="D134" s="20"/>
      <c r="E134" s="4">
        <v>1000160</v>
      </c>
      <c r="F134" s="4" t="s">
        <v>44</v>
      </c>
      <c r="G134" s="4" t="s">
        <v>45</v>
      </c>
      <c r="H134" s="4"/>
      <c r="I134" s="4" t="s">
        <v>46</v>
      </c>
      <c r="J134" s="4" t="s">
        <v>47</v>
      </c>
      <c r="K134" s="4">
        <v>8</v>
      </c>
      <c r="L134" s="4">
        <v>3.99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Z134" t="e">
        <f>VLOOKUP(E134,Sheet2!$A$1:$A$39,1,0)</f>
        <v>#N/A</v>
      </c>
      <c r="AA134">
        <f>VLOOKUP($E134,[1]Sheet1!$E$10:$X$629,AA$9,0)</f>
        <v>0</v>
      </c>
      <c r="AB134">
        <f>VLOOKUP($E134,[1]Sheet1!$E$10:$X$629,AB$9,0)</f>
        <v>0</v>
      </c>
      <c r="AC134">
        <f>VLOOKUP($E134,[1]Sheet1!$E$10:$X$629,AC$9,0)</f>
        <v>0</v>
      </c>
      <c r="AD134">
        <f>VLOOKUP($E134,[1]Sheet1!$E$10:$X$629,AD$9,0)</f>
        <v>0</v>
      </c>
      <c r="AE134">
        <f>VLOOKUP($E134,[1]Sheet1!$E$10:$X$629,AE$9,0)</f>
        <v>0</v>
      </c>
      <c r="AF134">
        <f>VLOOKUP($E134,[1]Sheet1!$E$10:$X$629,AF$9,0)</f>
        <v>0</v>
      </c>
      <c r="AG134">
        <f>VLOOKUP($E134,[1]Sheet1!$E$10:$X$629,AG$9,0)</f>
        <v>0</v>
      </c>
      <c r="AH134">
        <f>VLOOKUP($E134,[1]Sheet1!$E$10:$X$629,AH$9,0)</f>
        <v>0</v>
      </c>
      <c r="AJ134">
        <f t="shared" si="4"/>
        <v>0</v>
      </c>
      <c r="AK134">
        <f t="shared" si="5"/>
        <v>0</v>
      </c>
      <c r="AL134">
        <f t="shared" si="6"/>
        <v>0</v>
      </c>
    </row>
    <row r="135" spans="1:38" ht="39.6" x14ac:dyDescent="0.3">
      <c r="A135" s="4" t="s">
        <v>393</v>
      </c>
      <c r="B135" s="5" t="s">
        <v>394</v>
      </c>
      <c r="C135" s="21" t="s">
        <v>338</v>
      </c>
      <c r="D135" s="20"/>
      <c r="E135" s="4">
        <v>1000181</v>
      </c>
      <c r="F135" s="4" t="s">
        <v>44</v>
      </c>
      <c r="G135" s="4" t="s">
        <v>45</v>
      </c>
      <c r="H135" s="4"/>
      <c r="I135" s="4" t="s">
        <v>46</v>
      </c>
      <c r="J135" s="4" t="s">
        <v>47</v>
      </c>
      <c r="K135" s="4">
        <v>8</v>
      </c>
      <c r="L135" s="4">
        <v>3.99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Z135" t="e">
        <f>VLOOKUP(E135,Sheet2!$A$1:$A$39,1,0)</f>
        <v>#N/A</v>
      </c>
      <c r="AA135">
        <f>VLOOKUP($E135,[1]Sheet1!$E$10:$X$629,AA$9,0)</f>
        <v>0</v>
      </c>
      <c r="AB135">
        <f>VLOOKUP($E135,[1]Sheet1!$E$10:$X$629,AB$9,0)</f>
        <v>0</v>
      </c>
      <c r="AC135">
        <f>VLOOKUP($E135,[1]Sheet1!$E$10:$X$629,AC$9,0)</f>
        <v>0</v>
      </c>
      <c r="AD135">
        <f>VLOOKUP($E135,[1]Sheet1!$E$10:$X$629,AD$9,0)</f>
        <v>0</v>
      </c>
      <c r="AE135">
        <f>VLOOKUP($E135,[1]Sheet1!$E$10:$X$629,AE$9,0)</f>
        <v>0</v>
      </c>
      <c r="AF135">
        <f>VLOOKUP($E135,[1]Sheet1!$E$10:$X$629,AF$9,0)</f>
        <v>0</v>
      </c>
      <c r="AG135">
        <f>VLOOKUP($E135,[1]Sheet1!$E$10:$X$629,AG$9,0)</f>
        <v>0</v>
      </c>
      <c r="AH135">
        <f>VLOOKUP($E135,[1]Sheet1!$E$10:$X$629,AH$9,0)</f>
        <v>0</v>
      </c>
      <c r="AJ135">
        <f t="shared" si="4"/>
        <v>0</v>
      </c>
      <c r="AK135">
        <f t="shared" si="5"/>
        <v>0</v>
      </c>
      <c r="AL135">
        <f t="shared" si="6"/>
        <v>0</v>
      </c>
    </row>
    <row r="136" spans="1:38" ht="39.6" x14ac:dyDescent="0.3">
      <c r="A136" s="4" t="s">
        <v>395</v>
      </c>
      <c r="B136" s="5" t="s">
        <v>396</v>
      </c>
      <c r="C136" s="21" t="s">
        <v>338</v>
      </c>
      <c r="D136" s="20"/>
      <c r="E136" s="4">
        <v>1000153</v>
      </c>
      <c r="F136" s="4" t="s">
        <v>44</v>
      </c>
      <c r="G136" s="4" t="s">
        <v>45</v>
      </c>
      <c r="H136" s="4"/>
      <c r="I136" s="4" t="s">
        <v>46</v>
      </c>
      <c r="J136" s="4" t="s">
        <v>47</v>
      </c>
      <c r="K136" s="4">
        <v>8</v>
      </c>
      <c r="L136" s="4">
        <v>3.99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Z136" t="e">
        <f>VLOOKUP(E136,Sheet2!$A$1:$A$39,1,0)</f>
        <v>#N/A</v>
      </c>
      <c r="AA136">
        <f>VLOOKUP($E136,[1]Sheet1!$E$10:$X$629,AA$9,0)</f>
        <v>0</v>
      </c>
      <c r="AB136">
        <f>VLOOKUP($E136,[1]Sheet1!$E$10:$X$629,AB$9,0)</f>
        <v>0</v>
      </c>
      <c r="AC136">
        <f>VLOOKUP($E136,[1]Sheet1!$E$10:$X$629,AC$9,0)</f>
        <v>0</v>
      </c>
      <c r="AD136">
        <f>VLOOKUP($E136,[1]Sheet1!$E$10:$X$629,AD$9,0)</f>
        <v>0</v>
      </c>
      <c r="AE136">
        <f>VLOOKUP($E136,[1]Sheet1!$E$10:$X$629,AE$9,0)</f>
        <v>0</v>
      </c>
      <c r="AF136">
        <f>VLOOKUP($E136,[1]Sheet1!$E$10:$X$629,AF$9,0)</f>
        <v>0</v>
      </c>
      <c r="AG136">
        <f>VLOOKUP($E136,[1]Sheet1!$E$10:$X$629,AG$9,0)</f>
        <v>0</v>
      </c>
      <c r="AH136">
        <f>VLOOKUP($E136,[1]Sheet1!$E$10:$X$629,AH$9,0)</f>
        <v>0</v>
      </c>
      <c r="AJ136">
        <f t="shared" si="4"/>
        <v>0</v>
      </c>
      <c r="AK136">
        <f t="shared" si="5"/>
        <v>0</v>
      </c>
      <c r="AL136">
        <f t="shared" si="6"/>
        <v>0</v>
      </c>
    </row>
    <row r="137" spans="1:38" ht="39.6" x14ac:dyDescent="0.3">
      <c r="A137" s="4" t="s">
        <v>397</v>
      </c>
      <c r="B137" s="5" t="s">
        <v>398</v>
      </c>
      <c r="C137" s="21" t="s">
        <v>399</v>
      </c>
      <c r="D137" s="20"/>
      <c r="E137" s="4">
        <v>1000087</v>
      </c>
      <c r="F137" s="4" t="s">
        <v>44</v>
      </c>
      <c r="G137" s="4" t="s">
        <v>45</v>
      </c>
      <c r="H137" s="4" t="s">
        <v>56</v>
      </c>
      <c r="I137" s="4" t="s">
        <v>52</v>
      </c>
      <c r="J137" s="4" t="s">
        <v>47</v>
      </c>
      <c r="K137" s="4">
        <v>8.5</v>
      </c>
      <c r="L137" s="4">
        <v>17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Z137" t="e">
        <f>VLOOKUP(E137,Sheet2!$A$1:$A$39,1,0)</f>
        <v>#N/A</v>
      </c>
      <c r="AA137">
        <f>VLOOKUP($E137,[1]Sheet1!$E$10:$X$629,AA$9,0)</f>
        <v>0</v>
      </c>
      <c r="AB137">
        <f>VLOOKUP($E137,[1]Sheet1!$E$10:$X$629,AB$9,0)</f>
        <v>0</v>
      </c>
      <c r="AC137">
        <f>VLOOKUP($E137,[1]Sheet1!$E$10:$X$629,AC$9,0)</f>
        <v>0</v>
      </c>
      <c r="AD137">
        <f>VLOOKUP($E137,[1]Sheet1!$E$10:$X$629,AD$9,0)</f>
        <v>0</v>
      </c>
      <c r="AE137">
        <f>VLOOKUP($E137,[1]Sheet1!$E$10:$X$629,AE$9,0)</f>
        <v>0</v>
      </c>
      <c r="AF137">
        <f>VLOOKUP($E137,[1]Sheet1!$E$10:$X$629,AF$9,0)</f>
        <v>0</v>
      </c>
      <c r="AG137">
        <f>VLOOKUP($E137,[1]Sheet1!$E$10:$X$629,AG$9,0)</f>
        <v>0</v>
      </c>
      <c r="AH137">
        <f>VLOOKUP($E137,[1]Sheet1!$E$10:$X$629,AH$9,0)</f>
        <v>0</v>
      </c>
      <c r="AJ137">
        <f t="shared" si="4"/>
        <v>0</v>
      </c>
      <c r="AK137">
        <f t="shared" si="5"/>
        <v>0</v>
      </c>
      <c r="AL137">
        <f t="shared" si="6"/>
        <v>0</v>
      </c>
    </row>
    <row r="138" spans="1:38" ht="39.6" x14ac:dyDescent="0.3">
      <c r="A138" s="4" t="s">
        <v>400</v>
      </c>
      <c r="B138" s="5" t="s">
        <v>401</v>
      </c>
      <c r="C138" s="21" t="s">
        <v>402</v>
      </c>
      <c r="D138" s="20"/>
      <c r="E138" s="4">
        <v>1000094</v>
      </c>
      <c r="F138" s="4" t="s">
        <v>44</v>
      </c>
      <c r="G138" s="4" t="s">
        <v>45</v>
      </c>
      <c r="H138" s="4" t="s">
        <v>61</v>
      </c>
      <c r="I138" s="4" t="s">
        <v>57</v>
      </c>
      <c r="J138" s="4" t="s">
        <v>47</v>
      </c>
      <c r="K138" s="4">
        <v>10</v>
      </c>
      <c r="L138" s="4">
        <v>20</v>
      </c>
      <c r="M138" s="5">
        <v>324</v>
      </c>
      <c r="N138" s="5">
        <v>108</v>
      </c>
      <c r="O138" s="5">
        <v>540</v>
      </c>
      <c r="P138" s="5">
        <v>432</v>
      </c>
      <c r="Q138" s="5">
        <v>216</v>
      </c>
      <c r="R138" s="5">
        <v>432</v>
      </c>
      <c r="S138" s="5">
        <v>432</v>
      </c>
      <c r="T138" s="5">
        <v>540</v>
      </c>
      <c r="U138" s="5">
        <v>648</v>
      </c>
      <c r="V138" s="5">
        <v>1620</v>
      </c>
      <c r="W138" s="5">
        <v>540</v>
      </c>
      <c r="X138" s="5">
        <v>1512</v>
      </c>
      <c r="Z138" t="e">
        <f>VLOOKUP(E138,Sheet2!$A$1:$A$39,1,0)</f>
        <v>#N/A</v>
      </c>
      <c r="AA138">
        <f>VLOOKUP($E138,[1]Sheet1!$E$10:$X$629,AA$9,0)</f>
        <v>432</v>
      </c>
      <c r="AB138">
        <f>VLOOKUP($E138,[1]Sheet1!$E$10:$X$629,AB$9,0)</f>
        <v>864</v>
      </c>
      <c r="AC138">
        <f>VLOOKUP($E138,[1]Sheet1!$E$10:$X$629,AC$9,0)</f>
        <v>756</v>
      </c>
      <c r="AD138">
        <f>VLOOKUP($E138,[1]Sheet1!$E$10:$X$629,AD$9,0)</f>
        <v>648</v>
      </c>
      <c r="AE138">
        <f>VLOOKUP($E138,[1]Sheet1!$E$10:$X$629,AE$9,0)</f>
        <v>864</v>
      </c>
      <c r="AF138">
        <f>VLOOKUP($E138,[1]Sheet1!$E$10:$X$629,AF$9,0)</f>
        <v>540</v>
      </c>
      <c r="AG138">
        <f>VLOOKUP($E138,[1]Sheet1!$E$10:$X$629,AG$9,0)</f>
        <v>756</v>
      </c>
      <c r="AH138">
        <f>VLOOKUP($E138,[1]Sheet1!$E$10:$X$629,AH$9,0)</f>
        <v>216</v>
      </c>
      <c r="AJ138">
        <f t="shared" si="4"/>
        <v>3024</v>
      </c>
      <c r="AK138">
        <f t="shared" si="5"/>
        <v>5076</v>
      </c>
      <c r="AL138">
        <f t="shared" si="6"/>
        <v>-2052</v>
      </c>
    </row>
    <row r="139" spans="1:38" ht="39.6" x14ac:dyDescent="0.3">
      <c r="A139" s="4" t="s">
        <v>403</v>
      </c>
      <c r="B139" s="5" t="s">
        <v>404</v>
      </c>
      <c r="C139" s="21" t="s">
        <v>405</v>
      </c>
      <c r="D139" s="20"/>
      <c r="E139" s="4">
        <v>1000095</v>
      </c>
      <c r="F139" s="4" t="s">
        <v>44</v>
      </c>
      <c r="G139" s="4" t="s">
        <v>45</v>
      </c>
      <c r="H139" s="4" t="s">
        <v>56</v>
      </c>
      <c r="I139" s="4" t="s">
        <v>57</v>
      </c>
      <c r="J139" s="4" t="s">
        <v>47</v>
      </c>
      <c r="K139" s="4">
        <v>10</v>
      </c>
      <c r="L139" s="4">
        <v>20</v>
      </c>
      <c r="M139" s="5">
        <v>432</v>
      </c>
      <c r="N139" s="5">
        <v>972</v>
      </c>
      <c r="O139" s="5">
        <v>756</v>
      </c>
      <c r="P139" s="5">
        <v>864</v>
      </c>
      <c r="Q139" s="5">
        <v>756</v>
      </c>
      <c r="R139" s="5">
        <v>864</v>
      </c>
      <c r="S139" s="5">
        <v>864</v>
      </c>
      <c r="T139" s="5">
        <v>1728</v>
      </c>
      <c r="U139" s="5">
        <v>1404</v>
      </c>
      <c r="V139" s="5">
        <v>1944</v>
      </c>
      <c r="W139" s="5">
        <v>540</v>
      </c>
      <c r="X139" s="5">
        <v>1944</v>
      </c>
      <c r="Z139" t="e">
        <f>VLOOKUP(E139,Sheet2!$A$1:$A$39,1,0)</f>
        <v>#N/A</v>
      </c>
      <c r="AA139">
        <f>VLOOKUP($E139,[1]Sheet1!$E$10:$X$629,AA$9,0)</f>
        <v>648</v>
      </c>
      <c r="AB139">
        <f>VLOOKUP($E139,[1]Sheet1!$E$10:$X$629,AB$9,0)</f>
        <v>1188</v>
      </c>
      <c r="AC139">
        <f>VLOOKUP($E139,[1]Sheet1!$E$10:$X$629,AC$9,0)</f>
        <v>972</v>
      </c>
      <c r="AD139">
        <f>VLOOKUP($E139,[1]Sheet1!$E$10:$X$629,AD$9,0)</f>
        <v>756</v>
      </c>
      <c r="AE139">
        <f>VLOOKUP($E139,[1]Sheet1!$E$10:$X$629,AE$9,0)</f>
        <v>756</v>
      </c>
      <c r="AF139">
        <f>VLOOKUP($E139,[1]Sheet1!$E$10:$X$629,AF$9,0)</f>
        <v>1080</v>
      </c>
      <c r="AG139">
        <f>VLOOKUP($E139,[1]Sheet1!$E$10:$X$629,AG$9,0)</f>
        <v>864</v>
      </c>
      <c r="AH139">
        <f>VLOOKUP($E139,[1]Sheet1!$E$10:$X$629,AH$9,0)</f>
        <v>432</v>
      </c>
      <c r="AJ139">
        <f t="shared" ref="AJ139:AJ202" si="7">SUM(M139:T139)</f>
        <v>7236</v>
      </c>
      <c r="AK139">
        <f t="shared" ref="AK139:AK202" si="8">SUM(AA139:AH139)</f>
        <v>6696</v>
      </c>
      <c r="AL139">
        <f t="shared" ref="AL139:AL202" si="9">IFERROR(AJ139-AK139,0)</f>
        <v>540</v>
      </c>
    </row>
    <row r="140" spans="1:38" ht="39.6" x14ac:dyDescent="0.3">
      <c r="A140" s="4" t="s">
        <v>406</v>
      </c>
      <c r="B140" s="5" t="s">
        <v>407</v>
      </c>
      <c r="C140" s="21" t="s">
        <v>408</v>
      </c>
      <c r="D140" s="20"/>
      <c r="E140" s="4">
        <v>1000092</v>
      </c>
      <c r="F140" s="4" t="s">
        <v>44</v>
      </c>
      <c r="G140" s="4" t="s">
        <v>45</v>
      </c>
      <c r="H140" s="4" t="s">
        <v>269</v>
      </c>
      <c r="I140" s="4" t="s">
        <v>46</v>
      </c>
      <c r="J140" s="4" t="s">
        <v>47</v>
      </c>
      <c r="K140" s="4">
        <v>7.5</v>
      </c>
      <c r="L140" s="4">
        <v>3.75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Z140" t="e">
        <f>VLOOKUP(E140,Sheet2!$A$1:$A$39,1,0)</f>
        <v>#N/A</v>
      </c>
      <c r="AA140">
        <f>VLOOKUP($E140,[1]Sheet1!$E$10:$X$629,AA$9,0)</f>
        <v>0</v>
      </c>
      <c r="AB140">
        <f>VLOOKUP($E140,[1]Sheet1!$E$10:$X$629,AB$9,0)</f>
        <v>0</v>
      </c>
      <c r="AC140">
        <f>VLOOKUP($E140,[1]Sheet1!$E$10:$X$629,AC$9,0)</f>
        <v>0</v>
      </c>
      <c r="AD140">
        <f>VLOOKUP($E140,[1]Sheet1!$E$10:$X$629,AD$9,0)</f>
        <v>0</v>
      </c>
      <c r="AE140">
        <f>VLOOKUP($E140,[1]Sheet1!$E$10:$X$629,AE$9,0)</f>
        <v>0</v>
      </c>
      <c r="AF140">
        <f>VLOOKUP($E140,[1]Sheet1!$E$10:$X$629,AF$9,0)</f>
        <v>0</v>
      </c>
      <c r="AG140">
        <f>VLOOKUP($E140,[1]Sheet1!$E$10:$X$629,AG$9,0)</f>
        <v>0</v>
      </c>
      <c r="AH140">
        <f>VLOOKUP($E140,[1]Sheet1!$E$10:$X$629,AH$9,0)</f>
        <v>0</v>
      </c>
      <c r="AJ140">
        <f t="shared" si="7"/>
        <v>0</v>
      </c>
      <c r="AK140">
        <f t="shared" si="8"/>
        <v>0</v>
      </c>
      <c r="AL140">
        <f t="shared" si="9"/>
        <v>0</v>
      </c>
    </row>
    <row r="141" spans="1:38" ht="39.6" x14ac:dyDescent="0.3">
      <c r="A141" s="4" t="s">
        <v>409</v>
      </c>
      <c r="B141" s="5" t="s">
        <v>410</v>
      </c>
      <c r="C141" s="21" t="s">
        <v>411</v>
      </c>
      <c r="D141" s="20"/>
      <c r="E141" s="4">
        <v>1000093</v>
      </c>
      <c r="F141" s="4" t="s">
        <v>44</v>
      </c>
      <c r="G141" s="4" t="s">
        <v>45</v>
      </c>
      <c r="H141" s="4" t="s">
        <v>61</v>
      </c>
      <c r="I141" s="4" t="s">
        <v>57</v>
      </c>
      <c r="J141" s="4" t="s">
        <v>47</v>
      </c>
      <c r="K141" s="4">
        <v>10</v>
      </c>
      <c r="L141" s="4">
        <v>20</v>
      </c>
      <c r="M141" s="5">
        <v>432</v>
      </c>
      <c r="N141" s="5">
        <v>432</v>
      </c>
      <c r="O141" s="5">
        <v>864</v>
      </c>
      <c r="P141" s="5">
        <v>756</v>
      </c>
      <c r="Q141" s="5">
        <v>648</v>
      </c>
      <c r="R141" s="5">
        <v>756</v>
      </c>
      <c r="S141" s="5">
        <v>648</v>
      </c>
      <c r="T141" s="5">
        <v>1080</v>
      </c>
      <c r="U141" s="5">
        <v>1188</v>
      </c>
      <c r="V141" s="5">
        <v>2376</v>
      </c>
      <c r="W141" s="5">
        <v>756</v>
      </c>
      <c r="X141" s="5">
        <v>1944</v>
      </c>
      <c r="Z141" t="e">
        <f>VLOOKUP(E141,Sheet2!$A$1:$A$39,1,0)</f>
        <v>#N/A</v>
      </c>
      <c r="AA141">
        <f>VLOOKUP($E141,[1]Sheet1!$E$10:$X$629,AA$9,0)</f>
        <v>756</v>
      </c>
      <c r="AB141">
        <f>VLOOKUP($E141,[1]Sheet1!$E$10:$X$629,AB$9,0)</f>
        <v>864</v>
      </c>
      <c r="AC141">
        <f>VLOOKUP($E141,[1]Sheet1!$E$10:$X$629,AC$9,0)</f>
        <v>972</v>
      </c>
      <c r="AD141">
        <f>VLOOKUP($E141,[1]Sheet1!$E$10:$X$629,AD$9,0)</f>
        <v>864</v>
      </c>
      <c r="AE141">
        <f>VLOOKUP($E141,[1]Sheet1!$E$10:$X$629,AE$9,0)</f>
        <v>756</v>
      </c>
      <c r="AF141">
        <f>VLOOKUP($E141,[1]Sheet1!$E$10:$X$629,AF$9,0)</f>
        <v>1080</v>
      </c>
      <c r="AG141">
        <f>VLOOKUP($E141,[1]Sheet1!$E$10:$X$629,AG$9,0)</f>
        <v>972</v>
      </c>
      <c r="AH141">
        <f>VLOOKUP($E141,[1]Sheet1!$E$10:$X$629,AH$9,0)</f>
        <v>432</v>
      </c>
      <c r="AJ141">
        <f t="shared" si="7"/>
        <v>5616</v>
      </c>
      <c r="AK141">
        <f t="shared" si="8"/>
        <v>6696</v>
      </c>
      <c r="AL141">
        <f t="shared" si="9"/>
        <v>-1080</v>
      </c>
    </row>
    <row r="142" spans="1:38" ht="39.6" x14ac:dyDescent="0.3">
      <c r="A142" s="4" t="s">
        <v>412</v>
      </c>
      <c r="B142" s="5" t="s">
        <v>413</v>
      </c>
      <c r="C142" s="21" t="s">
        <v>414</v>
      </c>
      <c r="D142" s="20"/>
      <c r="E142" s="4">
        <v>1000699</v>
      </c>
      <c r="F142" s="4" t="s">
        <v>44</v>
      </c>
      <c r="G142" s="4" t="s">
        <v>45</v>
      </c>
      <c r="H142" s="4" t="s">
        <v>269</v>
      </c>
      <c r="I142" s="4" t="s">
        <v>57</v>
      </c>
      <c r="J142" s="4" t="s">
        <v>47</v>
      </c>
      <c r="K142" s="4">
        <v>6.5</v>
      </c>
      <c r="L142" s="4">
        <v>13</v>
      </c>
      <c r="M142" s="5">
        <v>3168</v>
      </c>
      <c r="N142" s="5">
        <v>3744</v>
      </c>
      <c r="O142" s="5">
        <v>4464</v>
      </c>
      <c r="P142" s="5">
        <v>3168</v>
      </c>
      <c r="Q142" s="5">
        <v>3312</v>
      </c>
      <c r="R142" s="5">
        <v>4752</v>
      </c>
      <c r="S142" s="5">
        <v>3600</v>
      </c>
      <c r="T142" s="5">
        <v>3312</v>
      </c>
      <c r="U142" s="5">
        <v>5328</v>
      </c>
      <c r="V142" s="5">
        <v>5184</v>
      </c>
      <c r="W142" s="5">
        <v>3312</v>
      </c>
      <c r="X142" s="5">
        <v>4896</v>
      </c>
      <c r="Z142" t="e">
        <f>VLOOKUP(E142,Sheet2!$A$1:$A$39,1,0)</f>
        <v>#N/A</v>
      </c>
      <c r="AA142">
        <f>VLOOKUP($E142,[1]Sheet1!$E$10:$X$629,AA$9,0)</f>
        <v>4032</v>
      </c>
      <c r="AB142">
        <f>VLOOKUP($E142,[1]Sheet1!$E$10:$X$629,AB$9,0)</f>
        <v>4176</v>
      </c>
      <c r="AC142">
        <f>VLOOKUP($E142,[1]Sheet1!$E$10:$X$629,AC$9,0)</f>
        <v>5472</v>
      </c>
      <c r="AD142">
        <f>VLOOKUP($E142,[1]Sheet1!$E$10:$X$629,AD$9,0)</f>
        <v>4176</v>
      </c>
      <c r="AE142">
        <f>VLOOKUP($E142,[1]Sheet1!$E$10:$X$629,AE$9,0)</f>
        <v>4032</v>
      </c>
      <c r="AF142">
        <f>VLOOKUP($E142,[1]Sheet1!$E$10:$X$629,AF$9,0)</f>
        <v>5616</v>
      </c>
      <c r="AG142">
        <f>VLOOKUP($E142,[1]Sheet1!$E$10:$X$629,AG$9,0)</f>
        <v>4608</v>
      </c>
      <c r="AH142">
        <f>VLOOKUP($E142,[1]Sheet1!$E$10:$X$629,AH$9,0)</f>
        <v>2304</v>
      </c>
      <c r="AJ142">
        <f t="shared" si="7"/>
        <v>29520</v>
      </c>
      <c r="AK142">
        <f t="shared" si="8"/>
        <v>34416</v>
      </c>
      <c r="AL142">
        <f t="shared" si="9"/>
        <v>-4896</v>
      </c>
    </row>
    <row r="143" spans="1:38" ht="39.6" x14ac:dyDescent="0.3">
      <c r="A143" s="4" t="s">
        <v>415</v>
      </c>
      <c r="B143" s="5" t="s">
        <v>416</v>
      </c>
      <c r="C143" s="21" t="s">
        <v>417</v>
      </c>
      <c r="D143" s="20"/>
      <c r="E143" s="4">
        <v>1000702</v>
      </c>
      <c r="F143" s="4" t="s">
        <v>44</v>
      </c>
      <c r="G143" s="4" t="s">
        <v>45</v>
      </c>
      <c r="H143" s="4" t="s">
        <v>56</v>
      </c>
      <c r="I143" s="4" t="s">
        <v>57</v>
      </c>
      <c r="J143" s="4" t="s">
        <v>47</v>
      </c>
      <c r="K143" s="4">
        <v>6.5</v>
      </c>
      <c r="L143" s="4">
        <v>13</v>
      </c>
      <c r="M143" s="5">
        <v>2304</v>
      </c>
      <c r="N143" s="5">
        <v>2448</v>
      </c>
      <c r="O143" s="5">
        <v>2880</v>
      </c>
      <c r="P143" s="5">
        <v>2016</v>
      </c>
      <c r="Q143" s="5">
        <v>1728</v>
      </c>
      <c r="R143" s="5">
        <v>2880</v>
      </c>
      <c r="S143" s="5">
        <v>2016</v>
      </c>
      <c r="T143" s="5">
        <v>2592</v>
      </c>
      <c r="U143" s="5">
        <v>3312</v>
      </c>
      <c r="V143" s="5">
        <v>2880</v>
      </c>
      <c r="W143" s="5">
        <v>2448</v>
      </c>
      <c r="X143" s="5">
        <v>3168</v>
      </c>
      <c r="Z143" t="e">
        <f>VLOOKUP(E143,Sheet2!$A$1:$A$39,1,0)</f>
        <v>#N/A</v>
      </c>
      <c r="AA143">
        <f>VLOOKUP($E143,[1]Sheet1!$E$10:$X$629,AA$9,0)</f>
        <v>2448</v>
      </c>
      <c r="AB143">
        <f>VLOOKUP($E143,[1]Sheet1!$E$10:$X$629,AB$9,0)</f>
        <v>2304</v>
      </c>
      <c r="AC143">
        <f>VLOOKUP($E143,[1]Sheet1!$E$10:$X$629,AC$9,0)</f>
        <v>2880</v>
      </c>
      <c r="AD143">
        <f>VLOOKUP($E143,[1]Sheet1!$E$10:$X$629,AD$9,0)</f>
        <v>2160</v>
      </c>
      <c r="AE143">
        <f>VLOOKUP($E143,[1]Sheet1!$E$10:$X$629,AE$9,0)</f>
        <v>1728</v>
      </c>
      <c r="AF143">
        <f>VLOOKUP($E143,[1]Sheet1!$E$10:$X$629,AF$9,0)</f>
        <v>2736</v>
      </c>
      <c r="AG143">
        <f>VLOOKUP($E143,[1]Sheet1!$E$10:$X$629,AG$9,0)</f>
        <v>2304</v>
      </c>
      <c r="AH143">
        <f>VLOOKUP($E143,[1]Sheet1!$E$10:$X$629,AH$9,0)</f>
        <v>1296</v>
      </c>
      <c r="AJ143">
        <f t="shared" si="7"/>
        <v>18864</v>
      </c>
      <c r="AK143">
        <f t="shared" si="8"/>
        <v>17856</v>
      </c>
      <c r="AL143">
        <f t="shared" si="9"/>
        <v>1008</v>
      </c>
    </row>
    <row r="144" spans="1:38" ht="39.6" x14ac:dyDescent="0.3">
      <c r="A144" s="4" t="s">
        <v>418</v>
      </c>
      <c r="B144" s="5" t="s">
        <v>419</v>
      </c>
      <c r="C144" s="21" t="s">
        <v>420</v>
      </c>
      <c r="D144" s="20"/>
      <c r="E144" s="4">
        <v>1000703</v>
      </c>
      <c r="F144" s="4" t="s">
        <v>44</v>
      </c>
      <c r="G144" s="4" t="s">
        <v>45</v>
      </c>
      <c r="H144" s="4" t="s">
        <v>56</v>
      </c>
      <c r="I144" s="4" t="s">
        <v>57</v>
      </c>
      <c r="J144" s="4" t="s">
        <v>47</v>
      </c>
      <c r="K144" s="4">
        <v>6.5</v>
      </c>
      <c r="L144" s="4">
        <v>13</v>
      </c>
      <c r="M144" s="5">
        <v>576</v>
      </c>
      <c r="N144" s="5">
        <v>1152</v>
      </c>
      <c r="O144" s="5">
        <v>1296</v>
      </c>
      <c r="P144" s="5">
        <v>576</v>
      </c>
      <c r="Q144" s="5">
        <v>864</v>
      </c>
      <c r="R144" s="5">
        <v>1296</v>
      </c>
      <c r="S144" s="5">
        <v>1008</v>
      </c>
      <c r="T144" s="5">
        <v>864</v>
      </c>
      <c r="U144" s="5">
        <v>1296</v>
      </c>
      <c r="V144" s="5">
        <v>1440</v>
      </c>
      <c r="W144" s="5">
        <v>864</v>
      </c>
      <c r="X144" s="5">
        <v>1440</v>
      </c>
      <c r="Z144" t="e">
        <f>VLOOKUP(E144,Sheet2!$A$1:$A$39,1,0)</f>
        <v>#N/A</v>
      </c>
      <c r="AA144">
        <f>VLOOKUP($E144,[1]Sheet1!$E$10:$X$629,AA$9,0)</f>
        <v>1440</v>
      </c>
      <c r="AB144">
        <f>VLOOKUP($E144,[1]Sheet1!$E$10:$X$629,AB$9,0)</f>
        <v>1008</v>
      </c>
      <c r="AC144">
        <f>VLOOKUP($E144,[1]Sheet1!$E$10:$X$629,AC$9,0)</f>
        <v>1584</v>
      </c>
      <c r="AD144">
        <f>VLOOKUP($E144,[1]Sheet1!$E$10:$X$629,AD$9,0)</f>
        <v>1152</v>
      </c>
      <c r="AE144">
        <f>VLOOKUP($E144,[1]Sheet1!$E$10:$X$629,AE$9,0)</f>
        <v>1296</v>
      </c>
      <c r="AF144">
        <f>VLOOKUP($E144,[1]Sheet1!$E$10:$X$629,AF$9,0)</f>
        <v>1728</v>
      </c>
      <c r="AG144">
        <f>VLOOKUP($E144,[1]Sheet1!$E$10:$X$629,AG$9,0)</f>
        <v>1296</v>
      </c>
      <c r="AH144">
        <f>VLOOKUP($E144,[1]Sheet1!$E$10:$X$629,AH$9,0)</f>
        <v>576</v>
      </c>
      <c r="AJ144">
        <f t="shared" si="7"/>
        <v>7632</v>
      </c>
      <c r="AK144">
        <f t="shared" si="8"/>
        <v>10080</v>
      </c>
      <c r="AL144">
        <f t="shared" si="9"/>
        <v>-2448</v>
      </c>
    </row>
    <row r="145" spans="1:38" ht="39.6" x14ac:dyDescent="0.3">
      <c r="A145" s="4" t="s">
        <v>421</v>
      </c>
      <c r="B145" s="5" t="s">
        <v>422</v>
      </c>
      <c r="C145" s="21" t="s">
        <v>423</v>
      </c>
      <c r="D145" s="20"/>
      <c r="E145" s="4">
        <v>1000701</v>
      </c>
      <c r="F145" s="4" t="s">
        <v>44</v>
      </c>
      <c r="G145" s="4" t="s">
        <v>45</v>
      </c>
      <c r="H145" s="4" t="s">
        <v>56</v>
      </c>
      <c r="I145" s="4" t="s">
        <v>57</v>
      </c>
      <c r="J145" s="4" t="s">
        <v>47</v>
      </c>
      <c r="K145" s="4">
        <v>6.5</v>
      </c>
      <c r="L145" s="4">
        <v>13</v>
      </c>
      <c r="M145" s="5">
        <v>432</v>
      </c>
      <c r="N145" s="5">
        <v>864</v>
      </c>
      <c r="O145" s="5">
        <v>864</v>
      </c>
      <c r="P145" s="5">
        <v>576</v>
      </c>
      <c r="Q145" s="5">
        <v>720</v>
      </c>
      <c r="R145" s="5">
        <v>1008</v>
      </c>
      <c r="S145" s="5">
        <v>720</v>
      </c>
      <c r="T145" s="5">
        <v>576</v>
      </c>
      <c r="U145" s="5">
        <v>1296</v>
      </c>
      <c r="V145" s="5">
        <v>1008</v>
      </c>
      <c r="W145" s="5">
        <v>864</v>
      </c>
      <c r="X145" s="5">
        <v>1296</v>
      </c>
      <c r="Z145" t="e">
        <f>VLOOKUP(E145,Sheet2!$A$1:$A$39,1,0)</f>
        <v>#N/A</v>
      </c>
      <c r="AA145">
        <f>VLOOKUP($E145,[1]Sheet1!$E$10:$X$629,AA$9,0)</f>
        <v>720</v>
      </c>
      <c r="AB145">
        <f>VLOOKUP($E145,[1]Sheet1!$E$10:$X$629,AB$9,0)</f>
        <v>1008</v>
      </c>
      <c r="AC145">
        <f>VLOOKUP($E145,[1]Sheet1!$E$10:$X$629,AC$9,0)</f>
        <v>864</v>
      </c>
      <c r="AD145">
        <f>VLOOKUP($E145,[1]Sheet1!$E$10:$X$629,AD$9,0)</f>
        <v>864</v>
      </c>
      <c r="AE145">
        <f>VLOOKUP($E145,[1]Sheet1!$E$10:$X$629,AE$9,0)</f>
        <v>864</v>
      </c>
      <c r="AF145">
        <f>VLOOKUP($E145,[1]Sheet1!$E$10:$X$629,AF$9,0)</f>
        <v>1008</v>
      </c>
      <c r="AG145">
        <f>VLOOKUP($E145,[1]Sheet1!$E$10:$X$629,AG$9,0)</f>
        <v>1152</v>
      </c>
      <c r="AH145">
        <f>VLOOKUP($E145,[1]Sheet1!$E$10:$X$629,AH$9,0)</f>
        <v>288</v>
      </c>
      <c r="AJ145">
        <f t="shared" si="7"/>
        <v>5760</v>
      </c>
      <c r="AK145">
        <f t="shared" si="8"/>
        <v>6768</v>
      </c>
      <c r="AL145">
        <f t="shared" si="9"/>
        <v>-1008</v>
      </c>
    </row>
    <row r="146" spans="1:38" ht="39.6" x14ac:dyDescent="0.3">
      <c r="A146" s="4" t="s">
        <v>424</v>
      </c>
      <c r="B146" s="5" t="s">
        <v>425</v>
      </c>
      <c r="C146" s="21" t="s">
        <v>426</v>
      </c>
      <c r="D146" s="20"/>
      <c r="E146" s="4">
        <v>1000700</v>
      </c>
      <c r="F146" s="4" t="s">
        <v>44</v>
      </c>
      <c r="G146" s="4" t="s">
        <v>45</v>
      </c>
      <c r="H146" s="4" t="s">
        <v>56</v>
      </c>
      <c r="I146" s="4" t="s">
        <v>57</v>
      </c>
      <c r="J146" s="4" t="s">
        <v>47</v>
      </c>
      <c r="K146" s="4">
        <v>6.5</v>
      </c>
      <c r="L146" s="4">
        <v>13</v>
      </c>
      <c r="M146" s="5">
        <v>576</v>
      </c>
      <c r="N146" s="5">
        <v>1008</v>
      </c>
      <c r="O146" s="5">
        <v>1008</v>
      </c>
      <c r="P146" s="5">
        <v>720</v>
      </c>
      <c r="Q146" s="5">
        <v>864</v>
      </c>
      <c r="R146" s="5">
        <v>1152</v>
      </c>
      <c r="S146" s="5">
        <v>1008</v>
      </c>
      <c r="T146" s="5">
        <v>720</v>
      </c>
      <c r="U146" s="5">
        <v>1152</v>
      </c>
      <c r="V146" s="5">
        <v>1440</v>
      </c>
      <c r="W146" s="5">
        <v>1008</v>
      </c>
      <c r="X146" s="5">
        <v>1152</v>
      </c>
      <c r="Z146" t="e">
        <f>VLOOKUP(E146,Sheet2!$A$1:$A$39,1,0)</f>
        <v>#N/A</v>
      </c>
      <c r="AA146">
        <f>VLOOKUP($E146,[1]Sheet1!$E$10:$X$629,AA$9,0)</f>
        <v>1008</v>
      </c>
      <c r="AB146">
        <f>VLOOKUP($E146,[1]Sheet1!$E$10:$X$629,AB$9,0)</f>
        <v>864</v>
      </c>
      <c r="AC146">
        <f>VLOOKUP($E146,[1]Sheet1!$E$10:$X$629,AC$9,0)</f>
        <v>1296</v>
      </c>
      <c r="AD146">
        <f>VLOOKUP($E146,[1]Sheet1!$E$10:$X$629,AD$9,0)</f>
        <v>1152</v>
      </c>
      <c r="AE146">
        <f>VLOOKUP($E146,[1]Sheet1!$E$10:$X$629,AE$9,0)</f>
        <v>576</v>
      </c>
      <c r="AF146">
        <f>VLOOKUP($E146,[1]Sheet1!$E$10:$X$629,AF$9,0)</f>
        <v>1296</v>
      </c>
      <c r="AG146">
        <f>VLOOKUP($E146,[1]Sheet1!$E$10:$X$629,AG$9,0)</f>
        <v>1296</v>
      </c>
      <c r="AH146">
        <f>VLOOKUP($E146,[1]Sheet1!$E$10:$X$629,AH$9,0)</f>
        <v>432</v>
      </c>
      <c r="AJ146">
        <f t="shared" si="7"/>
        <v>7056</v>
      </c>
      <c r="AK146">
        <f t="shared" si="8"/>
        <v>7920</v>
      </c>
      <c r="AL146">
        <f t="shared" si="9"/>
        <v>-864</v>
      </c>
    </row>
    <row r="147" spans="1:38" ht="39.6" x14ac:dyDescent="0.3">
      <c r="A147" s="4" t="s">
        <v>427</v>
      </c>
      <c r="B147" s="5" t="s">
        <v>428</v>
      </c>
      <c r="C147" s="21" t="s">
        <v>429</v>
      </c>
      <c r="D147" s="20"/>
      <c r="E147" s="4">
        <v>1000704</v>
      </c>
      <c r="F147" s="4" t="s">
        <v>44</v>
      </c>
      <c r="G147" s="4" t="s">
        <v>45</v>
      </c>
      <c r="H147" s="4" t="s">
        <v>61</v>
      </c>
      <c r="I147" s="4" t="s">
        <v>57</v>
      </c>
      <c r="J147" s="4" t="s">
        <v>47</v>
      </c>
      <c r="K147" s="4">
        <v>6.5</v>
      </c>
      <c r="L147" s="4">
        <v>13</v>
      </c>
      <c r="M147" s="5">
        <v>144</v>
      </c>
      <c r="N147" s="5">
        <v>432</v>
      </c>
      <c r="O147" s="5">
        <v>720</v>
      </c>
      <c r="P147" s="5">
        <v>432</v>
      </c>
      <c r="Q147" s="5">
        <v>288</v>
      </c>
      <c r="R147" s="5">
        <v>432</v>
      </c>
      <c r="S147" s="5">
        <v>432</v>
      </c>
      <c r="T147" s="5">
        <v>288</v>
      </c>
      <c r="U147" s="5">
        <v>720</v>
      </c>
      <c r="V147" s="5">
        <v>576</v>
      </c>
      <c r="W147" s="5">
        <v>432</v>
      </c>
      <c r="X147" s="5">
        <v>432</v>
      </c>
      <c r="Z147" t="e">
        <f>VLOOKUP(E147,Sheet2!$A$1:$A$39,1,0)</f>
        <v>#N/A</v>
      </c>
      <c r="AA147">
        <f>VLOOKUP($E147,[1]Sheet1!$E$10:$X$629,AA$9,0)</f>
        <v>720</v>
      </c>
      <c r="AB147">
        <f>VLOOKUP($E147,[1]Sheet1!$E$10:$X$629,AB$9,0)</f>
        <v>432</v>
      </c>
      <c r="AC147">
        <f>VLOOKUP($E147,[1]Sheet1!$E$10:$X$629,AC$9,0)</f>
        <v>432</v>
      </c>
      <c r="AD147">
        <f>VLOOKUP($E147,[1]Sheet1!$E$10:$X$629,AD$9,0)</f>
        <v>864</v>
      </c>
      <c r="AE147">
        <f>VLOOKUP($E147,[1]Sheet1!$E$10:$X$629,AE$9,0)</f>
        <v>576</v>
      </c>
      <c r="AF147">
        <f>VLOOKUP($E147,[1]Sheet1!$E$10:$X$629,AF$9,0)</f>
        <v>576</v>
      </c>
      <c r="AG147">
        <f>VLOOKUP($E147,[1]Sheet1!$E$10:$X$629,AG$9,0)</f>
        <v>720</v>
      </c>
      <c r="AH147">
        <f>VLOOKUP($E147,[1]Sheet1!$E$10:$X$629,AH$9,0)</f>
        <v>288</v>
      </c>
      <c r="AJ147">
        <f t="shared" si="7"/>
        <v>3168</v>
      </c>
      <c r="AK147">
        <f t="shared" si="8"/>
        <v>4608</v>
      </c>
      <c r="AL147">
        <f t="shared" si="9"/>
        <v>-1440</v>
      </c>
    </row>
    <row r="148" spans="1:38" ht="39.6" x14ac:dyDescent="0.3">
      <c r="A148" s="4" t="s">
        <v>430</v>
      </c>
      <c r="B148" s="5" t="s">
        <v>431</v>
      </c>
      <c r="C148" s="21" t="s">
        <v>432</v>
      </c>
      <c r="D148" s="20"/>
      <c r="E148" s="4">
        <v>1000669</v>
      </c>
      <c r="F148" s="4" t="s">
        <v>44</v>
      </c>
      <c r="G148" s="4" t="s">
        <v>45</v>
      </c>
      <c r="H148" s="4" t="s">
        <v>61</v>
      </c>
      <c r="I148" s="4" t="s">
        <v>57</v>
      </c>
      <c r="J148" s="4" t="s">
        <v>47</v>
      </c>
      <c r="K148" s="4">
        <v>7.5</v>
      </c>
      <c r="L148" s="4">
        <v>15</v>
      </c>
      <c r="M148" s="5">
        <v>432</v>
      </c>
      <c r="N148" s="5">
        <v>144</v>
      </c>
      <c r="O148" s="5">
        <v>432</v>
      </c>
      <c r="P148" s="5">
        <v>576</v>
      </c>
      <c r="Q148" s="5">
        <v>144</v>
      </c>
      <c r="R148" s="5">
        <v>576</v>
      </c>
      <c r="S148" s="5">
        <v>432</v>
      </c>
      <c r="T148" s="5">
        <v>576</v>
      </c>
      <c r="U148" s="5">
        <v>432</v>
      </c>
      <c r="V148" s="5">
        <v>432</v>
      </c>
      <c r="W148" s="5">
        <v>576</v>
      </c>
      <c r="X148" s="5">
        <v>576</v>
      </c>
      <c r="Z148" t="e">
        <f>VLOOKUP(E148,Sheet2!$A$1:$A$39,1,0)</f>
        <v>#N/A</v>
      </c>
      <c r="AA148">
        <f>VLOOKUP($E148,[1]Sheet1!$E$10:$X$629,AA$9,0)</f>
        <v>432</v>
      </c>
      <c r="AB148">
        <f>VLOOKUP($E148,[1]Sheet1!$E$10:$X$629,AB$9,0)</f>
        <v>432</v>
      </c>
      <c r="AC148">
        <f>VLOOKUP($E148,[1]Sheet1!$E$10:$X$629,AC$9,0)</f>
        <v>576</v>
      </c>
      <c r="AD148">
        <f>VLOOKUP($E148,[1]Sheet1!$E$10:$X$629,AD$9,0)</f>
        <v>432</v>
      </c>
      <c r="AE148">
        <f>VLOOKUP($E148,[1]Sheet1!$E$10:$X$629,AE$9,0)</f>
        <v>432</v>
      </c>
      <c r="AF148">
        <f>VLOOKUP($E148,[1]Sheet1!$E$10:$X$629,AF$9,0)</f>
        <v>576</v>
      </c>
      <c r="AG148">
        <f>VLOOKUP($E148,[1]Sheet1!$E$10:$X$629,AG$9,0)</f>
        <v>432</v>
      </c>
      <c r="AH148">
        <f>VLOOKUP($E148,[1]Sheet1!$E$10:$X$629,AH$9,0)</f>
        <v>432</v>
      </c>
      <c r="AJ148">
        <f t="shared" si="7"/>
        <v>3312</v>
      </c>
      <c r="AK148">
        <f t="shared" si="8"/>
        <v>3744</v>
      </c>
      <c r="AL148">
        <f t="shared" si="9"/>
        <v>-432</v>
      </c>
    </row>
    <row r="149" spans="1:38" ht="39.6" x14ac:dyDescent="0.3">
      <c r="A149" s="4" t="s">
        <v>433</v>
      </c>
      <c r="B149" s="5" t="s">
        <v>434</v>
      </c>
      <c r="C149" s="21" t="s">
        <v>435</v>
      </c>
      <c r="D149" s="20"/>
      <c r="E149" s="4">
        <v>1000670</v>
      </c>
      <c r="F149" s="4" t="s">
        <v>44</v>
      </c>
      <c r="G149" s="4" t="s">
        <v>45</v>
      </c>
      <c r="H149" s="4" t="s">
        <v>56</v>
      </c>
      <c r="I149" s="4" t="s">
        <v>57</v>
      </c>
      <c r="J149" s="4" t="s">
        <v>47</v>
      </c>
      <c r="K149" s="4">
        <v>7.5</v>
      </c>
      <c r="L149" s="4">
        <v>15</v>
      </c>
      <c r="M149" s="5">
        <v>576</v>
      </c>
      <c r="N149" s="5">
        <v>576</v>
      </c>
      <c r="O149" s="5">
        <v>720</v>
      </c>
      <c r="P149" s="5">
        <v>432</v>
      </c>
      <c r="Q149" s="5">
        <v>720</v>
      </c>
      <c r="R149" s="5">
        <v>1008</v>
      </c>
      <c r="S149" s="5">
        <v>576</v>
      </c>
      <c r="T149" s="5">
        <v>576</v>
      </c>
      <c r="U149" s="5">
        <v>1008</v>
      </c>
      <c r="V149" s="5">
        <v>864</v>
      </c>
      <c r="W149" s="5">
        <v>576</v>
      </c>
      <c r="X149" s="5">
        <v>1152</v>
      </c>
      <c r="Z149" t="e">
        <f>VLOOKUP(E149,Sheet2!$A$1:$A$39,1,0)</f>
        <v>#N/A</v>
      </c>
      <c r="AA149">
        <f>VLOOKUP($E149,[1]Sheet1!$E$10:$X$629,AA$9,0)</f>
        <v>576</v>
      </c>
      <c r="AB149">
        <f>VLOOKUP($E149,[1]Sheet1!$E$10:$X$629,AB$9,0)</f>
        <v>720</v>
      </c>
      <c r="AC149">
        <f>VLOOKUP($E149,[1]Sheet1!$E$10:$X$629,AC$9,0)</f>
        <v>864</v>
      </c>
      <c r="AD149">
        <f>VLOOKUP($E149,[1]Sheet1!$E$10:$X$629,AD$9,0)</f>
        <v>720</v>
      </c>
      <c r="AE149">
        <f>VLOOKUP($E149,[1]Sheet1!$E$10:$X$629,AE$9,0)</f>
        <v>576</v>
      </c>
      <c r="AF149">
        <f>VLOOKUP($E149,[1]Sheet1!$E$10:$X$629,AF$9,0)</f>
        <v>1008</v>
      </c>
      <c r="AG149">
        <f>VLOOKUP($E149,[1]Sheet1!$E$10:$X$629,AG$9,0)</f>
        <v>576</v>
      </c>
      <c r="AH149">
        <f>VLOOKUP($E149,[1]Sheet1!$E$10:$X$629,AH$9,0)</f>
        <v>432</v>
      </c>
      <c r="AJ149">
        <f t="shared" si="7"/>
        <v>5184</v>
      </c>
      <c r="AK149">
        <f t="shared" si="8"/>
        <v>5472</v>
      </c>
      <c r="AL149">
        <f t="shared" si="9"/>
        <v>-288</v>
      </c>
    </row>
    <row r="150" spans="1:38" ht="39.6" x14ac:dyDescent="0.3">
      <c r="A150" s="4" t="s">
        <v>436</v>
      </c>
      <c r="B150" s="5" t="s">
        <v>437</v>
      </c>
      <c r="C150" s="21" t="s">
        <v>438</v>
      </c>
      <c r="D150" s="20"/>
      <c r="E150" s="4">
        <v>1000672</v>
      </c>
      <c r="F150" s="4" t="s">
        <v>44</v>
      </c>
      <c r="G150" s="4" t="s">
        <v>45</v>
      </c>
      <c r="H150" s="4" t="s">
        <v>56</v>
      </c>
      <c r="I150" s="4" t="s">
        <v>57</v>
      </c>
      <c r="J150" s="4" t="s">
        <v>47</v>
      </c>
      <c r="K150" s="4">
        <v>7.5</v>
      </c>
      <c r="L150" s="4">
        <v>15</v>
      </c>
      <c r="M150" s="5">
        <v>432</v>
      </c>
      <c r="N150" s="5">
        <v>864</v>
      </c>
      <c r="O150" s="5">
        <v>576</v>
      </c>
      <c r="P150" s="5">
        <v>576</v>
      </c>
      <c r="Q150" s="5">
        <v>720</v>
      </c>
      <c r="R150" s="5">
        <v>720</v>
      </c>
      <c r="S150" s="5">
        <v>864</v>
      </c>
      <c r="T150" s="5">
        <v>720</v>
      </c>
      <c r="U150" s="5">
        <v>864</v>
      </c>
      <c r="V150" s="5">
        <v>1008</v>
      </c>
      <c r="W150" s="5">
        <v>720</v>
      </c>
      <c r="X150" s="5">
        <v>1008</v>
      </c>
      <c r="Z150" t="e">
        <f>VLOOKUP(E150,Sheet2!$A$1:$A$39,1,0)</f>
        <v>#N/A</v>
      </c>
      <c r="AA150">
        <f>VLOOKUP($E150,[1]Sheet1!$E$10:$X$629,AA$9,0)</f>
        <v>576</v>
      </c>
      <c r="AB150">
        <f>VLOOKUP($E150,[1]Sheet1!$E$10:$X$629,AB$9,0)</f>
        <v>720</v>
      </c>
      <c r="AC150">
        <f>VLOOKUP($E150,[1]Sheet1!$E$10:$X$629,AC$9,0)</f>
        <v>720</v>
      </c>
      <c r="AD150">
        <f>VLOOKUP($E150,[1]Sheet1!$E$10:$X$629,AD$9,0)</f>
        <v>864</v>
      </c>
      <c r="AE150">
        <f>VLOOKUP($E150,[1]Sheet1!$E$10:$X$629,AE$9,0)</f>
        <v>720</v>
      </c>
      <c r="AF150">
        <f>VLOOKUP($E150,[1]Sheet1!$E$10:$X$629,AF$9,0)</f>
        <v>864</v>
      </c>
      <c r="AG150">
        <f>VLOOKUP($E150,[1]Sheet1!$E$10:$X$629,AG$9,0)</f>
        <v>1008</v>
      </c>
      <c r="AH150">
        <f>VLOOKUP($E150,[1]Sheet1!$E$10:$X$629,AH$9,0)</f>
        <v>288</v>
      </c>
      <c r="AJ150">
        <f t="shared" si="7"/>
        <v>5472</v>
      </c>
      <c r="AK150">
        <f t="shared" si="8"/>
        <v>5760</v>
      </c>
      <c r="AL150">
        <f t="shared" si="9"/>
        <v>-288</v>
      </c>
    </row>
    <row r="151" spans="1:38" ht="39.6" x14ac:dyDescent="0.3">
      <c r="A151" s="4" t="s">
        <v>439</v>
      </c>
      <c r="B151" s="5" t="s">
        <v>440</v>
      </c>
      <c r="C151" s="21" t="s">
        <v>441</v>
      </c>
      <c r="D151" s="20"/>
      <c r="E151" s="4">
        <v>1000665</v>
      </c>
      <c r="F151" s="4" t="s">
        <v>44</v>
      </c>
      <c r="G151" s="4" t="s">
        <v>45</v>
      </c>
      <c r="H151" s="4" t="s">
        <v>61</v>
      </c>
      <c r="I151" s="4" t="s">
        <v>57</v>
      </c>
      <c r="J151" s="4" t="s">
        <v>47</v>
      </c>
      <c r="K151" s="4">
        <v>7.5</v>
      </c>
      <c r="L151" s="4">
        <v>15</v>
      </c>
      <c r="M151" s="5">
        <v>288</v>
      </c>
      <c r="N151" s="5">
        <v>288</v>
      </c>
      <c r="O151" s="5">
        <v>432</v>
      </c>
      <c r="P151" s="5">
        <v>288</v>
      </c>
      <c r="Q151" s="5">
        <v>432</v>
      </c>
      <c r="R151" s="5">
        <v>288</v>
      </c>
      <c r="S151" s="5">
        <v>576</v>
      </c>
      <c r="T151" s="5">
        <v>576</v>
      </c>
      <c r="U151" s="5">
        <v>576</v>
      </c>
      <c r="V151" s="5">
        <v>432</v>
      </c>
      <c r="W151" s="5">
        <v>576</v>
      </c>
      <c r="X151" s="5">
        <v>576</v>
      </c>
      <c r="Z151" t="e">
        <f>VLOOKUP(E151,Sheet2!$A$1:$A$39,1,0)</f>
        <v>#N/A</v>
      </c>
      <c r="AA151">
        <f>VLOOKUP($E151,[1]Sheet1!$E$10:$X$629,AA$9,0)</f>
        <v>576</v>
      </c>
      <c r="AB151">
        <f>VLOOKUP($E151,[1]Sheet1!$E$10:$X$629,AB$9,0)</f>
        <v>288</v>
      </c>
      <c r="AC151">
        <f>VLOOKUP($E151,[1]Sheet1!$E$10:$X$629,AC$9,0)</f>
        <v>576</v>
      </c>
      <c r="AD151">
        <f>VLOOKUP($E151,[1]Sheet1!$E$10:$X$629,AD$9,0)</f>
        <v>864</v>
      </c>
      <c r="AE151">
        <f>VLOOKUP($E151,[1]Sheet1!$E$10:$X$629,AE$9,0)</f>
        <v>576</v>
      </c>
      <c r="AF151">
        <f>VLOOKUP($E151,[1]Sheet1!$E$10:$X$629,AF$9,0)</f>
        <v>576</v>
      </c>
      <c r="AG151">
        <f>VLOOKUP($E151,[1]Sheet1!$E$10:$X$629,AG$9,0)</f>
        <v>720</v>
      </c>
      <c r="AH151">
        <f>VLOOKUP($E151,[1]Sheet1!$E$10:$X$629,AH$9,0)</f>
        <v>144</v>
      </c>
      <c r="AJ151">
        <f t="shared" si="7"/>
        <v>3168</v>
      </c>
      <c r="AK151">
        <f t="shared" si="8"/>
        <v>4320</v>
      </c>
      <c r="AL151">
        <f t="shared" si="9"/>
        <v>-1152</v>
      </c>
    </row>
    <row r="152" spans="1:38" ht="39.6" x14ac:dyDescent="0.3">
      <c r="A152" s="4" t="s">
        <v>442</v>
      </c>
      <c r="B152" s="5" t="s">
        <v>443</v>
      </c>
      <c r="C152" s="21" t="s">
        <v>444</v>
      </c>
      <c r="D152" s="20"/>
      <c r="E152" s="4">
        <v>1000668</v>
      </c>
      <c r="F152" s="4" t="s">
        <v>44</v>
      </c>
      <c r="G152" s="4" t="s">
        <v>45</v>
      </c>
      <c r="H152" s="4" t="s">
        <v>61</v>
      </c>
      <c r="I152" s="4" t="s">
        <v>57</v>
      </c>
      <c r="J152" s="4" t="s">
        <v>47</v>
      </c>
      <c r="K152" s="4">
        <v>7.5</v>
      </c>
      <c r="L152" s="4">
        <v>15</v>
      </c>
      <c r="M152" s="5">
        <v>288</v>
      </c>
      <c r="N152" s="5">
        <v>576</v>
      </c>
      <c r="O152" s="5">
        <v>576</v>
      </c>
      <c r="P152" s="5">
        <v>432</v>
      </c>
      <c r="Q152" s="5">
        <v>576</v>
      </c>
      <c r="R152" s="5">
        <v>864</v>
      </c>
      <c r="S152" s="5">
        <v>576</v>
      </c>
      <c r="T152" s="5">
        <v>432</v>
      </c>
      <c r="U152" s="5">
        <v>720</v>
      </c>
      <c r="V152" s="5">
        <v>720</v>
      </c>
      <c r="W152" s="5">
        <v>576</v>
      </c>
      <c r="X152" s="5">
        <v>576</v>
      </c>
      <c r="Z152" t="e">
        <f>VLOOKUP(E152,Sheet2!$A$1:$A$39,1,0)</f>
        <v>#N/A</v>
      </c>
      <c r="AA152">
        <f>VLOOKUP($E152,[1]Sheet1!$E$10:$X$629,AA$9,0)</f>
        <v>576</v>
      </c>
      <c r="AB152">
        <f>VLOOKUP($E152,[1]Sheet1!$E$10:$X$629,AB$9,0)</f>
        <v>576</v>
      </c>
      <c r="AC152">
        <f>VLOOKUP($E152,[1]Sheet1!$E$10:$X$629,AC$9,0)</f>
        <v>864</v>
      </c>
      <c r="AD152">
        <f>VLOOKUP($E152,[1]Sheet1!$E$10:$X$629,AD$9,0)</f>
        <v>576</v>
      </c>
      <c r="AE152">
        <f>VLOOKUP($E152,[1]Sheet1!$E$10:$X$629,AE$9,0)</f>
        <v>576</v>
      </c>
      <c r="AF152">
        <f>VLOOKUP($E152,[1]Sheet1!$E$10:$X$629,AF$9,0)</f>
        <v>720</v>
      </c>
      <c r="AG152">
        <f>VLOOKUP($E152,[1]Sheet1!$E$10:$X$629,AG$9,0)</f>
        <v>864</v>
      </c>
      <c r="AH152">
        <f>VLOOKUP($E152,[1]Sheet1!$E$10:$X$629,AH$9,0)</f>
        <v>288</v>
      </c>
      <c r="AJ152">
        <f t="shared" si="7"/>
        <v>4320</v>
      </c>
      <c r="AK152">
        <f t="shared" si="8"/>
        <v>5040</v>
      </c>
      <c r="AL152">
        <f t="shared" si="9"/>
        <v>-720</v>
      </c>
    </row>
    <row r="153" spans="1:38" ht="39.6" x14ac:dyDescent="0.3">
      <c r="A153" s="4" t="s">
        <v>445</v>
      </c>
      <c r="B153" s="5" t="s">
        <v>446</v>
      </c>
      <c r="C153" s="21" t="s">
        <v>447</v>
      </c>
      <c r="D153" s="20"/>
      <c r="E153" s="4">
        <v>1000675</v>
      </c>
      <c r="F153" s="4" t="s">
        <v>44</v>
      </c>
      <c r="G153" s="4" t="s">
        <v>45</v>
      </c>
      <c r="H153" s="4" t="s">
        <v>61</v>
      </c>
      <c r="I153" s="4" t="s">
        <v>57</v>
      </c>
      <c r="J153" s="4" t="s">
        <v>47</v>
      </c>
      <c r="K153" s="4">
        <v>7.5</v>
      </c>
      <c r="L153" s="4">
        <v>15</v>
      </c>
      <c r="M153" s="5">
        <v>0</v>
      </c>
      <c r="N153" s="5">
        <v>432</v>
      </c>
      <c r="O153" s="5">
        <v>144</v>
      </c>
      <c r="P153" s="5">
        <v>432</v>
      </c>
      <c r="Q153" s="5">
        <v>144</v>
      </c>
      <c r="R153" s="5">
        <v>576</v>
      </c>
      <c r="S153" s="5">
        <v>144</v>
      </c>
      <c r="T153" s="5">
        <v>288</v>
      </c>
      <c r="U153" s="5">
        <v>432</v>
      </c>
      <c r="V153" s="5">
        <v>432</v>
      </c>
      <c r="W153" s="5">
        <v>432</v>
      </c>
      <c r="X153" s="5">
        <v>144</v>
      </c>
      <c r="Z153" t="e">
        <f>VLOOKUP(E153,Sheet2!$A$1:$A$39,1,0)</f>
        <v>#N/A</v>
      </c>
      <c r="AA153">
        <f>VLOOKUP($E153,[1]Sheet1!$E$10:$X$629,AA$9,0)</f>
        <v>288</v>
      </c>
      <c r="AB153">
        <f>VLOOKUP($E153,[1]Sheet1!$E$10:$X$629,AB$9,0)</f>
        <v>576</v>
      </c>
      <c r="AC153">
        <f>VLOOKUP($E153,[1]Sheet1!$E$10:$X$629,AC$9,0)</f>
        <v>144</v>
      </c>
      <c r="AD153">
        <f>VLOOKUP($E153,[1]Sheet1!$E$10:$X$629,AD$9,0)</f>
        <v>576</v>
      </c>
      <c r="AE153">
        <f>VLOOKUP($E153,[1]Sheet1!$E$10:$X$629,AE$9,0)</f>
        <v>432</v>
      </c>
      <c r="AF153">
        <f>VLOOKUP($E153,[1]Sheet1!$E$10:$X$629,AF$9,0)</f>
        <v>576</v>
      </c>
      <c r="AG153">
        <f>VLOOKUP($E153,[1]Sheet1!$E$10:$X$629,AG$9,0)</f>
        <v>288</v>
      </c>
      <c r="AH153">
        <f>VLOOKUP($E153,[1]Sheet1!$E$10:$X$629,AH$9,0)</f>
        <v>432</v>
      </c>
      <c r="AJ153">
        <f t="shared" si="7"/>
        <v>2160</v>
      </c>
      <c r="AK153">
        <f t="shared" si="8"/>
        <v>3312</v>
      </c>
      <c r="AL153">
        <f t="shared" si="9"/>
        <v>-1152</v>
      </c>
    </row>
    <row r="154" spans="1:38" ht="39.6" x14ac:dyDescent="0.3">
      <c r="A154" s="4" t="s">
        <v>448</v>
      </c>
      <c r="B154" s="5" t="s">
        <v>449</v>
      </c>
      <c r="C154" s="21" t="s">
        <v>450</v>
      </c>
      <c r="D154" s="20"/>
      <c r="E154" s="4">
        <v>1000673</v>
      </c>
      <c r="F154" s="4" t="s">
        <v>44</v>
      </c>
      <c r="G154" s="4" t="s">
        <v>45</v>
      </c>
      <c r="H154" s="4" t="s">
        <v>61</v>
      </c>
      <c r="I154" s="4" t="s">
        <v>57</v>
      </c>
      <c r="J154" s="4" t="s">
        <v>47</v>
      </c>
      <c r="K154" s="4">
        <v>7.5</v>
      </c>
      <c r="L154" s="4">
        <v>15</v>
      </c>
      <c r="M154" s="5">
        <v>0</v>
      </c>
      <c r="N154" s="5">
        <v>288</v>
      </c>
      <c r="O154" s="5">
        <v>144</v>
      </c>
      <c r="P154" s="5">
        <v>288</v>
      </c>
      <c r="Q154" s="5">
        <v>0</v>
      </c>
      <c r="R154" s="5">
        <v>288</v>
      </c>
      <c r="S154" s="5">
        <v>144</v>
      </c>
      <c r="T154" s="5">
        <v>288</v>
      </c>
      <c r="U154" s="5">
        <v>288</v>
      </c>
      <c r="V154" s="5">
        <v>144</v>
      </c>
      <c r="W154" s="5">
        <v>432</v>
      </c>
      <c r="X154" s="5">
        <v>144</v>
      </c>
      <c r="Z154" t="e">
        <f>VLOOKUP(E154,Sheet2!$A$1:$A$39,1,0)</f>
        <v>#N/A</v>
      </c>
      <c r="AA154">
        <f>VLOOKUP($E154,[1]Sheet1!$E$10:$X$629,AA$9,0)</f>
        <v>576</v>
      </c>
      <c r="AB154">
        <f>VLOOKUP($E154,[1]Sheet1!$E$10:$X$629,AB$9,0)</f>
        <v>144</v>
      </c>
      <c r="AC154">
        <f>VLOOKUP($E154,[1]Sheet1!$E$10:$X$629,AC$9,0)</f>
        <v>432</v>
      </c>
      <c r="AD154">
        <f>VLOOKUP($E154,[1]Sheet1!$E$10:$X$629,AD$9,0)</f>
        <v>288</v>
      </c>
      <c r="AE154">
        <f>VLOOKUP($E154,[1]Sheet1!$E$10:$X$629,AE$9,0)</f>
        <v>144</v>
      </c>
      <c r="AF154">
        <f>VLOOKUP($E154,[1]Sheet1!$E$10:$X$629,AF$9,0)</f>
        <v>432</v>
      </c>
      <c r="AG154">
        <f>VLOOKUP($E154,[1]Sheet1!$E$10:$X$629,AG$9,0)</f>
        <v>144</v>
      </c>
      <c r="AH154">
        <f>VLOOKUP($E154,[1]Sheet1!$E$10:$X$629,AH$9,0)</f>
        <v>576</v>
      </c>
      <c r="AJ154">
        <f t="shared" si="7"/>
        <v>1440</v>
      </c>
      <c r="AK154">
        <f t="shared" si="8"/>
        <v>2736</v>
      </c>
      <c r="AL154">
        <f t="shared" si="9"/>
        <v>-1296</v>
      </c>
    </row>
    <row r="155" spans="1:38" ht="39.6" x14ac:dyDescent="0.3">
      <c r="A155" s="4" t="s">
        <v>451</v>
      </c>
      <c r="B155" s="5" t="s">
        <v>452</v>
      </c>
      <c r="C155" s="21" t="s">
        <v>453</v>
      </c>
      <c r="D155" s="20"/>
      <c r="E155" s="4">
        <v>1000674</v>
      </c>
      <c r="F155" s="4" t="s">
        <v>44</v>
      </c>
      <c r="G155" s="4" t="s">
        <v>45</v>
      </c>
      <c r="H155" s="4" t="s">
        <v>61</v>
      </c>
      <c r="I155" s="4" t="s">
        <v>57</v>
      </c>
      <c r="J155" s="4" t="s">
        <v>47</v>
      </c>
      <c r="K155" s="4">
        <v>7.5</v>
      </c>
      <c r="L155" s="4">
        <v>15</v>
      </c>
      <c r="M155" s="5">
        <v>0</v>
      </c>
      <c r="N155" s="5">
        <v>432</v>
      </c>
      <c r="O155" s="5">
        <v>288</v>
      </c>
      <c r="P155" s="5">
        <v>288</v>
      </c>
      <c r="Q155" s="5">
        <v>144</v>
      </c>
      <c r="R155" s="5">
        <v>576</v>
      </c>
      <c r="S155" s="5">
        <v>144</v>
      </c>
      <c r="T155" s="5">
        <v>432</v>
      </c>
      <c r="U155" s="5">
        <v>288</v>
      </c>
      <c r="V155" s="5">
        <v>576</v>
      </c>
      <c r="W155" s="5">
        <v>432</v>
      </c>
      <c r="X155" s="5">
        <v>432</v>
      </c>
      <c r="Z155" t="e">
        <f>VLOOKUP(E155,Sheet2!$A$1:$A$39,1,0)</f>
        <v>#N/A</v>
      </c>
      <c r="AA155">
        <f>VLOOKUP($E155,[1]Sheet1!$E$10:$X$629,AA$9,0)</f>
        <v>144</v>
      </c>
      <c r="AB155">
        <f>VLOOKUP($E155,[1]Sheet1!$E$10:$X$629,AB$9,0)</f>
        <v>432</v>
      </c>
      <c r="AC155">
        <f>VLOOKUP($E155,[1]Sheet1!$E$10:$X$629,AC$9,0)</f>
        <v>432</v>
      </c>
      <c r="AD155">
        <f>VLOOKUP($E155,[1]Sheet1!$E$10:$X$629,AD$9,0)</f>
        <v>432</v>
      </c>
      <c r="AE155">
        <f>VLOOKUP($E155,[1]Sheet1!$E$10:$X$629,AE$9,0)</f>
        <v>432</v>
      </c>
      <c r="AF155">
        <f>VLOOKUP($E155,[1]Sheet1!$E$10:$X$629,AF$9,0)</f>
        <v>576</v>
      </c>
      <c r="AG155">
        <f>VLOOKUP($E155,[1]Sheet1!$E$10:$X$629,AG$9,0)</f>
        <v>576</v>
      </c>
      <c r="AH155">
        <f>VLOOKUP($E155,[1]Sheet1!$E$10:$X$629,AH$9,0)</f>
        <v>0</v>
      </c>
      <c r="AJ155">
        <f t="shared" si="7"/>
        <v>2304</v>
      </c>
      <c r="AK155">
        <f t="shared" si="8"/>
        <v>3024</v>
      </c>
      <c r="AL155">
        <f t="shared" si="9"/>
        <v>-720</v>
      </c>
    </row>
    <row r="156" spans="1:38" ht="39.6" x14ac:dyDescent="0.3">
      <c r="A156" s="4" t="s">
        <v>454</v>
      </c>
      <c r="B156" s="5" t="s">
        <v>455</v>
      </c>
      <c r="C156" s="21" t="s">
        <v>456</v>
      </c>
      <c r="D156" s="20"/>
      <c r="E156" s="4">
        <v>1000676</v>
      </c>
      <c r="F156" s="4" t="s">
        <v>44</v>
      </c>
      <c r="G156" s="4" t="s">
        <v>45</v>
      </c>
      <c r="H156" s="4" t="s">
        <v>56</v>
      </c>
      <c r="I156" s="4" t="s">
        <v>57</v>
      </c>
      <c r="J156" s="4" t="s">
        <v>47</v>
      </c>
      <c r="K156" s="4">
        <v>7.5</v>
      </c>
      <c r="L156" s="4">
        <v>15</v>
      </c>
      <c r="M156" s="5">
        <v>576</v>
      </c>
      <c r="N156" s="5">
        <v>432</v>
      </c>
      <c r="O156" s="5">
        <v>720</v>
      </c>
      <c r="P156" s="5">
        <v>288</v>
      </c>
      <c r="Q156" s="5">
        <v>432</v>
      </c>
      <c r="R156" s="5">
        <v>864</v>
      </c>
      <c r="S156" s="5">
        <v>432</v>
      </c>
      <c r="T156" s="5">
        <v>576</v>
      </c>
      <c r="U156" s="5">
        <v>864</v>
      </c>
      <c r="V156" s="5">
        <v>864</v>
      </c>
      <c r="W156" s="5">
        <v>432</v>
      </c>
      <c r="X156" s="5">
        <v>1008</v>
      </c>
      <c r="Z156" t="e">
        <f>VLOOKUP(E156,Sheet2!$A$1:$A$39,1,0)</f>
        <v>#N/A</v>
      </c>
      <c r="AA156">
        <f>VLOOKUP($E156,[1]Sheet1!$E$10:$X$629,AA$9,0)</f>
        <v>576</v>
      </c>
      <c r="AB156">
        <f>VLOOKUP($E156,[1]Sheet1!$E$10:$X$629,AB$9,0)</f>
        <v>432</v>
      </c>
      <c r="AC156">
        <f>VLOOKUP($E156,[1]Sheet1!$E$10:$X$629,AC$9,0)</f>
        <v>864</v>
      </c>
      <c r="AD156">
        <f>VLOOKUP($E156,[1]Sheet1!$E$10:$X$629,AD$9,0)</f>
        <v>432</v>
      </c>
      <c r="AE156">
        <f>VLOOKUP($E156,[1]Sheet1!$E$10:$X$629,AE$9,0)</f>
        <v>720</v>
      </c>
      <c r="AF156">
        <f>VLOOKUP($E156,[1]Sheet1!$E$10:$X$629,AF$9,0)</f>
        <v>864</v>
      </c>
      <c r="AG156">
        <f>VLOOKUP($E156,[1]Sheet1!$E$10:$X$629,AG$9,0)</f>
        <v>576</v>
      </c>
      <c r="AH156">
        <f>VLOOKUP($E156,[1]Sheet1!$E$10:$X$629,AH$9,0)</f>
        <v>432</v>
      </c>
      <c r="AJ156">
        <f t="shared" si="7"/>
        <v>4320</v>
      </c>
      <c r="AK156">
        <f t="shared" si="8"/>
        <v>4896</v>
      </c>
      <c r="AL156">
        <f t="shared" si="9"/>
        <v>-576</v>
      </c>
    </row>
    <row r="157" spans="1:38" ht="39.6" x14ac:dyDescent="0.3">
      <c r="A157" s="4" t="s">
        <v>457</v>
      </c>
      <c r="B157" s="5" t="s">
        <v>458</v>
      </c>
      <c r="C157" s="21" t="s">
        <v>459</v>
      </c>
      <c r="D157" s="20"/>
      <c r="E157" s="4">
        <v>1000671</v>
      </c>
      <c r="F157" s="4" t="s">
        <v>44</v>
      </c>
      <c r="G157" s="4" t="s">
        <v>45</v>
      </c>
      <c r="H157" s="4" t="s">
        <v>56</v>
      </c>
      <c r="I157" s="4" t="s">
        <v>57</v>
      </c>
      <c r="J157" s="4" t="s">
        <v>47</v>
      </c>
      <c r="K157" s="4">
        <v>7.5</v>
      </c>
      <c r="L157" s="4">
        <v>15</v>
      </c>
      <c r="M157" s="5">
        <v>432</v>
      </c>
      <c r="N157" s="5">
        <v>432</v>
      </c>
      <c r="O157" s="5">
        <v>720</v>
      </c>
      <c r="P157" s="5">
        <v>432</v>
      </c>
      <c r="Q157" s="5">
        <v>576</v>
      </c>
      <c r="R157" s="5">
        <v>864</v>
      </c>
      <c r="S157" s="5">
        <v>864</v>
      </c>
      <c r="T157" s="5">
        <v>576</v>
      </c>
      <c r="U157" s="5">
        <v>720</v>
      </c>
      <c r="V157" s="5">
        <v>1008</v>
      </c>
      <c r="W157" s="5">
        <v>720</v>
      </c>
      <c r="X157" s="5">
        <v>864</v>
      </c>
      <c r="Z157" t="e">
        <f>VLOOKUP(E157,Sheet2!$A$1:$A$39,1,0)</f>
        <v>#N/A</v>
      </c>
      <c r="AA157">
        <f>VLOOKUP($E157,[1]Sheet1!$E$10:$X$629,AA$9,0)</f>
        <v>576</v>
      </c>
      <c r="AB157">
        <f>VLOOKUP($E157,[1]Sheet1!$E$10:$X$629,AB$9,0)</f>
        <v>576</v>
      </c>
      <c r="AC157">
        <f>VLOOKUP($E157,[1]Sheet1!$E$10:$X$629,AC$9,0)</f>
        <v>864</v>
      </c>
      <c r="AD157">
        <f>VLOOKUP($E157,[1]Sheet1!$E$10:$X$629,AD$9,0)</f>
        <v>576</v>
      </c>
      <c r="AE157">
        <f>VLOOKUP($E157,[1]Sheet1!$E$10:$X$629,AE$9,0)</f>
        <v>864</v>
      </c>
      <c r="AF157">
        <f>VLOOKUP($E157,[1]Sheet1!$E$10:$X$629,AF$9,0)</f>
        <v>576</v>
      </c>
      <c r="AG157">
        <f>VLOOKUP($E157,[1]Sheet1!$E$10:$X$629,AG$9,0)</f>
        <v>1008</v>
      </c>
      <c r="AH157">
        <f>VLOOKUP($E157,[1]Sheet1!$E$10:$X$629,AH$9,0)</f>
        <v>288</v>
      </c>
      <c r="AJ157">
        <f t="shared" si="7"/>
        <v>4896</v>
      </c>
      <c r="AK157">
        <f t="shared" si="8"/>
        <v>5328</v>
      </c>
      <c r="AL157">
        <f t="shared" si="9"/>
        <v>-432</v>
      </c>
    </row>
    <row r="158" spans="1:38" ht="39.6" x14ac:dyDescent="0.3">
      <c r="A158" s="4" t="s">
        <v>460</v>
      </c>
      <c r="B158" s="5" t="s">
        <v>461</v>
      </c>
      <c r="C158" s="21" t="s">
        <v>462</v>
      </c>
      <c r="D158" s="20"/>
      <c r="E158" s="4">
        <v>1000667</v>
      </c>
      <c r="F158" s="4" t="s">
        <v>44</v>
      </c>
      <c r="G158" s="4" t="s">
        <v>45</v>
      </c>
      <c r="H158" s="4" t="s">
        <v>56</v>
      </c>
      <c r="I158" s="4" t="s">
        <v>57</v>
      </c>
      <c r="J158" s="4" t="s">
        <v>47</v>
      </c>
      <c r="K158" s="4">
        <v>7.5</v>
      </c>
      <c r="L158" s="4">
        <v>15</v>
      </c>
      <c r="M158" s="5">
        <v>288</v>
      </c>
      <c r="N158" s="5">
        <v>288</v>
      </c>
      <c r="O158" s="5">
        <v>576</v>
      </c>
      <c r="P158" s="5">
        <v>576</v>
      </c>
      <c r="Q158" s="5">
        <v>576</v>
      </c>
      <c r="R158" s="5">
        <v>576</v>
      </c>
      <c r="S158" s="5">
        <v>576</v>
      </c>
      <c r="T158" s="5">
        <v>720</v>
      </c>
      <c r="U158" s="5">
        <v>720</v>
      </c>
      <c r="V158" s="5">
        <v>864</v>
      </c>
      <c r="W158" s="5">
        <v>576</v>
      </c>
      <c r="X158" s="5">
        <v>576</v>
      </c>
      <c r="Z158" t="e">
        <f>VLOOKUP(E158,Sheet2!$A$1:$A$39,1,0)</f>
        <v>#N/A</v>
      </c>
      <c r="AA158">
        <f>VLOOKUP($E158,[1]Sheet1!$E$10:$X$629,AA$9,0)</f>
        <v>720</v>
      </c>
      <c r="AB158">
        <f>VLOOKUP($E158,[1]Sheet1!$E$10:$X$629,AB$9,0)</f>
        <v>576</v>
      </c>
      <c r="AC158">
        <f>VLOOKUP($E158,[1]Sheet1!$E$10:$X$629,AC$9,0)</f>
        <v>576</v>
      </c>
      <c r="AD158">
        <f>VLOOKUP($E158,[1]Sheet1!$E$10:$X$629,AD$9,0)</f>
        <v>576</v>
      </c>
      <c r="AE158">
        <f>VLOOKUP($E158,[1]Sheet1!$E$10:$X$629,AE$9,0)</f>
        <v>720</v>
      </c>
      <c r="AF158">
        <f>VLOOKUP($E158,[1]Sheet1!$E$10:$X$629,AF$9,0)</f>
        <v>864</v>
      </c>
      <c r="AG158">
        <f>VLOOKUP($E158,[1]Sheet1!$E$10:$X$629,AG$9,0)</f>
        <v>720</v>
      </c>
      <c r="AH158">
        <f>VLOOKUP($E158,[1]Sheet1!$E$10:$X$629,AH$9,0)</f>
        <v>144</v>
      </c>
      <c r="AJ158">
        <f t="shared" si="7"/>
        <v>4176</v>
      </c>
      <c r="AK158">
        <f t="shared" si="8"/>
        <v>4896</v>
      </c>
      <c r="AL158">
        <f t="shared" si="9"/>
        <v>-720</v>
      </c>
    </row>
    <row r="159" spans="1:38" ht="39.6" x14ac:dyDescent="0.3">
      <c r="A159" s="4" t="s">
        <v>463</v>
      </c>
      <c r="B159" s="5" t="s">
        <v>464</v>
      </c>
      <c r="C159" s="21" t="s">
        <v>465</v>
      </c>
      <c r="D159" s="20"/>
      <c r="E159" s="4">
        <v>1000666</v>
      </c>
      <c r="F159" s="4" t="s">
        <v>44</v>
      </c>
      <c r="G159" s="4" t="s">
        <v>45</v>
      </c>
      <c r="H159" s="4" t="s">
        <v>61</v>
      </c>
      <c r="I159" s="4" t="s">
        <v>57</v>
      </c>
      <c r="J159" s="4" t="s">
        <v>47</v>
      </c>
      <c r="K159" s="4">
        <v>7.5</v>
      </c>
      <c r="L159" s="4">
        <v>15</v>
      </c>
      <c r="M159" s="5">
        <v>288</v>
      </c>
      <c r="N159" s="5">
        <v>288</v>
      </c>
      <c r="O159" s="5">
        <v>144</v>
      </c>
      <c r="P159" s="5">
        <v>288</v>
      </c>
      <c r="Q159" s="5">
        <v>288</v>
      </c>
      <c r="R159" s="5">
        <v>576</v>
      </c>
      <c r="S159" s="5">
        <v>144</v>
      </c>
      <c r="T159" s="5">
        <v>288</v>
      </c>
      <c r="U159" s="5">
        <v>432</v>
      </c>
      <c r="V159" s="5">
        <v>432</v>
      </c>
      <c r="W159" s="5">
        <v>432</v>
      </c>
      <c r="X159" s="5">
        <v>288</v>
      </c>
      <c r="Z159" t="e">
        <f>VLOOKUP(E159,Sheet2!$A$1:$A$39,1,0)</f>
        <v>#N/A</v>
      </c>
      <c r="AA159">
        <f>VLOOKUP($E159,[1]Sheet1!$E$10:$X$629,AA$9,0)</f>
        <v>432</v>
      </c>
      <c r="AB159">
        <f>VLOOKUP($E159,[1]Sheet1!$E$10:$X$629,AB$9,0)</f>
        <v>144</v>
      </c>
      <c r="AC159">
        <f>VLOOKUP($E159,[1]Sheet1!$E$10:$X$629,AC$9,0)</f>
        <v>576</v>
      </c>
      <c r="AD159">
        <f>VLOOKUP($E159,[1]Sheet1!$E$10:$X$629,AD$9,0)</f>
        <v>432</v>
      </c>
      <c r="AE159">
        <f>VLOOKUP($E159,[1]Sheet1!$E$10:$X$629,AE$9,0)</f>
        <v>288</v>
      </c>
      <c r="AF159">
        <f>VLOOKUP($E159,[1]Sheet1!$E$10:$X$629,AF$9,0)</f>
        <v>720</v>
      </c>
      <c r="AG159">
        <f>VLOOKUP($E159,[1]Sheet1!$E$10:$X$629,AG$9,0)</f>
        <v>144</v>
      </c>
      <c r="AH159">
        <f>VLOOKUP($E159,[1]Sheet1!$E$10:$X$629,AH$9,0)</f>
        <v>288</v>
      </c>
      <c r="AJ159">
        <f t="shared" si="7"/>
        <v>2304</v>
      </c>
      <c r="AK159">
        <f t="shared" si="8"/>
        <v>3024</v>
      </c>
      <c r="AL159">
        <f t="shared" si="9"/>
        <v>-720</v>
      </c>
    </row>
    <row r="160" spans="1:38" ht="39.6" x14ac:dyDescent="0.3">
      <c r="A160" s="4" t="s">
        <v>466</v>
      </c>
      <c r="B160" s="5" t="s">
        <v>467</v>
      </c>
      <c r="C160" s="21" t="s">
        <v>468</v>
      </c>
      <c r="D160" s="20"/>
      <c r="E160" s="4">
        <v>1000774</v>
      </c>
      <c r="F160" s="4" t="s">
        <v>44</v>
      </c>
      <c r="G160" s="4" t="s">
        <v>45</v>
      </c>
      <c r="H160" s="4" t="s">
        <v>61</v>
      </c>
      <c r="I160" s="4" t="s">
        <v>57</v>
      </c>
      <c r="J160" s="4" t="s">
        <v>47</v>
      </c>
      <c r="K160" s="4">
        <v>7.5</v>
      </c>
      <c r="L160" s="4">
        <v>15</v>
      </c>
      <c r="M160" s="5">
        <v>864</v>
      </c>
      <c r="N160" s="5">
        <v>720</v>
      </c>
      <c r="O160" s="5">
        <v>576</v>
      </c>
      <c r="P160" s="5">
        <v>432</v>
      </c>
      <c r="Q160" s="5">
        <v>720</v>
      </c>
      <c r="R160" s="5">
        <v>720</v>
      </c>
      <c r="S160" s="5">
        <v>864</v>
      </c>
      <c r="T160" s="5">
        <v>576</v>
      </c>
      <c r="U160" s="5">
        <v>1152</v>
      </c>
      <c r="V160" s="5">
        <v>1152</v>
      </c>
      <c r="W160" s="5">
        <v>720</v>
      </c>
      <c r="X160" s="5">
        <v>1008</v>
      </c>
      <c r="Z160" t="e">
        <f>VLOOKUP(E160,Sheet2!$A$1:$A$39,1,0)</f>
        <v>#N/A</v>
      </c>
      <c r="AA160">
        <f>VLOOKUP($E160,[1]Sheet1!$E$10:$X$629,AA$9,0)</f>
        <v>1152</v>
      </c>
      <c r="AB160">
        <f>VLOOKUP($E160,[1]Sheet1!$E$10:$X$629,AB$9,0)</f>
        <v>720</v>
      </c>
      <c r="AC160">
        <f>VLOOKUP($E160,[1]Sheet1!$E$10:$X$629,AC$9,0)</f>
        <v>1008</v>
      </c>
      <c r="AD160">
        <f>VLOOKUP($E160,[1]Sheet1!$E$10:$X$629,AD$9,0)</f>
        <v>864</v>
      </c>
      <c r="AE160">
        <f>VLOOKUP($E160,[1]Sheet1!$E$10:$X$629,AE$9,0)</f>
        <v>864</v>
      </c>
      <c r="AF160">
        <f>VLOOKUP($E160,[1]Sheet1!$E$10:$X$629,AF$9,0)</f>
        <v>1152</v>
      </c>
      <c r="AG160">
        <f>VLOOKUP($E160,[1]Sheet1!$E$10:$X$629,AG$9,0)</f>
        <v>1152</v>
      </c>
      <c r="AH160">
        <f>VLOOKUP($E160,[1]Sheet1!$E$10:$X$629,AH$9,0)</f>
        <v>144</v>
      </c>
      <c r="AJ160">
        <f t="shared" si="7"/>
        <v>5472</v>
      </c>
      <c r="AK160">
        <f t="shared" si="8"/>
        <v>7056</v>
      </c>
      <c r="AL160">
        <f t="shared" si="9"/>
        <v>-1584</v>
      </c>
    </row>
    <row r="161" spans="1:38" ht="39.6" x14ac:dyDescent="0.3">
      <c r="A161" s="4" t="s">
        <v>469</v>
      </c>
      <c r="B161" s="5" t="s">
        <v>470</v>
      </c>
      <c r="C161" s="21" t="s">
        <v>471</v>
      </c>
      <c r="D161" s="20"/>
      <c r="E161" s="4">
        <v>1000744</v>
      </c>
      <c r="F161" s="4" t="s">
        <v>44</v>
      </c>
      <c r="G161" s="4" t="s">
        <v>45</v>
      </c>
      <c r="H161" s="4" t="s">
        <v>61</v>
      </c>
      <c r="I161" s="4" t="s">
        <v>57</v>
      </c>
      <c r="J161" s="4" t="s">
        <v>47</v>
      </c>
      <c r="K161" s="4">
        <v>7.5</v>
      </c>
      <c r="L161" s="4">
        <v>15</v>
      </c>
      <c r="M161" s="5">
        <v>0</v>
      </c>
      <c r="N161" s="5">
        <v>288</v>
      </c>
      <c r="O161" s="5">
        <v>288</v>
      </c>
      <c r="P161" s="5">
        <v>288</v>
      </c>
      <c r="Q161" s="5">
        <v>144</v>
      </c>
      <c r="R161" s="5">
        <v>432</v>
      </c>
      <c r="S161" s="5">
        <v>288</v>
      </c>
      <c r="T161" s="5">
        <v>144</v>
      </c>
      <c r="U161" s="5">
        <v>288</v>
      </c>
      <c r="V161" s="5">
        <v>432</v>
      </c>
      <c r="W161" s="5">
        <v>432</v>
      </c>
      <c r="X161" s="5">
        <v>288</v>
      </c>
      <c r="Z161" t="e">
        <f>VLOOKUP(E161,Sheet2!$A$1:$A$39,1,0)</f>
        <v>#N/A</v>
      </c>
      <c r="AA161">
        <f>VLOOKUP($E161,[1]Sheet1!$E$10:$X$629,AA$9,0)</f>
        <v>288</v>
      </c>
      <c r="AB161">
        <f>VLOOKUP($E161,[1]Sheet1!$E$10:$X$629,AB$9,0)</f>
        <v>576</v>
      </c>
      <c r="AC161">
        <f>VLOOKUP($E161,[1]Sheet1!$E$10:$X$629,AC$9,0)</f>
        <v>432</v>
      </c>
      <c r="AD161">
        <f>VLOOKUP($E161,[1]Sheet1!$E$10:$X$629,AD$9,0)</f>
        <v>576</v>
      </c>
      <c r="AE161">
        <f>VLOOKUP($E161,[1]Sheet1!$E$10:$X$629,AE$9,0)</f>
        <v>288</v>
      </c>
      <c r="AF161">
        <f>VLOOKUP($E161,[1]Sheet1!$E$10:$X$629,AF$9,0)</f>
        <v>720</v>
      </c>
      <c r="AG161">
        <f>VLOOKUP($E161,[1]Sheet1!$E$10:$X$629,AG$9,0)</f>
        <v>432</v>
      </c>
      <c r="AH161">
        <f>VLOOKUP($E161,[1]Sheet1!$E$10:$X$629,AH$9,0)</f>
        <v>432</v>
      </c>
      <c r="AJ161">
        <f t="shared" si="7"/>
        <v>1872</v>
      </c>
      <c r="AK161">
        <f t="shared" si="8"/>
        <v>3744</v>
      </c>
      <c r="AL161">
        <f t="shared" si="9"/>
        <v>-1872</v>
      </c>
    </row>
    <row r="162" spans="1:38" ht="39.6" x14ac:dyDescent="0.3">
      <c r="A162" s="4" t="s">
        <v>472</v>
      </c>
      <c r="B162" s="5" t="s">
        <v>473</v>
      </c>
      <c r="C162" s="21" t="s">
        <v>474</v>
      </c>
      <c r="D162" s="20"/>
      <c r="E162" s="4">
        <v>1000773</v>
      </c>
      <c r="F162" s="4" t="s">
        <v>44</v>
      </c>
      <c r="G162" s="4" t="s">
        <v>45</v>
      </c>
      <c r="H162" s="4" t="s">
        <v>61</v>
      </c>
      <c r="I162" s="4" t="s">
        <v>57</v>
      </c>
      <c r="J162" s="4" t="s">
        <v>47</v>
      </c>
      <c r="K162" s="4">
        <v>7.5</v>
      </c>
      <c r="L162" s="4">
        <v>15</v>
      </c>
      <c r="M162" s="5">
        <v>576</v>
      </c>
      <c r="N162" s="5">
        <v>144</v>
      </c>
      <c r="O162" s="5">
        <v>720</v>
      </c>
      <c r="P162" s="5">
        <v>576</v>
      </c>
      <c r="Q162" s="5">
        <v>576</v>
      </c>
      <c r="R162" s="5">
        <v>720</v>
      </c>
      <c r="S162" s="5">
        <v>144</v>
      </c>
      <c r="T162" s="5">
        <v>576</v>
      </c>
      <c r="U162" s="5">
        <v>720</v>
      </c>
      <c r="V162" s="5">
        <v>576</v>
      </c>
      <c r="W162" s="5">
        <v>864</v>
      </c>
      <c r="X162" s="5">
        <v>576</v>
      </c>
      <c r="Z162" t="e">
        <f>VLOOKUP(E162,Sheet2!$A$1:$A$39,1,0)</f>
        <v>#N/A</v>
      </c>
      <c r="AA162">
        <f>VLOOKUP($E162,[1]Sheet1!$E$10:$X$629,AA$9,0)</f>
        <v>720</v>
      </c>
      <c r="AB162">
        <f>VLOOKUP($E162,[1]Sheet1!$E$10:$X$629,AB$9,0)</f>
        <v>720</v>
      </c>
      <c r="AC162">
        <f>VLOOKUP($E162,[1]Sheet1!$E$10:$X$629,AC$9,0)</f>
        <v>720</v>
      </c>
      <c r="AD162">
        <f>VLOOKUP($E162,[1]Sheet1!$E$10:$X$629,AD$9,0)</f>
        <v>720</v>
      </c>
      <c r="AE162">
        <f>VLOOKUP($E162,[1]Sheet1!$E$10:$X$629,AE$9,0)</f>
        <v>720</v>
      </c>
      <c r="AF162">
        <f>VLOOKUP($E162,[1]Sheet1!$E$10:$X$629,AF$9,0)</f>
        <v>1008</v>
      </c>
      <c r="AG162">
        <f>VLOOKUP($E162,[1]Sheet1!$E$10:$X$629,AG$9,0)</f>
        <v>864</v>
      </c>
      <c r="AH162">
        <f>VLOOKUP($E162,[1]Sheet1!$E$10:$X$629,AH$9,0)</f>
        <v>432</v>
      </c>
      <c r="AJ162">
        <f t="shared" si="7"/>
        <v>4032</v>
      </c>
      <c r="AK162">
        <f t="shared" si="8"/>
        <v>5904</v>
      </c>
      <c r="AL162">
        <f t="shared" si="9"/>
        <v>-1872</v>
      </c>
    </row>
    <row r="163" spans="1:38" ht="39.6" x14ac:dyDescent="0.3">
      <c r="A163" s="4" t="s">
        <v>475</v>
      </c>
      <c r="B163" s="5" t="s">
        <v>476</v>
      </c>
      <c r="C163" s="21" t="s">
        <v>477</v>
      </c>
      <c r="D163" s="20"/>
      <c r="E163" s="4">
        <v>1000743</v>
      </c>
      <c r="F163" s="4" t="s">
        <v>44</v>
      </c>
      <c r="G163" s="4" t="s">
        <v>45</v>
      </c>
      <c r="H163" s="4" t="s">
        <v>61</v>
      </c>
      <c r="I163" s="4" t="s">
        <v>57</v>
      </c>
      <c r="J163" s="4" t="s">
        <v>47</v>
      </c>
      <c r="K163" s="4">
        <v>7.5</v>
      </c>
      <c r="L163" s="4">
        <v>15</v>
      </c>
      <c r="M163" s="5">
        <v>144</v>
      </c>
      <c r="N163" s="5">
        <v>288</v>
      </c>
      <c r="O163" s="5">
        <v>0</v>
      </c>
      <c r="P163" s="5">
        <v>144</v>
      </c>
      <c r="Q163" s="5">
        <v>144</v>
      </c>
      <c r="R163" s="5">
        <v>288</v>
      </c>
      <c r="S163" s="5">
        <v>144</v>
      </c>
      <c r="T163" s="5">
        <v>0</v>
      </c>
      <c r="U163" s="5">
        <v>288</v>
      </c>
      <c r="V163" s="5">
        <v>144</v>
      </c>
      <c r="W163" s="5">
        <v>432</v>
      </c>
      <c r="X163" s="5">
        <v>0</v>
      </c>
      <c r="Z163" t="e">
        <f>VLOOKUP(E163,Sheet2!$A$1:$A$39,1,0)</f>
        <v>#N/A</v>
      </c>
      <c r="AA163">
        <f>VLOOKUP($E163,[1]Sheet1!$E$10:$X$629,AA$9,0)</f>
        <v>288</v>
      </c>
      <c r="AB163">
        <f>VLOOKUP($E163,[1]Sheet1!$E$10:$X$629,AB$9,0)</f>
        <v>432</v>
      </c>
      <c r="AC163">
        <f>VLOOKUP($E163,[1]Sheet1!$E$10:$X$629,AC$9,0)</f>
        <v>144</v>
      </c>
      <c r="AD163">
        <f>VLOOKUP($E163,[1]Sheet1!$E$10:$X$629,AD$9,0)</f>
        <v>288</v>
      </c>
      <c r="AE163">
        <f>VLOOKUP($E163,[1]Sheet1!$E$10:$X$629,AE$9,0)</f>
        <v>432</v>
      </c>
      <c r="AF163">
        <f>VLOOKUP($E163,[1]Sheet1!$E$10:$X$629,AF$9,0)</f>
        <v>432</v>
      </c>
      <c r="AG163">
        <f>VLOOKUP($E163,[1]Sheet1!$E$10:$X$629,AG$9,0)</f>
        <v>432</v>
      </c>
      <c r="AH163">
        <f>VLOOKUP($E163,[1]Sheet1!$E$10:$X$629,AH$9,0)</f>
        <v>144</v>
      </c>
      <c r="AJ163">
        <f t="shared" si="7"/>
        <v>1152</v>
      </c>
      <c r="AK163">
        <f t="shared" si="8"/>
        <v>2592</v>
      </c>
      <c r="AL163">
        <f t="shared" si="9"/>
        <v>-1440</v>
      </c>
    </row>
    <row r="164" spans="1:38" ht="39.6" x14ac:dyDescent="0.3">
      <c r="A164" s="4" t="s">
        <v>478</v>
      </c>
      <c r="B164" s="5" t="s">
        <v>479</v>
      </c>
      <c r="C164" s="21" t="s">
        <v>480</v>
      </c>
      <c r="D164" s="20"/>
      <c r="E164" s="4">
        <v>1000772</v>
      </c>
      <c r="F164" s="4" t="s">
        <v>44</v>
      </c>
      <c r="G164" s="4" t="s">
        <v>45</v>
      </c>
      <c r="H164" s="4" t="s">
        <v>61</v>
      </c>
      <c r="I164" s="4" t="s">
        <v>57</v>
      </c>
      <c r="J164" s="4" t="s">
        <v>47</v>
      </c>
      <c r="K164" s="4">
        <v>7.5</v>
      </c>
      <c r="L164" s="4">
        <v>15</v>
      </c>
      <c r="M164" s="5">
        <v>288</v>
      </c>
      <c r="N164" s="5">
        <v>0</v>
      </c>
      <c r="O164" s="5">
        <v>144</v>
      </c>
      <c r="P164" s="5">
        <v>144</v>
      </c>
      <c r="Q164" s="5">
        <v>288</v>
      </c>
      <c r="R164" s="5">
        <v>288</v>
      </c>
      <c r="S164" s="5">
        <v>144</v>
      </c>
      <c r="T164" s="5">
        <v>288</v>
      </c>
      <c r="U164" s="5">
        <v>144</v>
      </c>
      <c r="V164" s="5">
        <v>288</v>
      </c>
      <c r="W164" s="5">
        <v>432</v>
      </c>
      <c r="X164" s="5">
        <v>144</v>
      </c>
      <c r="Z164" t="e">
        <f>VLOOKUP(E164,Sheet2!$A$1:$A$39,1,0)</f>
        <v>#N/A</v>
      </c>
      <c r="AA164">
        <f>VLOOKUP($E164,[1]Sheet1!$E$10:$X$629,AA$9,0)</f>
        <v>288</v>
      </c>
      <c r="AB164">
        <f>VLOOKUP($E164,[1]Sheet1!$E$10:$X$629,AB$9,0)</f>
        <v>288</v>
      </c>
      <c r="AC164">
        <f>VLOOKUP($E164,[1]Sheet1!$E$10:$X$629,AC$9,0)</f>
        <v>288</v>
      </c>
      <c r="AD164">
        <f>VLOOKUP($E164,[1]Sheet1!$E$10:$X$629,AD$9,0)</f>
        <v>432</v>
      </c>
      <c r="AE164">
        <f>VLOOKUP($E164,[1]Sheet1!$E$10:$X$629,AE$9,0)</f>
        <v>144</v>
      </c>
      <c r="AF164">
        <f>VLOOKUP($E164,[1]Sheet1!$E$10:$X$629,AF$9,0)</f>
        <v>720</v>
      </c>
      <c r="AG164">
        <f>VLOOKUP($E164,[1]Sheet1!$E$10:$X$629,AG$9,0)</f>
        <v>720</v>
      </c>
      <c r="AH164">
        <f>VLOOKUP($E164,[1]Sheet1!$E$10:$X$629,AH$9,0)</f>
        <v>0</v>
      </c>
      <c r="AJ164">
        <f t="shared" si="7"/>
        <v>1584</v>
      </c>
      <c r="AK164">
        <f t="shared" si="8"/>
        <v>2880</v>
      </c>
      <c r="AL164">
        <f t="shared" si="9"/>
        <v>-1296</v>
      </c>
    </row>
    <row r="165" spans="1:38" ht="39.6" x14ac:dyDescent="0.3">
      <c r="A165" s="4" t="s">
        <v>481</v>
      </c>
      <c r="B165" s="5" t="s">
        <v>482</v>
      </c>
      <c r="C165" s="21" t="s">
        <v>483</v>
      </c>
      <c r="D165" s="20"/>
      <c r="E165" s="4">
        <v>1000742</v>
      </c>
      <c r="F165" s="4" t="s">
        <v>44</v>
      </c>
      <c r="G165" s="4" t="s">
        <v>45</v>
      </c>
      <c r="H165" s="4" t="s">
        <v>61</v>
      </c>
      <c r="I165" s="4" t="s">
        <v>57</v>
      </c>
      <c r="J165" s="4" t="s">
        <v>47</v>
      </c>
      <c r="K165" s="4">
        <v>7.5</v>
      </c>
      <c r="L165" s="4">
        <v>15</v>
      </c>
      <c r="M165" s="5">
        <v>144</v>
      </c>
      <c r="N165" s="5">
        <v>288</v>
      </c>
      <c r="O165" s="5">
        <v>144</v>
      </c>
      <c r="P165" s="5">
        <v>144</v>
      </c>
      <c r="Q165" s="5">
        <v>288</v>
      </c>
      <c r="R165" s="5">
        <v>288</v>
      </c>
      <c r="S165" s="5">
        <v>144</v>
      </c>
      <c r="T165" s="5">
        <v>432</v>
      </c>
      <c r="U165" s="5">
        <v>144</v>
      </c>
      <c r="V165" s="5">
        <v>0</v>
      </c>
      <c r="W165" s="5">
        <v>576</v>
      </c>
      <c r="X165" s="5">
        <v>144</v>
      </c>
      <c r="Z165" t="e">
        <f>VLOOKUP(E165,Sheet2!$A$1:$A$39,1,0)</f>
        <v>#N/A</v>
      </c>
      <c r="AA165">
        <f>VLOOKUP($E165,[1]Sheet1!$E$10:$X$629,AA$9,0)</f>
        <v>432</v>
      </c>
      <c r="AB165">
        <f>VLOOKUP($E165,[1]Sheet1!$E$10:$X$629,AB$9,0)</f>
        <v>432</v>
      </c>
      <c r="AC165">
        <f>VLOOKUP($E165,[1]Sheet1!$E$10:$X$629,AC$9,0)</f>
        <v>288</v>
      </c>
      <c r="AD165">
        <f>VLOOKUP($E165,[1]Sheet1!$E$10:$X$629,AD$9,0)</f>
        <v>288</v>
      </c>
      <c r="AE165">
        <f>VLOOKUP($E165,[1]Sheet1!$E$10:$X$629,AE$9,0)</f>
        <v>288</v>
      </c>
      <c r="AF165">
        <f>VLOOKUP($E165,[1]Sheet1!$E$10:$X$629,AF$9,0)</f>
        <v>720</v>
      </c>
      <c r="AG165">
        <f>VLOOKUP($E165,[1]Sheet1!$E$10:$X$629,AG$9,0)</f>
        <v>432</v>
      </c>
      <c r="AH165">
        <f>VLOOKUP($E165,[1]Sheet1!$E$10:$X$629,AH$9,0)</f>
        <v>0</v>
      </c>
      <c r="AJ165">
        <f t="shared" si="7"/>
        <v>1872</v>
      </c>
      <c r="AK165">
        <f t="shared" si="8"/>
        <v>2880</v>
      </c>
      <c r="AL165">
        <f t="shared" si="9"/>
        <v>-1008</v>
      </c>
    </row>
    <row r="166" spans="1:38" ht="39.6" x14ac:dyDescent="0.3">
      <c r="A166" s="4" t="s">
        <v>484</v>
      </c>
      <c r="B166" s="5" t="s">
        <v>485</v>
      </c>
      <c r="C166" s="21" t="s">
        <v>486</v>
      </c>
      <c r="D166" s="20"/>
      <c r="E166" s="4">
        <v>1000739</v>
      </c>
      <c r="F166" s="4" t="s">
        <v>44</v>
      </c>
      <c r="G166" s="4" t="s">
        <v>45</v>
      </c>
      <c r="H166" s="4" t="s">
        <v>61</v>
      </c>
      <c r="I166" s="4" t="s">
        <v>57</v>
      </c>
      <c r="J166" s="4" t="s">
        <v>47</v>
      </c>
      <c r="K166" s="4">
        <v>7.5</v>
      </c>
      <c r="L166" s="4">
        <v>15</v>
      </c>
      <c r="M166" s="5">
        <v>0</v>
      </c>
      <c r="N166" s="5">
        <v>144</v>
      </c>
      <c r="O166" s="5">
        <v>0</v>
      </c>
      <c r="P166" s="5">
        <v>288</v>
      </c>
      <c r="Q166" s="5">
        <v>144</v>
      </c>
      <c r="R166" s="5">
        <v>288</v>
      </c>
      <c r="S166" s="5">
        <v>0</v>
      </c>
      <c r="T166" s="5">
        <v>432</v>
      </c>
      <c r="U166" s="5">
        <v>144</v>
      </c>
      <c r="V166" s="5">
        <v>144</v>
      </c>
      <c r="W166" s="5">
        <v>288</v>
      </c>
      <c r="X166" s="5">
        <v>288</v>
      </c>
      <c r="Z166" t="e">
        <f>VLOOKUP(E166,Sheet2!$A$1:$A$39,1,0)</f>
        <v>#N/A</v>
      </c>
      <c r="AA166">
        <f>VLOOKUP($E166,[1]Sheet1!$E$10:$X$629,AA$9,0)</f>
        <v>144</v>
      </c>
      <c r="AB166">
        <f>VLOOKUP($E166,[1]Sheet1!$E$10:$X$629,AB$9,0)</f>
        <v>432</v>
      </c>
      <c r="AC166">
        <f>VLOOKUP($E166,[1]Sheet1!$E$10:$X$629,AC$9,0)</f>
        <v>288</v>
      </c>
      <c r="AD166">
        <f>VLOOKUP($E166,[1]Sheet1!$E$10:$X$629,AD$9,0)</f>
        <v>288</v>
      </c>
      <c r="AE166">
        <f>VLOOKUP($E166,[1]Sheet1!$E$10:$X$629,AE$9,0)</f>
        <v>432</v>
      </c>
      <c r="AF166">
        <f>VLOOKUP($E166,[1]Sheet1!$E$10:$X$629,AF$9,0)</f>
        <v>288</v>
      </c>
      <c r="AG166">
        <f>VLOOKUP($E166,[1]Sheet1!$E$10:$X$629,AG$9,0)</f>
        <v>432</v>
      </c>
      <c r="AH166">
        <f>VLOOKUP($E166,[1]Sheet1!$E$10:$X$629,AH$9,0)</f>
        <v>288</v>
      </c>
      <c r="AJ166">
        <f t="shared" si="7"/>
        <v>1296</v>
      </c>
      <c r="AK166">
        <f t="shared" si="8"/>
        <v>2592</v>
      </c>
      <c r="AL166">
        <f t="shared" si="9"/>
        <v>-1296</v>
      </c>
    </row>
    <row r="167" spans="1:38" ht="39.6" x14ac:dyDescent="0.3">
      <c r="A167" s="4" t="s">
        <v>487</v>
      </c>
      <c r="B167" s="5" t="s">
        <v>488</v>
      </c>
      <c r="C167" s="21" t="s">
        <v>489</v>
      </c>
      <c r="D167" s="20"/>
      <c r="E167" s="4">
        <v>1000794</v>
      </c>
      <c r="F167" s="4" t="s">
        <v>44</v>
      </c>
      <c r="G167" s="4" t="s">
        <v>45</v>
      </c>
      <c r="H167" s="4"/>
      <c r="I167" s="4" t="s">
        <v>46</v>
      </c>
      <c r="J167" s="4" t="s">
        <v>47</v>
      </c>
      <c r="K167" s="4">
        <v>7.5</v>
      </c>
      <c r="L167" s="4">
        <v>3.75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Z167" t="e">
        <f>VLOOKUP(E167,Sheet2!$A$1:$A$39,1,0)</f>
        <v>#N/A</v>
      </c>
      <c r="AA167">
        <f>VLOOKUP($E167,[1]Sheet1!$E$10:$X$629,AA$9,0)</f>
        <v>0</v>
      </c>
      <c r="AB167">
        <f>VLOOKUP($E167,[1]Sheet1!$E$10:$X$629,AB$9,0)</f>
        <v>0</v>
      </c>
      <c r="AC167">
        <f>VLOOKUP($E167,[1]Sheet1!$E$10:$X$629,AC$9,0)</f>
        <v>0</v>
      </c>
      <c r="AD167">
        <f>VLOOKUP($E167,[1]Sheet1!$E$10:$X$629,AD$9,0)</f>
        <v>0</v>
      </c>
      <c r="AE167">
        <f>VLOOKUP($E167,[1]Sheet1!$E$10:$X$629,AE$9,0)</f>
        <v>0</v>
      </c>
      <c r="AF167">
        <f>VLOOKUP($E167,[1]Sheet1!$E$10:$X$629,AF$9,0)</f>
        <v>0</v>
      </c>
      <c r="AG167">
        <f>VLOOKUP($E167,[1]Sheet1!$E$10:$X$629,AG$9,0)</f>
        <v>0</v>
      </c>
      <c r="AH167">
        <f>VLOOKUP($E167,[1]Sheet1!$E$10:$X$629,AH$9,0)</f>
        <v>0</v>
      </c>
      <c r="AJ167">
        <f t="shared" si="7"/>
        <v>0</v>
      </c>
      <c r="AK167">
        <f t="shared" si="8"/>
        <v>0</v>
      </c>
      <c r="AL167">
        <f t="shared" si="9"/>
        <v>0</v>
      </c>
    </row>
    <row r="168" spans="1:38" ht="39.6" x14ac:dyDescent="0.3">
      <c r="A168" s="4" t="s">
        <v>490</v>
      </c>
      <c r="B168" s="5" t="s">
        <v>491</v>
      </c>
      <c r="C168" s="21" t="s">
        <v>492</v>
      </c>
      <c r="D168" s="20"/>
      <c r="E168" s="4">
        <v>1000795</v>
      </c>
      <c r="F168" s="4" t="s">
        <v>44</v>
      </c>
      <c r="G168" s="4" t="s">
        <v>45</v>
      </c>
      <c r="H168" s="4" t="s">
        <v>56</v>
      </c>
      <c r="I168" s="4" t="s">
        <v>46</v>
      </c>
      <c r="J168" s="4" t="s">
        <v>47</v>
      </c>
      <c r="K168" s="4">
        <v>7.5</v>
      </c>
      <c r="L168" s="4">
        <v>3.75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Z168" t="e">
        <f>VLOOKUP(E168,Sheet2!$A$1:$A$39,1,0)</f>
        <v>#N/A</v>
      </c>
      <c r="AA168">
        <f>VLOOKUP($E168,[1]Sheet1!$E$10:$X$629,AA$9,0)</f>
        <v>0</v>
      </c>
      <c r="AB168">
        <f>VLOOKUP($E168,[1]Sheet1!$E$10:$X$629,AB$9,0)</f>
        <v>0</v>
      </c>
      <c r="AC168">
        <f>VLOOKUP($E168,[1]Sheet1!$E$10:$X$629,AC$9,0)</f>
        <v>0</v>
      </c>
      <c r="AD168">
        <f>VLOOKUP($E168,[1]Sheet1!$E$10:$X$629,AD$9,0)</f>
        <v>0</v>
      </c>
      <c r="AE168">
        <f>VLOOKUP($E168,[1]Sheet1!$E$10:$X$629,AE$9,0)</f>
        <v>0</v>
      </c>
      <c r="AF168">
        <f>VLOOKUP($E168,[1]Sheet1!$E$10:$X$629,AF$9,0)</f>
        <v>0</v>
      </c>
      <c r="AG168">
        <f>VLOOKUP($E168,[1]Sheet1!$E$10:$X$629,AG$9,0)</f>
        <v>0</v>
      </c>
      <c r="AH168">
        <f>VLOOKUP($E168,[1]Sheet1!$E$10:$X$629,AH$9,0)</f>
        <v>0</v>
      </c>
      <c r="AJ168">
        <f t="shared" si="7"/>
        <v>0</v>
      </c>
      <c r="AK168">
        <f t="shared" si="8"/>
        <v>0</v>
      </c>
      <c r="AL168">
        <f t="shared" si="9"/>
        <v>0</v>
      </c>
    </row>
    <row r="169" spans="1:38" ht="39.6" x14ac:dyDescent="0.3">
      <c r="A169" s="4" t="s">
        <v>493</v>
      </c>
      <c r="B169" s="5" t="s">
        <v>494</v>
      </c>
      <c r="C169" s="21" t="s">
        <v>495</v>
      </c>
      <c r="D169" s="20"/>
      <c r="E169" s="4">
        <v>1000796</v>
      </c>
      <c r="F169" s="4" t="s">
        <v>44</v>
      </c>
      <c r="G169" s="4" t="s">
        <v>45</v>
      </c>
      <c r="H169" s="4" t="s">
        <v>56</v>
      </c>
      <c r="I169" s="4" t="s">
        <v>46</v>
      </c>
      <c r="J169" s="4" t="s">
        <v>47</v>
      </c>
      <c r="K169" s="4">
        <v>7.5</v>
      </c>
      <c r="L169" s="4">
        <v>3.75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Z169" t="e">
        <f>VLOOKUP(E169,Sheet2!$A$1:$A$39,1,0)</f>
        <v>#N/A</v>
      </c>
      <c r="AA169">
        <f>VLOOKUP($E169,[1]Sheet1!$E$10:$X$629,AA$9,0)</f>
        <v>0</v>
      </c>
      <c r="AB169">
        <f>VLOOKUP($E169,[1]Sheet1!$E$10:$X$629,AB$9,0)</f>
        <v>0</v>
      </c>
      <c r="AC169">
        <f>VLOOKUP($E169,[1]Sheet1!$E$10:$X$629,AC$9,0)</f>
        <v>0</v>
      </c>
      <c r="AD169">
        <f>VLOOKUP($E169,[1]Sheet1!$E$10:$X$629,AD$9,0)</f>
        <v>0</v>
      </c>
      <c r="AE169">
        <f>VLOOKUP($E169,[1]Sheet1!$E$10:$X$629,AE$9,0)</f>
        <v>0</v>
      </c>
      <c r="AF169">
        <f>VLOOKUP($E169,[1]Sheet1!$E$10:$X$629,AF$9,0)</f>
        <v>0</v>
      </c>
      <c r="AG169">
        <f>VLOOKUP($E169,[1]Sheet1!$E$10:$X$629,AG$9,0)</f>
        <v>0</v>
      </c>
      <c r="AH169">
        <f>VLOOKUP($E169,[1]Sheet1!$E$10:$X$629,AH$9,0)</f>
        <v>0</v>
      </c>
      <c r="AJ169">
        <f t="shared" si="7"/>
        <v>0</v>
      </c>
      <c r="AK169">
        <f t="shared" si="8"/>
        <v>0</v>
      </c>
      <c r="AL169">
        <f t="shared" si="9"/>
        <v>0</v>
      </c>
    </row>
    <row r="170" spans="1:38" ht="39.6" x14ac:dyDescent="0.3">
      <c r="A170" s="4" t="s">
        <v>496</v>
      </c>
      <c r="B170" s="5" t="s">
        <v>497</v>
      </c>
      <c r="C170" s="21" t="s">
        <v>498</v>
      </c>
      <c r="D170" s="20"/>
      <c r="E170" s="4">
        <v>1000986</v>
      </c>
      <c r="F170" s="4" t="s">
        <v>44</v>
      </c>
      <c r="G170" s="4" t="s">
        <v>45</v>
      </c>
      <c r="H170" s="4" t="s">
        <v>51</v>
      </c>
      <c r="I170" s="4" t="s">
        <v>52</v>
      </c>
      <c r="J170" s="4" t="s">
        <v>47</v>
      </c>
      <c r="K170" s="4">
        <v>18</v>
      </c>
      <c r="L170" s="4">
        <v>3.8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Z170" t="e">
        <f>VLOOKUP(E170,Sheet2!$A$1:$A$39,1,0)</f>
        <v>#N/A</v>
      </c>
      <c r="AA170">
        <f>VLOOKUP($E170,[1]Sheet1!$E$10:$X$629,AA$9,0)</f>
        <v>0</v>
      </c>
      <c r="AB170">
        <f>VLOOKUP($E170,[1]Sheet1!$E$10:$X$629,AB$9,0)</f>
        <v>0</v>
      </c>
      <c r="AC170">
        <f>VLOOKUP($E170,[1]Sheet1!$E$10:$X$629,AC$9,0)</f>
        <v>0</v>
      </c>
      <c r="AD170">
        <f>VLOOKUP($E170,[1]Sheet1!$E$10:$X$629,AD$9,0)</f>
        <v>0</v>
      </c>
      <c r="AE170">
        <f>VLOOKUP($E170,[1]Sheet1!$E$10:$X$629,AE$9,0)</f>
        <v>0</v>
      </c>
      <c r="AF170">
        <f>VLOOKUP($E170,[1]Sheet1!$E$10:$X$629,AF$9,0)</f>
        <v>0</v>
      </c>
      <c r="AG170">
        <f>VLOOKUP($E170,[1]Sheet1!$E$10:$X$629,AG$9,0)</f>
        <v>0</v>
      </c>
      <c r="AH170">
        <f>VLOOKUP($E170,[1]Sheet1!$E$10:$X$629,AH$9,0)</f>
        <v>0</v>
      </c>
      <c r="AJ170">
        <f t="shared" si="7"/>
        <v>0</v>
      </c>
      <c r="AK170">
        <f t="shared" si="8"/>
        <v>0</v>
      </c>
      <c r="AL170">
        <f t="shared" si="9"/>
        <v>0</v>
      </c>
    </row>
    <row r="171" spans="1:38" ht="39.6" x14ac:dyDescent="0.3">
      <c r="A171" s="4" t="s">
        <v>499</v>
      </c>
      <c r="B171" s="5" t="s">
        <v>500</v>
      </c>
      <c r="C171" s="21" t="s">
        <v>501</v>
      </c>
      <c r="D171" s="20"/>
      <c r="E171" s="4">
        <v>1000961</v>
      </c>
      <c r="F171" s="4" t="s">
        <v>44</v>
      </c>
      <c r="G171" s="4" t="s">
        <v>45</v>
      </c>
      <c r="H171" s="4" t="s">
        <v>56</v>
      </c>
      <c r="I171" s="4" t="s">
        <v>46</v>
      </c>
      <c r="J171" s="4" t="s">
        <v>47</v>
      </c>
      <c r="K171" s="4">
        <v>6.5</v>
      </c>
      <c r="L171" s="4">
        <v>1.3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Z171" t="e">
        <f>VLOOKUP(E171,Sheet2!$A$1:$A$39,1,0)</f>
        <v>#N/A</v>
      </c>
      <c r="AA171">
        <f>VLOOKUP($E171,[1]Sheet1!$E$10:$X$629,AA$9,0)</f>
        <v>0</v>
      </c>
      <c r="AB171">
        <f>VLOOKUP($E171,[1]Sheet1!$E$10:$X$629,AB$9,0)</f>
        <v>0</v>
      </c>
      <c r="AC171">
        <f>VLOOKUP($E171,[1]Sheet1!$E$10:$X$629,AC$9,0)</f>
        <v>0</v>
      </c>
      <c r="AD171">
        <f>VLOOKUP($E171,[1]Sheet1!$E$10:$X$629,AD$9,0)</f>
        <v>0</v>
      </c>
      <c r="AE171">
        <f>VLOOKUP($E171,[1]Sheet1!$E$10:$X$629,AE$9,0)</f>
        <v>0</v>
      </c>
      <c r="AF171">
        <f>VLOOKUP($E171,[1]Sheet1!$E$10:$X$629,AF$9,0)</f>
        <v>0</v>
      </c>
      <c r="AG171">
        <f>VLOOKUP($E171,[1]Sheet1!$E$10:$X$629,AG$9,0)</f>
        <v>0</v>
      </c>
      <c r="AH171">
        <f>VLOOKUP($E171,[1]Sheet1!$E$10:$X$629,AH$9,0)</f>
        <v>0</v>
      </c>
      <c r="AJ171">
        <f t="shared" si="7"/>
        <v>0</v>
      </c>
      <c r="AK171">
        <f t="shared" si="8"/>
        <v>0</v>
      </c>
      <c r="AL171">
        <f t="shared" si="9"/>
        <v>0</v>
      </c>
    </row>
    <row r="172" spans="1:38" ht="39.6" x14ac:dyDescent="0.3">
      <c r="A172" s="4" t="s">
        <v>502</v>
      </c>
      <c r="B172" s="5" t="s">
        <v>503</v>
      </c>
      <c r="C172" s="21" t="s">
        <v>504</v>
      </c>
      <c r="D172" s="20"/>
      <c r="E172" s="4">
        <v>1000960</v>
      </c>
      <c r="F172" s="4" t="s">
        <v>44</v>
      </c>
      <c r="G172" s="4" t="s">
        <v>45</v>
      </c>
      <c r="H172" s="4" t="s">
        <v>61</v>
      </c>
      <c r="I172" s="4" t="s">
        <v>46</v>
      </c>
      <c r="J172" s="4" t="s">
        <v>47</v>
      </c>
      <c r="K172" s="4">
        <v>6.5</v>
      </c>
      <c r="L172" s="4">
        <v>1.3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Z172" t="e">
        <f>VLOOKUP(E172,Sheet2!$A$1:$A$39,1,0)</f>
        <v>#N/A</v>
      </c>
      <c r="AA172">
        <f>VLOOKUP($E172,[1]Sheet1!$E$10:$X$629,AA$9,0)</f>
        <v>0</v>
      </c>
      <c r="AB172">
        <f>VLOOKUP($E172,[1]Sheet1!$E$10:$X$629,AB$9,0)</f>
        <v>0</v>
      </c>
      <c r="AC172">
        <f>VLOOKUP($E172,[1]Sheet1!$E$10:$X$629,AC$9,0)</f>
        <v>0</v>
      </c>
      <c r="AD172">
        <f>VLOOKUP($E172,[1]Sheet1!$E$10:$X$629,AD$9,0)</f>
        <v>0</v>
      </c>
      <c r="AE172">
        <f>VLOOKUP($E172,[1]Sheet1!$E$10:$X$629,AE$9,0)</f>
        <v>0</v>
      </c>
      <c r="AF172">
        <f>VLOOKUP($E172,[1]Sheet1!$E$10:$X$629,AF$9,0)</f>
        <v>0</v>
      </c>
      <c r="AG172">
        <f>VLOOKUP($E172,[1]Sheet1!$E$10:$X$629,AG$9,0)</f>
        <v>0</v>
      </c>
      <c r="AH172">
        <f>VLOOKUP($E172,[1]Sheet1!$E$10:$X$629,AH$9,0)</f>
        <v>0</v>
      </c>
      <c r="AJ172">
        <f t="shared" si="7"/>
        <v>0</v>
      </c>
      <c r="AK172">
        <f t="shared" si="8"/>
        <v>0</v>
      </c>
      <c r="AL172">
        <f t="shared" si="9"/>
        <v>0</v>
      </c>
    </row>
    <row r="173" spans="1:38" ht="39.6" x14ac:dyDescent="0.3">
      <c r="A173" s="4" t="s">
        <v>505</v>
      </c>
      <c r="B173" s="5" t="s">
        <v>506</v>
      </c>
      <c r="C173" s="21" t="s">
        <v>507</v>
      </c>
      <c r="D173" s="20"/>
      <c r="E173" s="4">
        <v>1000860</v>
      </c>
      <c r="F173" s="4" t="s">
        <v>44</v>
      </c>
      <c r="G173" s="4" t="s">
        <v>45</v>
      </c>
      <c r="H173" s="4" t="s">
        <v>56</v>
      </c>
      <c r="I173" s="4" t="s">
        <v>46</v>
      </c>
      <c r="J173" s="4" t="s">
        <v>47</v>
      </c>
      <c r="K173" s="4">
        <v>6</v>
      </c>
      <c r="L173" s="4">
        <v>3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Z173" t="e">
        <f>VLOOKUP(E173,Sheet2!$A$1:$A$39,1,0)</f>
        <v>#N/A</v>
      </c>
      <c r="AA173">
        <f>VLOOKUP($E173,[1]Sheet1!$E$10:$X$629,AA$9,0)</f>
        <v>0</v>
      </c>
      <c r="AB173">
        <f>VLOOKUP($E173,[1]Sheet1!$E$10:$X$629,AB$9,0)</f>
        <v>0</v>
      </c>
      <c r="AC173">
        <f>VLOOKUP($E173,[1]Sheet1!$E$10:$X$629,AC$9,0)</f>
        <v>0</v>
      </c>
      <c r="AD173">
        <f>VLOOKUP($E173,[1]Sheet1!$E$10:$X$629,AD$9,0)</f>
        <v>0</v>
      </c>
      <c r="AE173">
        <f>VLOOKUP($E173,[1]Sheet1!$E$10:$X$629,AE$9,0)</f>
        <v>0</v>
      </c>
      <c r="AF173">
        <f>VLOOKUP($E173,[1]Sheet1!$E$10:$X$629,AF$9,0)</f>
        <v>0</v>
      </c>
      <c r="AG173">
        <f>VLOOKUP($E173,[1]Sheet1!$E$10:$X$629,AG$9,0)</f>
        <v>0</v>
      </c>
      <c r="AH173">
        <f>VLOOKUP($E173,[1]Sheet1!$E$10:$X$629,AH$9,0)</f>
        <v>0</v>
      </c>
      <c r="AJ173">
        <f t="shared" si="7"/>
        <v>0</v>
      </c>
      <c r="AK173">
        <f t="shared" si="8"/>
        <v>0</v>
      </c>
      <c r="AL173">
        <f t="shared" si="9"/>
        <v>0</v>
      </c>
    </row>
    <row r="174" spans="1:38" ht="39.6" x14ac:dyDescent="0.3">
      <c r="A174" s="4" t="s">
        <v>508</v>
      </c>
      <c r="B174" s="5" t="s">
        <v>509</v>
      </c>
      <c r="C174" s="21" t="s">
        <v>510</v>
      </c>
      <c r="D174" s="20"/>
      <c r="E174" s="4">
        <v>1000784</v>
      </c>
      <c r="F174" s="4" t="s">
        <v>44</v>
      </c>
      <c r="G174" s="4" t="s">
        <v>45</v>
      </c>
      <c r="H174" s="4" t="s">
        <v>61</v>
      </c>
      <c r="I174" s="4" t="s">
        <v>52</v>
      </c>
      <c r="J174" s="4" t="s">
        <v>47</v>
      </c>
      <c r="K174" s="4">
        <v>6</v>
      </c>
      <c r="L174" s="4">
        <v>12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Z174" t="e">
        <f>VLOOKUP(E174,Sheet2!$A$1:$A$39,1,0)</f>
        <v>#N/A</v>
      </c>
      <c r="AA174">
        <f>VLOOKUP($E174,[1]Sheet1!$E$10:$X$629,AA$9,0)</f>
        <v>0</v>
      </c>
      <c r="AB174">
        <f>VLOOKUP($E174,[1]Sheet1!$E$10:$X$629,AB$9,0)</f>
        <v>0</v>
      </c>
      <c r="AC174">
        <f>VLOOKUP($E174,[1]Sheet1!$E$10:$X$629,AC$9,0)</f>
        <v>0</v>
      </c>
      <c r="AD174">
        <f>VLOOKUP($E174,[1]Sheet1!$E$10:$X$629,AD$9,0)</f>
        <v>0</v>
      </c>
      <c r="AE174">
        <f>VLOOKUP($E174,[1]Sheet1!$E$10:$X$629,AE$9,0)</f>
        <v>0</v>
      </c>
      <c r="AF174">
        <f>VLOOKUP($E174,[1]Sheet1!$E$10:$X$629,AF$9,0)</f>
        <v>0</v>
      </c>
      <c r="AG174">
        <f>VLOOKUP($E174,[1]Sheet1!$E$10:$X$629,AG$9,0)</f>
        <v>0</v>
      </c>
      <c r="AH174">
        <f>VLOOKUP($E174,[1]Sheet1!$E$10:$X$629,AH$9,0)</f>
        <v>0</v>
      </c>
      <c r="AJ174">
        <f t="shared" si="7"/>
        <v>0</v>
      </c>
      <c r="AK174">
        <f t="shared" si="8"/>
        <v>0</v>
      </c>
      <c r="AL174">
        <f t="shared" si="9"/>
        <v>0</v>
      </c>
    </row>
    <row r="175" spans="1:38" ht="39.6" x14ac:dyDescent="0.3">
      <c r="A175" s="4" t="s">
        <v>511</v>
      </c>
      <c r="B175" s="5" t="s">
        <v>512</v>
      </c>
      <c r="C175" s="21" t="s">
        <v>513</v>
      </c>
      <c r="D175" s="20"/>
      <c r="E175" s="4">
        <v>1000783</v>
      </c>
      <c r="F175" s="4" t="s">
        <v>44</v>
      </c>
      <c r="G175" s="4" t="s">
        <v>45</v>
      </c>
      <c r="H175" s="4" t="s">
        <v>61</v>
      </c>
      <c r="I175" s="4" t="s">
        <v>57</v>
      </c>
      <c r="J175" s="4" t="s">
        <v>47</v>
      </c>
      <c r="K175" s="4">
        <v>6.5</v>
      </c>
      <c r="L175" s="4">
        <v>13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Z175" t="e">
        <f>VLOOKUP(E175,Sheet2!$A$1:$A$39,1,0)</f>
        <v>#N/A</v>
      </c>
      <c r="AA175">
        <f>VLOOKUP($E175,[1]Sheet1!$E$10:$X$629,AA$9,0)</f>
        <v>0</v>
      </c>
      <c r="AB175">
        <f>VLOOKUP($E175,[1]Sheet1!$E$10:$X$629,AB$9,0)</f>
        <v>0</v>
      </c>
      <c r="AC175">
        <f>VLOOKUP($E175,[1]Sheet1!$E$10:$X$629,AC$9,0)</f>
        <v>0</v>
      </c>
      <c r="AD175">
        <f>VLOOKUP($E175,[1]Sheet1!$E$10:$X$629,AD$9,0)</f>
        <v>0</v>
      </c>
      <c r="AE175">
        <f>VLOOKUP($E175,[1]Sheet1!$E$10:$X$629,AE$9,0)</f>
        <v>0</v>
      </c>
      <c r="AF175">
        <f>VLOOKUP($E175,[1]Sheet1!$E$10:$X$629,AF$9,0)</f>
        <v>0</v>
      </c>
      <c r="AG175">
        <f>VLOOKUP($E175,[1]Sheet1!$E$10:$X$629,AG$9,0)</f>
        <v>0</v>
      </c>
      <c r="AH175">
        <f>VLOOKUP($E175,[1]Sheet1!$E$10:$X$629,AH$9,0)</f>
        <v>0</v>
      </c>
      <c r="AJ175">
        <f t="shared" si="7"/>
        <v>0</v>
      </c>
      <c r="AK175">
        <f t="shared" si="8"/>
        <v>0</v>
      </c>
      <c r="AL175">
        <f t="shared" si="9"/>
        <v>0</v>
      </c>
    </row>
    <row r="176" spans="1:38" ht="39.6" x14ac:dyDescent="0.3">
      <c r="A176" s="4" t="s">
        <v>514</v>
      </c>
      <c r="B176" s="5" t="s">
        <v>515</v>
      </c>
      <c r="C176" s="21" t="s">
        <v>516</v>
      </c>
      <c r="D176" s="20"/>
      <c r="E176" s="4">
        <v>1001158</v>
      </c>
      <c r="F176" s="4" t="s">
        <v>44</v>
      </c>
      <c r="G176" s="4" t="s">
        <v>45</v>
      </c>
      <c r="H176" s="4" t="s">
        <v>61</v>
      </c>
      <c r="I176" s="4" t="s">
        <v>57</v>
      </c>
      <c r="J176" s="4" t="s">
        <v>47</v>
      </c>
      <c r="K176" s="4">
        <v>6.5</v>
      </c>
      <c r="L176" s="4">
        <v>13</v>
      </c>
      <c r="M176" s="5">
        <v>0</v>
      </c>
      <c r="N176" s="5">
        <v>288</v>
      </c>
      <c r="O176" s="5">
        <v>144</v>
      </c>
      <c r="P176" s="5">
        <v>288</v>
      </c>
      <c r="Q176" s="5">
        <v>0</v>
      </c>
      <c r="R176" s="5">
        <v>288</v>
      </c>
      <c r="S176" s="5">
        <v>144</v>
      </c>
      <c r="T176" s="5">
        <v>144</v>
      </c>
      <c r="U176" s="5">
        <v>288</v>
      </c>
      <c r="V176" s="5">
        <v>144</v>
      </c>
      <c r="W176" s="5">
        <v>432</v>
      </c>
      <c r="X176" s="5">
        <v>0</v>
      </c>
      <c r="Z176" t="e">
        <f>VLOOKUP(E176,Sheet2!$A$1:$A$39,1,0)</f>
        <v>#N/A</v>
      </c>
      <c r="AA176">
        <f>VLOOKUP($E176,[1]Sheet1!$E$10:$X$629,AA$9,0)</f>
        <v>144</v>
      </c>
      <c r="AB176">
        <f>VLOOKUP($E176,[1]Sheet1!$E$10:$X$629,AB$9,0)</f>
        <v>144</v>
      </c>
      <c r="AC176">
        <f>VLOOKUP($E176,[1]Sheet1!$E$10:$X$629,AC$9,0)</f>
        <v>144</v>
      </c>
      <c r="AD176">
        <f>VLOOKUP($E176,[1]Sheet1!$E$10:$X$629,AD$9,0)</f>
        <v>288</v>
      </c>
      <c r="AE176">
        <f>VLOOKUP($E176,[1]Sheet1!$E$10:$X$629,AE$9,0)</f>
        <v>144</v>
      </c>
      <c r="AF176">
        <f>VLOOKUP($E176,[1]Sheet1!$E$10:$X$629,AF$9,0)</f>
        <v>288</v>
      </c>
      <c r="AG176">
        <f>VLOOKUP($E176,[1]Sheet1!$E$10:$X$629,AG$9,0)</f>
        <v>144</v>
      </c>
      <c r="AH176">
        <f>VLOOKUP($E176,[1]Sheet1!$E$10:$X$629,AH$9,0)</f>
        <v>144</v>
      </c>
      <c r="AJ176">
        <f t="shared" si="7"/>
        <v>1296</v>
      </c>
      <c r="AK176">
        <f t="shared" si="8"/>
        <v>1440</v>
      </c>
      <c r="AL176">
        <f t="shared" si="9"/>
        <v>-144</v>
      </c>
    </row>
    <row r="177" spans="1:38" ht="39.6" x14ac:dyDescent="0.3">
      <c r="A177" s="4" t="s">
        <v>517</v>
      </c>
      <c r="B177" s="5" t="s">
        <v>518</v>
      </c>
      <c r="C177" s="21" t="s">
        <v>519</v>
      </c>
      <c r="D177" s="20"/>
      <c r="E177" s="4">
        <v>1001551</v>
      </c>
      <c r="F177" s="4" t="s">
        <v>44</v>
      </c>
      <c r="G177" s="4" t="s">
        <v>45</v>
      </c>
      <c r="H177" s="4"/>
      <c r="I177" s="4" t="s">
        <v>52</v>
      </c>
      <c r="J177" s="4" t="s">
        <v>47</v>
      </c>
      <c r="K177" s="4">
        <v>7</v>
      </c>
      <c r="L177" s="4">
        <v>14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Z177" t="e">
        <f>VLOOKUP(E177,Sheet2!$A$1:$A$39,1,0)</f>
        <v>#N/A</v>
      </c>
      <c r="AA177">
        <f>VLOOKUP($E177,[1]Sheet1!$E$10:$X$629,AA$9,0)</f>
        <v>0</v>
      </c>
      <c r="AB177">
        <f>VLOOKUP($E177,[1]Sheet1!$E$10:$X$629,AB$9,0)</f>
        <v>0</v>
      </c>
      <c r="AC177">
        <f>VLOOKUP($E177,[1]Sheet1!$E$10:$X$629,AC$9,0)</f>
        <v>0</v>
      </c>
      <c r="AD177">
        <f>VLOOKUP($E177,[1]Sheet1!$E$10:$X$629,AD$9,0)</f>
        <v>0</v>
      </c>
      <c r="AE177">
        <f>VLOOKUP($E177,[1]Sheet1!$E$10:$X$629,AE$9,0)</f>
        <v>0</v>
      </c>
      <c r="AF177">
        <f>VLOOKUP($E177,[1]Sheet1!$E$10:$X$629,AF$9,0)</f>
        <v>0</v>
      </c>
      <c r="AG177">
        <f>VLOOKUP($E177,[1]Sheet1!$E$10:$X$629,AG$9,0)</f>
        <v>0</v>
      </c>
      <c r="AH177">
        <f>VLOOKUP($E177,[1]Sheet1!$E$10:$X$629,AH$9,0)</f>
        <v>0</v>
      </c>
      <c r="AJ177">
        <f t="shared" si="7"/>
        <v>0</v>
      </c>
      <c r="AK177">
        <f t="shared" si="8"/>
        <v>0</v>
      </c>
      <c r="AL177">
        <f t="shared" si="9"/>
        <v>0</v>
      </c>
    </row>
    <row r="178" spans="1:38" ht="39.6" x14ac:dyDescent="0.3">
      <c r="A178" s="4" t="s">
        <v>520</v>
      </c>
      <c r="B178" s="5" t="s">
        <v>521</v>
      </c>
      <c r="C178" s="21" t="s">
        <v>522</v>
      </c>
      <c r="D178" s="20"/>
      <c r="E178" s="4">
        <v>1001006</v>
      </c>
      <c r="F178" s="4" t="s">
        <v>44</v>
      </c>
      <c r="G178" s="4" t="s">
        <v>45</v>
      </c>
      <c r="H178" s="4"/>
      <c r="I178" s="4" t="s">
        <v>46</v>
      </c>
      <c r="J178" s="4" t="s">
        <v>47</v>
      </c>
      <c r="K178" s="4">
        <v>6</v>
      </c>
      <c r="L178" s="4">
        <v>12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Z178" t="e">
        <f>VLOOKUP(E178,Sheet2!$A$1:$A$39,1,0)</f>
        <v>#N/A</v>
      </c>
      <c r="AA178">
        <f>VLOOKUP($E178,[1]Sheet1!$E$10:$X$629,AA$9,0)</f>
        <v>0</v>
      </c>
      <c r="AB178">
        <f>VLOOKUP($E178,[1]Sheet1!$E$10:$X$629,AB$9,0)</f>
        <v>0</v>
      </c>
      <c r="AC178">
        <f>VLOOKUP($E178,[1]Sheet1!$E$10:$X$629,AC$9,0)</f>
        <v>0</v>
      </c>
      <c r="AD178">
        <f>VLOOKUP($E178,[1]Sheet1!$E$10:$X$629,AD$9,0)</f>
        <v>0</v>
      </c>
      <c r="AE178">
        <f>VLOOKUP($E178,[1]Sheet1!$E$10:$X$629,AE$9,0)</f>
        <v>0</v>
      </c>
      <c r="AF178">
        <f>VLOOKUP($E178,[1]Sheet1!$E$10:$X$629,AF$9,0)</f>
        <v>0</v>
      </c>
      <c r="AG178">
        <f>VLOOKUP($E178,[1]Sheet1!$E$10:$X$629,AG$9,0)</f>
        <v>0</v>
      </c>
      <c r="AH178">
        <f>VLOOKUP($E178,[1]Sheet1!$E$10:$X$629,AH$9,0)</f>
        <v>0</v>
      </c>
      <c r="AJ178">
        <f t="shared" si="7"/>
        <v>0</v>
      </c>
      <c r="AK178">
        <f t="shared" si="8"/>
        <v>0</v>
      </c>
      <c r="AL178">
        <f t="shared" si="9"/>
        <v>0</v>
      </c>
    </row>
    <row r="179" spans="1:38" ht="39.6" x14ac:dyDescent="0.3">
      <c r="A179" s="4" t="s">
        <v>523</v>
      </c>
      <c r="B179" s="5" t="s">
        <v>524</v>
      </c>
      <c r="C179" s="21" t="s">
        <v>522</v>
      </c>
      <c r="D179" s="20"/>
      <c r="E179" s="4">
        <v>1001009</v>
      </c>
      <c r="F179" s="4" t="s">
        <v>44</v>
      </c>
      <c r="G179" s="4" t="s">
        <v>45</v>
      </c>
      <c r="H179" s="4"/>
      <c r="I179" s="4" t="s">
        <v>46</v>
      </c>
      <c r="J179" s="4" t="s">
        <v>47</v>
      </c>
      <c r="K179" s="4">
        <v>6</v>
      </c>
      <c r="L179" s="4">
        <v>12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Z179" t="e">
        <f>VLOOKUP(E179,Sheet2!$A$1:$A$39,1,0)</f>
        <v>#N/A</v>
      </c>
      <c r="AA179">
        <f>VLOOKUP($E179,[1]Sheet1!$E$10:$X$629,AA$9,0)</f>
        <v>0</v>
      </c>
      <c r="AB179">
        <f>VLOOKUP($E179,[1]Sheet1!$E$10:$X$629,AB$9,0)</f>
        <v>0</v>
      </c>
      <c r="AC179">
        <f>VLOOKUP($E179,[1]Sheet1!$E$10:$X$629,AC$9,0)</f>
        <v>0</v>
      </c>
      <c r="AD179">
        <f>VLOOKUP($E179,[1]Sheet1!$E$10:$X$629,AD$9,0)</f>
        <v>0</v>
      </c>
      <c r="AE179">
        <f>VLOOKUP($E179,[1]Sheet1!$E$10:$X$629,AE$9,0)</f>
        <v>0</v>
      </c>
      <c r="AF179">
        <f>VLOOKUP($E179,[1]Sheet1!$E$10:$X$629,AF$9,0)</f>
        <v>0</v>
      </c>
      <c r="AG179">
        <f>VLOOKUP($E179,[1]Sheet1!$E$10:$X$629,AG$9,0)</f>
        <v>0</v>
      </c>
      <c r="AH179">
        <f>VLOOKUP($E179,[1]Sheet1!$E$10:$X$629,AH$9,0)</f>
        <v>0</v>
      </c>
      <c r="AJ179">
        <f t="shared" si="7"/>
        <v>0</v>
      </c>
      <c r="AK179">
        <f t="shared" si="8"/>
        <v>0</v>
      </c>
      <c r="AL179">
        <f t="shared" si="9"/>
        <v>0</v>
      </c>
    </row>
    <row r="180" spans="1:38" ht="39.6" x14ac:dyDescent="0.3">
      <c r="A180" s="4" t="s">
        <v>525</v>
      </c>
      <c r="B180" s="5" t="s">
        <v>526</v>
      </c>
      <c r="C180" s="21" t="s">
        <v>527</v>
      </c>
      <c r="D180" s="20"/>
      <c r="E180" s="4">
        <v>1001007</v>
      </c>
      <c r="F180" s="4" t="s">
        <v>44</v>
      </c>
      <c r="G180" s="4" t="s">
        <v>45</v>
      </c>
      <c r="H180" s="4"/>
      <c r="I180" s="4" t="s">
        <v>52</v>
      </c>
      <c r="J180" s="4" t="s">
        <v>47</v>
      </c>
      <c r="K180" s="4">
        <v>6</v>
      </c>
      <c r="L180" s="4">
        <v>6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Z180" t="e">
        <f>VLOOKUP(E180,Sheet2!$A$1:$A$39,1,0)</f>
        <v>#N/A</v>
      </c>
      <c r="AA180">
        <f>VLOOKUP($E180,[1]Sheet1!$E$10:$X$629,AA$9,0)</f>
        <v>0</v>
      </c>
      <c r="AB180">
        <f>VLOOKUP($E180,[1]Sheet1!$E$10:$X$629,AB$9,0)</f>
        <v>0</v>
      </c>
      <c r="AC180">
        <f>VLOOKUP($E180,[1]Sheet1!$E$10:$X$629,AC$9,0)</f>
        <v>0</v>
      </c>
      <c r="AD180">
        <f>VLOOKUP($E180,[1]Sheet1!$E$10:$X$629,AD$9,0)</f>
        <v>0</v>
      </c>
      <c r="AE180">
        <f>VLOOKUP($E180,[1]Sheet1!$E$10:$X$629,AE$9,0)</f>
        <v>0</v>
      </c>
      <c r="AF180">
        <f>VLOOKUP($E180,[1]Sheet1!$E$10:$X$629,AF$9,0)</f>
        <v>0</v>
      </c>
      <c r="AG180">
        <f>VLOOKUP($E180,[1]Sheet1!$E$10:$X$629,AG$9,0)</f>
        <v>0</v>
      </c>
      <c r="AH180">
        <f>VLOOKUP($E180,[1]Sheet1!$E$10:$X$629,AH$9,0)</f>
        <v>0</v>
      </c>
      <c r="AJ180">
        <f t="shared" si="7"/>
        <v>0</v>
      </c>
      <c r="AK180">
        <f t="shared" si="8"/>
        <v>0</v>
      </c>
      <c r="AL180">
        <f t="shared" si="9"/>
        <v>0</v>
      </c>
    </row>
    <row r="181" spans="1:38" ht="39.6" x14ac:dyDescent="0.3">
      <c r="A181" s="4" t="s">
        <v>528</v>
      </c>
      <c r="B181" s="5" t="s">
        <v>529</v>
      </c>
      <c r="C181" s="21" t="s">
        <v>530</v>
      </c>
      <c r="D181" s="20"/>
      <c r="E181" s="4">
        <v>1001005</v>
      </c>
      <c r="F181" s="4" t="s">
        <v>44</v>
      </c>
      <c r="G181" s="4" t="s">
        <v>45</v>
      </c>
      <c r="H181" s="4"/>
      <c r="I181" s="4" t="s">
        <v>52</v>
      </c>
      <c r="J181" s="4" t="s">
        <v>47</v>
      </c>
      <c r="K181" s="4">
        <v>6</v>
      </c>
      <c r="L181" s="4">
        <v>12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Z181" t="e">
        <f>VLOOKUP(E181,Sheet2!$A$1:$A$39,1,0)</f>
        <v>#N/A</v>
      </c>
      <c r="AA181">
        <f>VLOOKUP($E181,[1]Sheet1!$E$10:$X$629,AA$9,0)</f>
        <v>0</v>
      </c>
      <c r="AB181">
        <f>VLOOKUP($E181,[1]Sheet1!$E$10:$X$629,AB$9,0)</f>
        <v>0</v>
      </c>
      <c r="AC181">
        <f>VLOOKUP($E181,[1]Sheet1!$E$10:$X$629,AC$9,0)</f>
        <v>0</v>
      </c>
      <c r="AD181">
        <f>VLOOKUP($E181,[1]Sheet1!$E$10:$X$629,AD$9,0)</f>
        <v>0</v>
      </c>
      <c r="AE181">
        <f>VLOOKUP($E181,[1]Sheet1!$E$10:$X$629,AE$9,0)</f>
        <v>0</v>
      </c>
      <c r="AF181">
        <f>VLOOKUP($E181,[1]Sheet1!$E$10:$X$629,AF$9,0)</f>
        <v>0</v>
      </c>
      <c r="AG181">
        <f>VLOOKUP($E181,[1]Sheet1!$E$10:$X$629,AG$9,0)</f>
        <v>0</v>
      </c>
      <c r="AH181">
        <f>VLOOKUP($E181,[1]Sheet1!$E$10:$X$629,AH$9,0)</f>
        <v>0</v>
      </c>
      <c r="AJ181">
        <f t="shared" si="7"/>
        <v>0</v>
      </c>
      <c r="AK181">
        <f t="shared" si="8"/>
        <v>0</v>
      </c>
      <c r="AL181">
        <f t="shared" si="9"/>
        <v>0</v>
      </c>
    </row>
    <row r="182" spans="1:38" ht="39.6" x14ac:dyDescent="0.3">
      <c r="A182" s="4" t="s">
        <v>531</v>
      </c>
      <c r="B182" s="5" t="s">
        <v>532</v>
      </c>
      <c r="C182" s="21" t="s">
        <v>533</v>
      </c>
      <c r="D182" s="20"/>
      <c r="E182" s="4">
        <v>1001322</v>
      </c>
      <c r="F182" s="4" t="s">
        <v>44</v>
      </c>
      <c r="G182" s="4" t="s">
        <v>45</v>
      </c>
      <c r="H182" s="4" t="s">
        <v>61</v>
      </c>
      <c r="I182" s="4" t="s">
        <v>57</v>
      </c>
      <c r="J182" s="4" t="s">
        <v>47</v>
      </c>
      <c r="K182" s="4">
        <v>6.5</v>
      </c>
      <c r="L182" s="4">
        <v>13</v>
      </c>
      <c r="M182" s="5">
        <v>288</v>
      </c>
      <c r="N182" s="5">
        <v>432</v>
      </c>
      <c r="O182" s="5">
        <v>576</v>
      </c>
      <c r="P182" s="5">
        <v>144</v>
      </c>
      <c r="Q182" s="5">
        <v>576</v>
      </c>
      <c r="R182" s="5">
        <v>144</v>
      </c>
      <c r="S182" s="5">
        <v>432</v>
      </c>
      <c r="T182" s="5">
        <v>432</v>
      </c>
      <c r="U182" s="5">
        <v>432</v>
      </c>
      <c r="V182" s="5">
        <v>576</v>
      </c>
      <c r="W182" s="5">
        <v>288</v>
      </c>
      <c r="X182" s="5">
        <v>288</v>
      </c>
      <c r="Z182" t="e">
        <f>VLOOKUP(E182,Sheet2!$A$1:$A$39,1,0)</f>
        <v>#N/A</v>
      </c>
      <c r="AA182">
        <f>VLOOKUP($E182,[1]Sheet1!$E$10:$X$629,AA$9,0)</f>
        <v>288</v>
      </c>
      <c r="AB182">
        <f>VLOOKUP($E182,[1]Sheet1!$E$10:$X$629,AB$9,0)</f>
        <v>432</v>
      </c>
      <c r="AC182">
        <f>VLOOKUP($E182,[1]Sheet1!$E$10:$X$629,AC$9,0)</f>
        <v>576</v>
      </c>
      <c r="AD182">
        <f>VLOOKUP($E182,[1]Sheet1!$E$10:$X$629,AD$9,0)</f>
        <v>288</v>
      </c>
      <c r="AE182">
        <f>VLOOKUP($E182,[1]Sheet1!$E$10:$X$629,AE$9,0)</f>
        <v>288</v>
      </c>
      <c r="AF182">
        <f>VLOOKUP($E182,[1]Sheet1!$E$10:$X$629,AF$9,0)</f>
        <v>576</v>
      </c>
      <c r="AG182">
        <f>VLOOKUP($E182,[1]Sheet1!$E$10:$X$629,AG$9,0)</f>
        <v>144</v>
      </c>
      <c r="AH182">
        <f>VLOOKUP($E182,[1]Sheet1!$E$10:$X$629,AH$9,0)</f>
        <v>576</v>
      </c>
      <c r="AJ182">
        <f t="shared" si="7"/>
        <v>3024</v>
      </c>
      <c r="AK182">
        <f t="shared" si="8"/>
        <v>3168</v>
      </c>
      <c r="AL182">
        <f t="shared" si="9"/>
        <v>-144</v>
      </c>
    </row>
    <row r="183" spans="1:38" ht="39.6" x14ac:dyDescent="0.3">
      <c r="A183" s="4" t="s">
        <v>534</v>
      </c>
      <c r="B183" s="5" t="s">
        <v>535</v>
      </c>
      <c r="C183" s="21" t="s">
        <v>536</v>
      </c>
      <c r="D183" s="20"/>
      <c r="E183" s="4">
        <v>1001327</v>
      </c>
      <c r="F183" s="4" t="s">
        <v>44</v>
      </c>
      <c r="G183" s="4" t="s">
        <v>45</v>
      </c>
      <c r="H183" s="4" t="s">
        <v>56</v>
      </c>
      <c r="I183" s="4" t="s">
        <v>52</v>
      </c>
      <c r="J183" s="4" t="s">
        <v>47</v>
      </c>
      <c r="K183" s="4">
        <v>6</v>
      </c>
      <c r="L183" s="4">
        <v>12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Z183" t="e">
        <f>VLOOKUP(E183,Sheet2!$A$1:$A$39,1,0)</f>
        <v>#N/A</v>
      </c>
      <c r="AA183">
        <f>VLOOKUP($E183,[1]Sheet1!$E$10:$X$629,AA$9,0)</f>
        <v>0</v>
      </c>
      <c r="AB183">
        <f>VLOOKUP($E183,[1]Sheet1!$E$10:$X$629,AB$9,0)</f>
        <v>0</v>
      </c>
      <c r="AC183">
        <f>VLOOKUP($E183,[1]Sheet1!$E$10:$X$629,AC$9,0)</f>
        <v>0</v>
      </c>
      <c r="AD183">
        <f>VLOOKUP($E183,[1]Sheet1!$E$10:$X$629,AD$9,0)</f>
        <v>0</v>
      </c>
      <c r="AE183">
        <f>VLOOKUP($E183,[1]Sheet1!$E$10:$X$629,AE$9,0)</f>
        <v>0</v>
      </c>
      <c r="AF183">
        <f>VLOOKUP($E183,[1]Sheet1!$E$10:$X$629,AF$9,0)</f>
        <v>0</v>
      </c>
      <c r="AG183">
        <f>VLOOKUP($E183,[1]Sheet1!$E$10:$X$629,AG$9,0)</f>
        <v>0</v>
      </c>
      <c r="AH183">
        <f>VLOOKUP($E183,[1]Sheet1!$E$10:$X$629,AH$9,0)</f>
        <v>0</v>
      </c>
      <c r="AJ183">
        <f t="shared" si="7"/>
        <v>0</v>
      </c>
      <c r="AK183">
        <f t="shared" si="8"/>
        <v>0</v>
      </c>
      <c r="AL183">
        <f t="shared" si="9"/>
        <v>0</v>
      </c>
    </row>
    <row r="184" spans="1:38" ht="39.6" x14ac:dyDescent="0.3">
      <c r="A184" s="4" t="s">
        <v>537</v>
      </c>
      <c r="B184" s="5" t="s">
        <v>538</v>
      </c>
      <c r="C184" s="21" t="s">
        <v>539</v>
      </c>
      <c r="D184" s="20"/>
      <c r="E184" s="4">
        <v>1001330</v>
      </c>
      <c r="F184" s="4" t="s">
        <v>44</v>
      </c>
      <c r="G184" s="4" t="s">
        <v>45</v>
      </c>
      <c r="H184" s="4" t="s">
        <v>61</v>
      </c>
      <c r="I184" s="4" t="s">
        <v>52</v>
      </c>
      <c r="J184" s="4" t="s">
        <v>47</v>
      </c>
      <c r="K184" s="4">
        <v>6</v>
      </c>
      <c r="L184" s="4">
        <v>1.2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Z184" t="e">
        <f>VLOOKUP(E184,Sheet2!$A$1:$A$39,1,0)</f>
        <v>#N/A</v>
      </c>
      <c r="AA184">
        <f>VLOOKUP($E184,[1]Sheet1!$E$10:$X$629,AA$9,0)</f>
        <v>0</v>
      </c>
      <c r="AB184">
        <f>VLOOKUP($E184,[1]Sheet1!$E$10:$X$629,AB$9,0)</f>
        <v>0</v>
      </c>
      <c r="AC184">
        <f>VLOOKUP($E184,[1]Sheet1!$E$10:$X$629,AC$9,0)</f>
        <v>0</v>
      </c>
      <c r="AD184">
        <f>VLOOKUP($E184,[1]Sheet1!$E$10:$X$629,AD$9,0)</f>
        <v>0</v>
      </c>
      <c r="AE184">
        <f>VLOOKUP($E184,[1]Sheet1!$E$10:$X$629,AE$9,0)</f>
        <v>0</v>
      </c>
      <c r="AF184">
        <f>VLOOKUP($E184,[1]Sheet1!$E$10:$X$629,AF$9,0)</f>
        <v>0</v>
      </c>
      <c r="AG184">
        <f>VLOOKUP($E184,[1]Sheet1!$E$10:$X$629,AG$9,0)</f>
        <v>0</v>
      </c>
      <c r="AH184">
        <f>VLOOKUP($E184,[1]Sheet1!$E$10:$X$629,AH$9,0)</f>
        <v>0</v>
      </c>
      <c r="AJ184">
        <f t="shared" si="7"/>
        <v>0</v>
      </c>
      <c r="AK184">
        <f t="shared" si="8"/>
        <v>0</v>
      </c>
      <c r="AL184">
        <f t="shared" si="9"/>
        <v>0</v>
      </c>
    </row>
    <row r="185" spans="1:38" ht="39.6" x14ac:dyDescent="0.3">
      <c r="A185" s="4" t="s">
        <v>540</v>
      </c>
      <c r="B185" s="5" t="s">
        <v>541</v>
      </c>
      <c r="C185" s="21" t="s">
        <v>542</v>
      </c>
      <c r="D185" s="20"/>
      <c r="E185" s="4">
        <v>1001053</v>
      </c>
      <c r="F185" s="4" t="s">
        <v>44</v>
      </c>
      <c r="G185" s="4" t="s">
        <v>45</v>
      </c>
      <c r="H185" s="4" t="s">
        <v>61</v>
      </c>
      <c r="I185" s="4" t="s">
        <v>57</v>
      </c>
      <c r="J185" s="4" t="s">
        <v>47</v>
      </c>
      <c r="K185" s="4">
        <v>7.5</v>
      </c>
      <c r="L185" s="4">
        <v>15</v>
      </c>
      <c r="M185" s="5">
        <v>288</v>
      </c>
      <c r="N185" s="5">
        <v>864</v>
      </c>
      <c r="O185" s="5">
        <v>432</v>
      </c>
      <c r="P185" s="5">
        <v>432</v>
      </c>
      <c r="Q185" s="5">
        <v>576</v>
      </c>
      <c r="R185" s="5">
        <v>864</v>
      </c>
      <c r="S185" s="5">
        <v>576</v>
      </c>
      <c r="T185" s="5">
        <v>576</v>
      </c>
      <c r="U185" s="5">
        <v>864</v>
      </c>
      <c r="V185" s="5">
        <v>720</v>
      </c>
      <c r="W185" s="5">
        <v>576</v>
      </c>
      <c r="X185" s="5">
        <v>864</v>
      </c>
      <c r="Z185" t="e">
        <f>VLOOKUP(E185,Sheet2!$A$1:$A$39,1,0)</f>
        <v>#N/A</v>
      </c>
      <c r="AA185">
        <f>VLOOKUP($E185,[1]Sheet1!$E$10:$X$629,AA$9,0)</f>
        <v>432</v>
      </c>
      <c r="AB185">
        <f>VLOOKUP($E185,[1]Sheet1!$E$10:$X$629,AB$9,0)</f>
        <v>288</v>
      </c>
      <c r="AC185">
        <f>VLOOKUP($E185,[1]Sheet1!$E$10:$X$629,AC$9,0)</f>
        <v>576</v>
      </c>
      <c r="AD185">
        <f>VLOOKUP($E185,[1]Sheet1!$E$10:$X$629,AD$9,0)</f>
        <v>576</v>
      </c>
      <c r="AE185">
        <f>VLOOKUP($E185,[1]Sheet1!$E$10:$X$629,AE$9,0)</f>
        <v>288</v>
      </c>
      <c r="AF185">
        <f>VLOOKUP($E185,[1]Sheet1!$E$10:$X$629,AF$9,0)</f>
        <v>720</v>
      </c>
      <c r="AG185">
        <f>VLOOKUP($E185,[1]Sheet1!$E$10:$X$629,AG$9,0)</f>
        <v>432</v>
      </c>
      <c r="AH185">
        <f>VLOOKUP($E185,[1]Sheet1!$E$10:$X$629,AH$9,0)</f>
        <v>432</v>
      </c>
      <c r="AJ185">
        <f t="shared" si="7"/>
        <v>4608</v>
      </c>
      <c r="AK185">
        <f t="shared" si="8"/>
        <v>3744</v>
      </c>
      <c r="AL185">
        <f t="shared" si="9"/>
        <v>864</v>
      </c>
    </row>
    <row r="186" spans="1:38" ht="39.6" x14ac:dyDescent="0.3">
      <c r="A186" s="4" t="s">
        <v>543</v>
      </c>
      <c r="B186" s="5" t="s">
        <v>544</v>
      </c>
      <c r="C186" s="21" t="s">
        <v>545</v>
      </c>
      <c r="D186" s="20"/>
      <c r="E186" s="4">
        <v>1001054</v>
      </c>
      <c r="F186" s="4" t="s">
        <v>44</v>
      </c>
      <c r="G186" s="4" t="s">
        <v>45</v>
      </c>
      <c r="H186" s="4" t="s">
        <v>61</v>
      </c>
      <c r="I186" s="4" t="s">
        <v>57</v>
      </c>
      <c r="J186" s="4" t="s">
        <v>47</v>
      </c>
      <c r="K186" s="4">
        <v>7.5</v>
      </c>
      <c r="L186" s="4">
        <v>7</v>
      </c>
      <c r="M186" s="5">
        <v>432</v>
      </c>
      <c r="N186" s="5">
        <v>576</v>
      </c>
      <c r="O186" s="5">
        <v>576</v>
      </c>
      <c r="P186" s="5">
        <v>576</v>
      </c>
      <c r="Q186" s="5">
        <v>288</v>
      </c>
      <c r="R186" s="5">
        <v>720</v>
      </c>
      <c r="S186" s="5">
        <v>576</v>
      </c>
      <c r="T186" s="5">
        <v>576</v>
      </c>
      <c r="U186" s="5">
        <v>720</v>
      </c>
      <c r="V186" s="5">
        <v>720</v>
      </c>
      <c r="W186" s="5">
        <v>720</v>
      </c>
      <c r="X186" s="5">
        <v>432</v>
      </c>
      <c r="Z186" t="e">
        <f>VLOOKUP(E186,Sheet2!$A$1:$A$39,1,0)</f>
        <v>#N/A</v>
      </c>
      <c r="AA186">
        <f>VLOOKUP($E186,[1]Sheet1!$E$10:$X$629,AA$9,0)</f>
        <v>144</v>
      </c>
      <c r="AB186">
        <f>VLOOKUP($E186,[1]Sheet1!$E$10:$X$629,AB$9,0)</f>
        <v>432</v>
      </c>
      <c r="AC186">
        <f>VLOOKUP($E186,[1]Sheet1!$E$10:$X$629,AC$9,0)</f>
        <v>576</v>
      </c>
      <c r="AD186">
        <f>VLOOKUP($E186,[1]Sheet1!$E$10:$X$629,AD$9,0)</f>
        <v>288</v>
      </c>
      <c r="AE186">
        <f>VLOOKUP($E186,[1]Sheet1!$E$10:$X$629,AE$9,0)</f>
        <v>432</v>
      </c>
      <c r="AF186">
        <f>VLOOKUP($E186,[1]Sheet1!$E$10:$X$629,AF$9,0)</f>
        <v>432</v>
      </c>
      <c r="AG186">
        <f>VLOOKUP($E186,[1]Sheet1!$E$10:$X$629,AG$9,0)</f>
        <v>432</v>
      </c>
      <c r="AH186">
        <f>VLOOKUP($E186,[1]Sheet1!$E$10:$X$629,AH$9,0)</f>
        <v>432</v>
      </c>
      <c r="AJ186">
        <f t="shared" si="7"/>
        <v>4320</v>
      </c>
      <c r="AK186">
        <f t="shared" si="8"/>
        <v>3168</v>
      </c>
      <c r="AL186">
        <f t="shared" si="9"/>
        <v>1152</v>
      </c>
    </row>
    <row r="187" spans="1:38" ht="39.6" x14ac:dyDescent="0.3">
      <c r="A187" s="4" t="s">
        <v>546</v>
      </c>
      <c r="B187" s="5" t="s">
        <v>547</v>
      </c>
      <c r="C187" s="21" t="s">
        <v>548</v>
      </c>
      <c r="D187" s="20"/>
      <c r="E187" s="4">
        <v>1001118</v>
      </c>
      <c r="F187" s="4" t="s">
        <v>44</v>
      </c>
      <c r="G187" s="4" t="s">
        <v>45</v>
      </c>
      <c r="H187" s="4" t="s">
        <v>51</v>
      </c>
      <c r="I187" s="4" t="s">
        <v>52</v>
      </c>
      <c r="J187" s="4" t="s">
        <v>47</v>
      </c>
      <c r="K187" s="4">
        <v>5</v>
      </c>
      <c r="L187" s="4">
        <v>2.5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Z187" t="e">
        <f>VLOOKUP(E187,Sheet2!$A$1:$A$39,1,0)</f>
        <v>#N/A</v>
      </c>
      <c r="AA187">
        <f>VLOOKUP($E187,[1]Sheet1!$E$10:$X$629,AA$9,0)</f>
        <v>0</v>
      </c>
      <c r="AB187">
        <f>VLOOKUP($E187,[1]Sheet1!$E$10:$X$629,AB$9,0)</f>
        <v>0</v>
      </c>
      <c r="AC187">
        <f>VLOOKUP($E187,[1]Sheet1!$E$10:$X$629,AC$9,0)</f>
        <v>0</v>
      </c>
      <c r="AD187">
        <f>VLOOKUP($E187,[1]Sheet1!$E$10:$X$629,AD$9,0)</f>
        <v>0</v>
      </c>
      <c r="AE187">
        <f>VLOOKUP($E187,[1]Sheet1!$E$10:$X$629,AE$9,0)</f>
        <v>0</v>
      </c>
      <c r="AF187">
        <f>VLOOKUP($E187,[1]Sheet1!$E$10:$X$629,AF$9,0)</f>
        <v>0</v>
      </c>
      <c r="AG187">
        <f>VLOOKUP($E187,[1]Sheet1!$E$10:$X$629,AG$9,0)</f>
        <v>0</v>
      </c>
      <c r="AH187">
        <f>VLOOKUP($E187,[1]Sheet1!$E$10:$X$629,AH$9,0)</f>
        <v>0</v>
      </c>
      <c r="AJ187">
        <f t="shared" si="7"/>
        <v>0</v>
      </c>
      <c r="AK187">
        <f t="shared" si="8"/>
        <v>0</v>
      </c>
      <c r="AL187">
        <f t="shared" si="9"/>
        <v>0</v>
      </c>
    </row>
    <row r="188" spans="1:38" ht="39.6" x14ac:dyDescent="0.3">
      <c r="A188" s="4" t="s">
        <v>549</v>
      </c>
      <c r="B188" s="5" t="s">
        <v>550</v>
      </c>
      <c r="C188" s="21" t="s">
        <v>551</v>
      </c>
      <c r="D188" s="20"/>
      <c r="E188" s="4">
        <v>1001090</v>
      </c>
      <c r="F188" s="4" t="s">
        <v>44</v>
      </c>
      <c r="G188" s="4" t="s">
        <v>45</v>
      </c>
      <c r="H188" s="4" t="s">
        <v>56</v>
      </c>
      <c r="I188" s="4" t="s">
        <v>57</v>
      </c>
      <c r="J188" s="4" t="s">
        <v>47</v>
      </c>
      <c r="K188" s="4">
        <v>6.5</v>
      </c>
      <c r="L188" s="4">
        <v>13</v>
      </c>
      <c r="M188" s="5">
        <v>864</v>
      </c>
      <c r="N188" s="5">
        <v>1152</v>
      </c>
      <c r="O188" s="5">
        <v>1152</v>
      </c>
      <c r="P188" s="5">
        <v>1008</v>
      </c>
      <c r="Q188" s="5">
        <v>864</v>
      </c>
      <c r="R188" s="5">
        <v>1152</v>
      </c>
      <c r="S188" s="5">
        <v>864</v>
      </c>
      <c r="T188" s="5">
        <v>1152</v>
      </c>
      <c r="U188" s="5">
        <v>1584</v>
      </c>
      <c r="V188" s="5">
        <v>1440</v>
      </c>
      <c r="W188" s="5">
        <v>1008</v>
      </c>
      <c r="X188" s="5">
        <v>1584</v>
      </c>
      <c r="Z188" t="e">
        <f>VLOOKUP(E188,Sheet2!$A$1:$A$39,1,0)</f>
        <v>#N/A</v>
      </c>
      <c r="AA188">
        <f>VLOOKUP($E188,[1]Sheet1!$E$10:$X$629,AA$9,0)</f>
        <v>1296</v>
      </c>
      <c r="AB188">
        <f>VLOOKUP($E188,[1]Sheet1!$E$10:$X$629,AB$9,0)</f>
        <v>1008</v>
      </c>
      <c r="AC188">
        <f>VLOOKUP($E188,[1]Sheet1!$E$10:$X$629,AC$9,0)</f>
        <v>1152</v>
      </c>
      <c r="AD188">
        <f>VLOOKUP($E188,[1]Sheet1!$E$10:$X$629,AD$9,0)</f>
        <v>864</v>
      </c>
      <c r="AE188">
        <f>VLOOKUP($E188,[1]Sheet1!$E$10:$X$629,AE$9,0)</f>
        <v>1008</v>
      </c>
      <c r="AF188">
        <f>VLOOKUP($E188,[1]Sheet1!$E$10:$X$629,AF$9,0)</f>
        <v>1296</v>
      </c>
      <c r="AG188">
        <f>VLOOKUP($E188,[1]Sheet1!$E$10:$X$629,AG$9,0)</f>
        <v>1008</v>
      </c>
      <c r="AH188">
        <f>VLOOKUP($E188,[1]Sheet1!$E$10:$X$629,AH$9,0)</f>
        <v>576</v>
      </c>
      <c r="AJ188">
        <f t="shared" si="7"/>
        <v>8208</v>
      </c>
      <c r="AK188">
        <f t="shared" si="8"/>
        <v>8208</v>
      </c>
      <c r="AL188">
        <f t="shared" si="9"/>
        <v>0</v>
      </c>
    </row>
    <row r="189" spans="1:38" ht="39.6" x14ac:dyDescent="0.3">
      <c r="A189" s="4" t="s">
        <v>552</v>
      </c>
      <c r="B189" s="5" t="s">
        <v>553</v>
      </c>
      <c r="C189" s="21" t="s">
        <v>554</v>
      </c>
      <c r="D189" s="20"/>
      <c r="E189" s="4">
        <v>1001082</v>
      </c>
      <c r="F189" s="4" t="s">
        <v>44</v>
      </c>
      <c r="G189" s="4" t="s">
        <v>45</v>
      </c>
      <c r="H189" s="4" t="s">
        <v>61</v>
      </c>
      <c r="I189" s="4" t="s">
        <v>57</v>
      </c>
      <c r="J189" s="4" t="s">
        <v>47</v>
      </c>
      <c r="K189" s="4">
        <v>7.5</v>
      </c>
      <c r="L189" s="4">
        <v>15</v>
      </c>
      <c r="M189" s="5">
        <v>144</v>
      </c>
      <c r="N189" s="5">
        <v>288</v>
      </c>
      <c r="O189" s="5">
        <v>288</v>
      </c>
      <c r="P189" s="5">
        <v>288</v>
      </c>
      <c r="Q189" s="5">
        <v>288</v>
      </c>
      <c r="R189" s="5">
        <v>432</v>
      </c>
      <c r="S189" s="5">
        <v>288</v>
      </c>
      <c r="T189" s="5">
        <v>432</v>
      </c>
      <c r="U189" s="5">
        <v>432</v>
      </c>
      <c r="V189" s="5">
        <v>432</v>
      </c>
      <c r="W189" s="5">
        <v>432</v>
      </c>
      <c r="X189" s="5">
        <v>432</v>
      </c>
      <c r="Z189" t="e">
        <f>VLOOKUP(E189,Sheet2!$A$1:$A$39,1,0)</f>
        <v>#N/A</v>
      </c>
      <c r="AA189">
        <f>VLOOKUP($E189,[1]Sheet1!$E$10:$X$629,AA$9,0)</f>
        <v>432</v>
      </c>
      <c r="AB189">
        <f>VLOOKUP($E189,[1]Sheet1!$E$10:$X$629,AB$9,0)</f>
        <v>288</v>
      </c>
      <c r="AC189">
        <f>VLOOKUP($E189,[1]Sheet1!$E$10:$X$629,AC$9,0)</f>
        <v>432</v>
      </c>
      <c r="AD189">
        <f>VLOOKUP($E189,[1]Sheet1!$E$10:$X$629,AD$9,0)</f>
        <v>288</v>
      </c>
      <c r="AE189">
        <f>VLOOKUP($E189,[1]Sheet1!$E$10:$X$629,AE$9,0)</f>
        <v>432</v>
      </c>
      <c r="AF189">
        <f>VLOOKUP($E189,[1]Sheet1!$E$10:$X$629,AF$9,0)</f>
        <v>432</v>
      </c>
      <c r="AG189">
        <f>VLOOKUP($E189,[1]Sheet1!$E$10:$X$629,AG$9,0)</f>
        <v>432</v>
      </c>
      <c r="AH189">
        <f>VLOOKUP($E189,[1]Sheet1!$E$10:$X$629,AH$9,0)</f>
        <v>288</v>
      </c>
      <c r="AJ189">
        <f t="shared" si="7"/>
        <v>2448</v>
      </c>
      <c r="AK189">
        <f t="shared" si="8"/>
        <v>3024</v>
      </c>
      <c r="AL189">
        <f t="shared" si="9"/>
        <v>-576</v>
      </c>
    </row>
    <row r="190" spans="1:38" ht="39.6" x14ac:dyDescent="0.3">
      <c r="A190" s="4" t="s">
        <v>555</v>
      </c>
      <c r="B190" s="5" t="s">
        <v>556</v>
      </c>
      <c r="C190" s="21" t="s">
        <v>557</v>
      </c>
      <c r="D190" s="20"/>
      <c r="E190" s="4">
        <v>1001083</v>
      </c>
      <c r="F190" s="4" t="s">
        <v>44</v>
      </c>
      <c r="G190" s="4" t="s">
        <v>45</v>
      </c>
      <c r="H190" s="4" t="s">
        <v>61</v>
      </c>
      <c r="I190" s="4" t="s">
        <v>57</v>
      </c>
      <c r="J190" s="4" t="s">
        <v>47</v>
      </c>
      <c r="K190" s="4">
        <v>7.5</v>
      </c>
      <c r="L190" s="4">
        <v>15</v>
      </c>
      <c r="M190" s="5">
        <v>0</v>
      </c>
      <c r="N190" s="5">
        <v>144</v>
      </c>
      <c r="O190" s="5">
        <v>144</v>
      </c>
      <c r="P190" s="5">
        <v>144</v>
      </c>
      <c r="Q190" s="5">
        <v>144</v>
      </c>
      <c r="R190" s="5">
        <v>144</v>
      </c>
      <c r="S190" s="5">
        <v>144</v>
      </c>
      <c r="T190" s="5">
        <v>288</v>
      </c>
      <c r="U190" s="5">
        <v>288</v>
      </c>
      <c r="V190" s="5">
        <v>288</v>
      </c>
      <c r="W190" s="5">
        <v>144</v>
      </c>
      <c r="X190" s="5">
        <v>432</v>
      </c>
      <c r="Z190" t="e">
        <f>VLOOKUP(E190,Sheet2!$A$1:$A$39,1,0)</f>
        <v>#N/A</v>
      </c>
      <c r="AA190">
        <f>VLOOKUP($E190,[1]Sheet1!$E$10:$X$629,AA$9,0)</f>
        <v>144</v>
      </c>
      <c r="AB190">
        <f>VLOOKUP($E190,[1]Sheet1!$E$10:$X$629,AB$9,0)</f>
        <v>432</v>
      </c>
      <c r="AC190">
        <f>VLOOKUP($E190,[1]Sheet1!$E$10:$X$629,AC$9,0)</f>
        <v>0</v>
      </c>
      <c r="AD190">
        <f>VLOOKUP($E190,[1]Sheet1!$E$10:$X$629,AD$9,0)</f>
        <v>432</v>
      </c>
      <c r="AE190">
        <f>VLOOKUP($E190,[1]Sheet1!$E$10:$X$629,AE$9,0)</f>
        <v>144</v>
      </c>
      <c r="AF190">
        <f>VLOOKUP($E190,[1]Sheet1!$E$10:$X$629,AF$9,0)</f>
        <v>576</v>
      </c>
      <c r="AG190">
        <f>VLOOKUP($E190,[1]Sheet1!$E$10:$X$629,AG$9,0)</f>
        <v>432</v>
      </c>
      <c r="AH190">
        <f>VLOOKUP($E190,[1]Sheet1!$E$10:$X$629,AH$9,0)</f>
        <v>0</v>
      </c>
      <c r="AJ190">
        <f t="shared" si="7"/>
        <v>1152</v>
      </c>
      <c r="AK190">
        <f t="shared" si="8"/>
        <v>2160</v>
      </c>
      <c r="AL190">
        <f t="shared" si="9"/>
        <v>-1008</v>
      </c>
    </row>
    <row r="191" spans="1:38" ht="39.6" x14ac:dyDescent="0.3">
      <c r="A191" s="4" t="s">
        <v>558</v>
      </c>
      <c r="B191" s="5" t="s">
        <v>559</v>
      </c>
      <c r="C191" s="21" t="s">
        <v>560</v>
      </c>
      <c r="D191" s="20"/>
      <c r="E191" s="4">
        <v>1001084</v>
      </c>
      <c r="F191" s="4" t="s">
        <v>44</v>
      </c>
      <c r="G191" s="4" t="s">
        <v>45</v>
      </c>
      <c r="H191" s="4" t="s">
        <v>61</v>
      </c>
      <c r="I191" s="4" t="s">
        <v>57</v>
      </c>
      <c r="J191" s="4" t="s">
        <v>47</v>
      </c>
      <c r="K191" s="4">
        <v>7.5</v>
      </c>
      <c r="L191" s="4">
        <v>15</v>
      </c>
      <c r="M191" s="5">
        <v>0</v>
      </c>
      <c r="N191" s="5">
        <v>432</v>
      </c>
      <c r="O191" s="5">
        <v>0</v>
      </c>
      <c r="P191" s="5">
        <v>144</v>
      </c>
      <c r="Q191" s="5">
        <v>144</v>
      </c>
      <c r="R191" s="5">
        <v>288</v>
      </c>
      <c r="S191" s="5">
        <v>144</v>
      </c>
      <c r="T191" s="5">
        <v>144</v>
      </c>
      <c r="U191" s="5">
        <v>432</v>
      </c>
      <c r="V191" s="5">
        <v>0</v>
      </c>
      <c r="W191" s="5">
        <v>288</v>
      </c>
      <c r="X191" s="5">
        <v>288</v>
      </c>
      <c r="Z191" t="e">
        <f>VLOOKUP(E191,Sheet2!$A$1:$A$39,1,0)</f>
        <v>#N/A</v>
      </c>
      <c r="AA191">
        <f>VLOOKUP($E191,[1]Sheet1!$E$10:$X$629,AA$9,0)</f>
        <v>288</v>
      </c>
      <c r="AB191">
        <f>VLOOKUP($E191,[1]Sheet1!$E$10:$X$629,AB$9,0)</f>
        <v>432</v>
      </c>
      <c r="AC191">
        <f>VLOOKUP($E191,[1]Sheet1!$E$10:$X$629,AC$9,0)</f>
        <v>144</v>
      </c>
      <c r="AD191">
        <f>VLOOKUP($E191,[1]Sheet1!$E$10:$X$629,AD$9,0)</f>
        <v>288</v>
      </c>
      <c r="AE191">
        <f>VLOOKUP($E191,[1]Sheet1!$E$10:$X$629,AE$9,0)</f>
        <v>432</v>
      </c>
      <c r="AF191">
        <f>VLOOKUP($E191,[1]Sheet1!$E$10:$X$629,AF$9,0)</f>
        <v>576</v>
      </c>
      <c r="AG191">
        <f>VLOOKUP($E191,[1]Sheet1!$E$10:$X$629,AG$9,0)</f>
        <v>288</v>
      </c>
      <c r="AH191">
        <f>VLOOKUP($E191,[1]Sheet1!$E$10:$X$629,AH$9,0)</f>
        <v>288</v>
      </c>
      <c r="AJ191">
        <f t="shared" si="7"/>
        <v>1296</v>
      </c>
      <c r="AK191">
        <f t="shared" si="8"/>
        <v>2736</v>
      </c>
      <c r="AL191">
        <f t="shared" si="9"/>
        <v>-1440</v>
      </c>
    </row>
    <row r="192" spans="1:38" ht="39.6" x14ac:dyDescent="0.3">
      <c r="A192" s="4" t="s">
        <v>561</v>
      </c>
      <c r="B192" s="5" t="s">
        <v>562</v>
      </c>
      <c r="C192" s="21" t="s">
        <v>563</v>
      </c>
      <c r="D192" s="20"/>
      <c r="E192" s="4">
        <v>1001059</v>
      </c>
      <c r="F192" s="4" t="s">
        <v>44</v>
      </c>
      <c r="G192" s="4" t="s">
        <v>45</v>
      </c>
      <c r="H192" s="4" t="s">
        <v>56</v>
      </c>
      <c r="I192" s="4" t="s">
        <v>57</v>
      </c>
      <c r="J192" s="4" t="s">
        <v>47</v>
      </c>
      <c r="K192" s="4">
        <v>7.5</v>
      </c>
      <c r="L192" s="4">
        <v>15</v>
      </c>
      <c r="M192" s="5">
        <v>1152</v>
      </c>
      <c r="N192" s="5">
        <v>1152</v>
      </c>
      <c r="O192" s="5">
        <v>864</v>
      </c>
      <c r="P192" s="5">
        <v>720</v>
      </c>
      <c r="Q192" s="5">
        <v>1008</v>
      </c>
      <c r="R192" s="5">
        <v>1152</v>
      </c>
      <c r="S192" s="5">
        <v>1152</v>
      </c>
      <c r="T192" s="5">
        <v>1152</v>
      </c>
      <c r="U192" s="5">
        <v>1440</v>
      </c>
      <c r="V192" s="5">
        <v>1872</v>
      </c>
      <c r="W192" s="5">
        <v>1008</v>
      </c>
      <c r="X192" s="5">
        <v>1584</v>
      </c>
      <c r="Z192" t="e">
        <f>VLOOKUP(E192,Sheet2!$A$1:$A$39,1,0)</f>
        <v>#N/A</v>
      </c>
      <c r="AA192">
        <f>VLOOKUP($E192,[1]Sheet1!$E$10:$X$629,AA$9,0)</f>
        <v>1152</v>
      </c>
      <c r="AB192">
        <f>VLOOKUP($E192,[1]Sheet1!$E$10:$X$629,AB$9,0)</f>
        <v>864</v>
      </c>
      <c r="AC192">
        <f>VLOOKUP($E192,[1]Sheet1!$E$10:$X$629,AC$9,0)</f>
        <v>1152</v>
      </c>
      <c r="AD192">
        <f>VLOOKUP($E192,[1]Sheet1!$E$10:$X$629,AD$9,0)</f>
        <v>1008</v>
      </c>
      <c r="AE192">
        <f>VLOOKUP($E192,[1]Sheet1!$E$10:$X$629,AE$9,0)</f>
        <v>864</v>
      </c>
      <c r="AF192">
        <f>VLOOKUP($E192,[1]Sheet1!$E$10:$X$629,AF$9,0)</f>
        <v>1296</v>
      </c>
      <c r="AG192">
        <f>VLOOKUP($E192,[1]Sheet1!$E$10:$X$629,AG$9,0)</f>
        <v>1008</v>
      </c>
      <c r="AH192">
        <f>VLOOKUP($E192,[1]Sheet1!$E$10:$X$629,AH$9,0)</f>
        <v>576</v>
      </c>
      <c r="AJ192">
        <f t="shared" si="7"/>
        <v>8352</v>
      </c>
      <c r="AK192">
        <f t="shared" si="8"/>
        <v>7920</v>
      </c>
      <c r="AL192">
        <f t="shared" si="9"/>
        <v>432</v>
      </c>
    </row>
    <row r="193" spans="1:46" ht="39.6" x14ac:dyDescent="0.3">
      <c r="A193" s="4" t="s">
        <v>564</v>
      </c>
      <c r="B193" s="5" t="s">
        <v>565</v>
      </c>
      <c r="C193" s="21" t="s">
        <v>566</v>
      </c>
      <c r="D193" s="20"/>
      <c r="E193" s="4">
        <v>1001055</v>
      </c>
      <c r="F193" s="4" t="s">
        <v>44</v>
      </c>
      <c r="G193" s="4" t="s">
        <v>45</v>
      </c>
      <c r="H193" s="4" t="s">
        <v>61</v>
      </c>
      <c r="I193" s="4" t="s">
        <v>57</v>
      </c>
      <c r="J193" s="4" t="s">
        <v>47</v>
      </c>
      <c r="K193" s="4">
        <v>7.5</v>
      </c>
      <c r="L193" s="4">
        <v>15</v>
      </c>
      <c r="M193" s="5">
        <v>288</v>
      </c>
      <c r="N193" s="5">
        <v>432</v>
      </c>
      <c r="O193" s="5">
        <v>576</v>
      </c>
      <c r="P193" s="5">
        <v>144</v>
      </c>
      <c r="Q193" s="5">
        <v>576</v>
      </c>
      <c r="R193" s="5">
        <v>720</v>
      </c>
      <c r="S193" s="5">
        <v>432</v>
      </c>
      <c r="T193" s="5">
        <v>576</v>
      </c>
      <c r="U193" s="5">
        <v>432</v>
      </c>
      <c r="V193" s="5">
        <v>864</v>
      </c>
      <c r="W193" s="5">
        <v>576</v>
      </c>
      <c r="X193" s="5">
        <v>288</v>
      </c>
      <c r="Z193" t="e">
        <f>VLOOKUP(E193,Sheet2!$A$1:$A$39,1,0)</f>
        <v>#N/A</v>
      </c>
      <c r="AA193">
        <f>VLOOKUP($E193,[1]Sheet1!$E$10:$X$629,AA$9,0)</f>
        <v>576</v>
      </c>
      <c r="AB193">
        <f>VLOOKUP($E193,[1]Sheet1!$E$10:$X$629,AB$9,0)</f>
        <v>288</v>
      </c>
      <c r="AC193">
        <f>VLOOKUP($E193,[1]Sheet1!$E$10:$X$629,AC$9,0)</f>
        <v>576</v>
      </c>
      <c r="AD193">
        <f>VLOOKUP($E193,[1]Sheet1!$E$10:$X$629,AD$9,0)</f>
        <v>576</v>
      </c>
      <c r="AE193">
        <f>VLOOKUP($E193,[1]Sheet1!$E$10:$X$629,AE$9,0)</f>
        <v>432</v>
      </c>
      <c r="AF193">
        <f>VLOOKUP($E193,[1]Sheet1!$E$10:$X$629,AF$9,0)</f>
        <v>720</v>
      </c>
      <c r="AG193">
        <f>VLOOKUP($E193,[1]Sheet1!$E$10:$X$629,AG$9,0)</f>
        <v>576</v>
      </c>
      <c r="AH193">
        <f>VLOOKUP($E193,[1]Sheet1!$E$10:$X$629,AH$9,0)</f>
        <v>144</v>
      </c>
      <c r="AJ193">
        <f t="shared" si="7"/>
        <v>3744</v>
      </c>
      <c r="AK193">
        <f t="shared" si="8"/>
        <v>3888</v>
      </c>
      <c r="AL193">
        <f t="shared" si="9"/>
        <v>-144</v>
      </c>
    </row>
    <row r="194" spans="1:46" ht="39.6" x14ac:dyDescent="0.3">
      <c r="A194" s="4" t="s">
        <v>567</v>
      </c>
      <c r="B194" s="5" t="s">
        <v>568</v>
      </c>
      <c r="C194" s="21" t="s">
        <v>569</v>
      </c>
      <c r="D194" s="20"/>
      <c r="E194" s="4">
        <v>1001087</v>
      </c>
      <c r="F194" s="4" t="s">
        <v>44</v>
      </c>
      <c r="G194" s="4" t="s">
        <v>45</v>
      </c>
      <c r="H194" s="4" t="s">
        <v>56</v>
      </c>
      <c r="I194" s="4" t="s">
        <v>57</v>
      </c>
      <c r="J194" s="4" t="s">
        <v>47</v>
      </c>
      <c r="K194" s="4">
        <v>6.5</v>
      </c>
      <c r="L194" s="4">
        <v>13</v>
      </c>
      <c r="M194" s="5">
        <v>576</v>
      </c>
      <c r="N194" s="5">
        <v>288</v>
      </c>
      <c r="O194" s="5">
        <v>720</v>
      </c>
      <c r="P194" s="5">
        <v>432</v>
      </c>
      <c r="Q194" s="5">
        <v>432</v>
      </c>
      <c r="R194" s="5">
        <v>576</v>
      </c>
      <c r="S194" s="5">
        <v>720</v>
      </c>
      <c r="T194" s="5">
        <v>288</v>
      </c>
      <c r="U194" s="5">
        <v>1008</v>
      </c>
      <c r="V194" s="5">
        <v>720</v>
      </c>
      <c r="W194" s="5">
        <v>720</v>
      </c>
      <c r="X194" s="5">
        <v>720</v>
      </c>
      <c r="Z194" t="e">
        <f>VLOOKUP(E194,Sheet2!$A$1:$A$39,1,0)</f>
        <v>#N/A</v>
      </c>
      <c r="AA194">
        <f>VLOOKUP($E194,[1]Sheet1!$E$10:$X$629,AA$9,0)</f>
        <v>576</v>
      </c>
      <c r="AB194">
        <f>VLOOKUP($E194,[1]Sheet1!$E$10:$X$629,AB$9,0)</f>
        <v>720</v>
      </c>
      <c r="AC194">
        <f>VLOOKUP($E194,[1]Sheet1!$E$10:$X$629,AC$9,0)</f>
        <v>576</v>
      </c>
      <c r="AD194">
        <f>VLOOKUP($E194,[1]Sheet1!$E$10:$X$629,AD$9,0)</f>
        <v>720</v>
      </c>
      <c r="AE194">
        <f>VLOOKUP($E194,[1]Sheet1!$E$10:$X$629,AE$9,0)</f>
        <v>432</v>
      </c>
      <c r="AF194">
        <f>VLOOKUP($E194,[1]Sheet1!$E$10:$X$629,AF$9,0)</f>
        <v>864</v>
      </c>
      <c r="AG194">
        <f>VLOOKUP($E194,[1]Sheet1!$E$10:$X$629,AG$9,0)</f>
        <v>576</v>
      </c>
      <c r="AH194">
        <f>VLOOKUP($E194,[1]Sheet1!$E$10:$X$629,AH$9,0)</f>
        <v>288</v>
      </c>
      <c r="AJ194">
        <f t="shared" si="7"/>
        <v>4032</v>
      </c>
      <c r="AK194">
        <f t="shared" si="8"/>
        <v>4752</v>
      </c>
      <c r="AL194">
        <f t="shared" si="9"/>
        <v>-720</v>
      </c>
    </row>
    <row r="195" spans="1:46" ht="39.6" x14ac:dyDescent="0.3">
      <c r="A195" s="4" t="s">
        <v>570</v>
      </c>
      <c r="B195" s="5" t="s">
        <v>571</v>
      </c>
      <c r="C195" s="21" t="s">
        <v>572</v>
      </c>
      <c r="D195" s="20"/>
      <c r="E195" s="4">
        <v>1001117</v>
      </c>
      <c r="F195" s="4" t="s">
        <v>44</v>
      </c>
      <c r="G195" s="4" t="s">
        <v>45</v>
      </c>
      <c r="H195" s="4" t="s">
        <v>269</v>
      </c>
      <c r="I195" s="4" t="s">
        <v>46</v>
      </c>
      <c r="J195" s="4" t="s">
        <v>47</v>
      </c>
      <c r="K195" s="4">
        <v>5</v>
      </c>
      <c r="L195" s="4">
        <v>2.5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Z195" t="e">
        <f>VLOOKUP(E195,Sheet2!$A$1:$A$39,1,0)</f>
        <v>#N/A</v>
      </c>
      <c r="AA195">
        <f>VLOOKUP($E195,[1]Sheet1!$E$10:$X$629,AA$9,0)</f>
        <v>0</v>
      </c>
      <c r="AB195">
        <f>VLOOKUP($E195,[1]Sheet1!$E$10:$X$629,AB$9,0)</f>
        <v>0</v>
      </c>
      <c r="AC195">
        <f>VLOOKUP($E195,[1]Sheet1!$E$10:$X$629,AC$9,0)</f>
        <v>0</v>
      </c>
      <c r="AD195">
        <f>VLOOKUP($E195,[1]Sheet1!$E$10:$X$629,AD$9,0)</f>
        <v>0</v>
      </c>
      <c r="AE195">
        <f>VLOOKUP($E195,[1]Sheet1!$E$10:$X$629,AE$9,0)</f>
        <v>0</v>
      </c>
      <c r="AF195">
        <f>VLOOKUP($E195,[1]Sheet1!$E$10:$X$629,AF$9,0)</f>
        <v>0</v>
      </c>
      <c r="AG195">
        <f>VLOOKUP($E195,[1]Sheet1!$E$10:$X$629,AG$9,0)</f>
        <v>0</v>
      </c>
      <c r="AH195">
        <f>VLOOKUP($E195,[1]Sheet1!$E$10:$X$629,AH$9,0)</f>
        <v>0</v>
      </c>
      <c r="AJ195">
        <f t="shared" si="7"/>
        <v>0</v>
      </c>
      <c r="AK195">
        <f t="shared" si="8"/>
        <v>0</v>
      </c>
      <c r="AL195">
        <f t="shared" si="9"/>
        <v>0</v>
      </c>
    </row>
    <row r="196" spans="1:46" ht="39.6" x14ac:dyDescent="0.3">
      <c r="A196" s="4" t="s">
        <v>573</v>
      </c>
      <c r="B196" s="5" t="s">
        <v>574</v>
      </c>
      <c r="C196" s="21" t="s">
        <v>575</v>
      </c>
      <c r="D196" s="20"/>
      <c r="E196" s="4">
        <v>1001080</v>
      </c>
      <c r="F196" s="4" t="s">
        <v>44</v>
      </c>
      <c r="G196" s="4" t="s">
        <v>45</v>
      </c>
      <c r="H196" s="4" t="s">
        <v>61</v>
      </c>
      <c r="I196" s="4" t="s">
        <v>57</v>
      </c>
      <c r="J196" s="4" t="s">
        <v>47</v>
      </c>
      <c r="K196" s="4">
        <v>7.5</v>
      </c>
      <c r="L196" s="4">
        <v>15</v>
      </c>
      <c r="M196" s="5">
        <v>144</v>
      </c>
      <c r="N196" s="5">
        <v>0</v>
      </c>
      <c r="O196" s="5">
        <v>432</v>
      </c>
      <c r="P196" s="5">
        <v>144</v>
      </c>
      <c r="Q196" s="5">
        <v>144</v>
      </c>
      <c r="R196" s="5">
        <v>144</v>
      </c>
      <c r="S196" s="5">
        <v>288</v>
      </c>
      <c r="T196" s="5">
        <v>288</v>
      </c>
      <c r="U196" s="5">
        <v>288</v>
      </c>
      <c r="V196" s="5">
        <v>432</v>
      </c>
      <c r="W196" s="5">
        <v>288</v>
      </c>
      <c r="X196" s="5">
        <v>432</v>
      </c>
      <c r="Z196" t="e">
        <f>VLOOKUP(E196,Sheet2!$A$1:$A$39,1,0)</f>
        <v>#N/A</v>
      </c>
      <c r="AA196">
        <f>VLOOKUP($E196,[1]Sheet1!$E$10:$X$629,AA$9,0)</f>
        <v>432</v>
      </c>
      <c r="AB196">
        <f>VLOOKUP($E196,[1]Sheet1!$E$10:$X$629,AB$9,0)</f>
        <v>432</v>
      </c>
      <c r="AC196">
        <f>VLOOKUP($E196,[1]Sheet1!$E$10:$X$629,AC$9,0)</f>
        <v>432</v>
      </c>
      <c r="AD196">
        <f>VLOOKUP($E196,[1]Sheet1!$E$10:$X$629,AD$9,0)</f>
        <v>288</v>
      </c>
      <c r="AE196">
        <f>VLOOKUP($E196,[1]Sheet1!$E$10:$X$629,AE$9,0)</f>
        <v>432</v>
      </c>
      <c r="AF196">
        <f>VLOOKUP($E196,[1]Sheet1!$E$10:$X$629,AF$9,0)</f>
        <v>432</v>
      </c>
      <c r="AG196">
        <f>VLOOKUP($E196,[1]Sheet1!$E$10:$X$629,AG$9,0)</f>
        <v>576</v>
      </c>
      <c r="AH196">
        <f>VLOOKUP($E196,[1]Sheet1!$E$10:$X$629,AH$9,0)</f>
        <v>0</v>
      </c>
      <c r="AJ196">
        <f t="shared" si="7"/>
        <v>1584</v>
      </c>
      <c r="AK196">
        <f t="shared" si="8"/>
        <v>3024</v>
      </c>
      <c r="AL196">
        <f t="shared" si="9"/>
        <v>-1440</v>
      </c>
    </row>
    <row r="197" spans="1:46" ht="39.6" x14ac:dyDescent="0.3">
      <c r="A197" s="4" t="s">
        <v>576</v>
      </c>
      <c r="B197" s="5" t="s">
        <v>577</v>
      </c>
      <c r="C197" s="21" t="s">
        <v>578</v>
      </c>
      <c r="D197" s="20"/>
      <c r="E197" s="4">
        <v>1001079</v>
      </c>
      <c r="F197" s="4" t="s">
        <v>44</v>
      </c>
      <c r="G197" s="4" t="s">
        <v>45</v>
      </c>
      <c r="H197" s="4" t="s">
        <v>61</v>
      </c>
      <c r="I197" s="4" t="s">
        <v>57</v>
      </c>
      <c r="J197" s="4" t="s">
        <v>47</v>
      </c>
      <c r="K197" s="4">
        <v>7.5</v>
      </c>
      <c r="L197" s="4">
        <v>15</v>
      </c>
      <c r="M197" s="5">
        <v>288</v>
      </c>
      <c r="N197" s="5">
        <v>0</v>
      </c>
      <c r="O197" s="5">
        <v>432</v>
      </c>
      <c r="P197" s="5">
        <v>0</v>
      </c>
      <c r="Q197" s="5">
        <v>288</v>
      </c>
      <c r="R197" s="5">
        <v>144</v>
      </c>
      <c r="S197" s="5">
        <v>432</v>
      </c>
      <c r="T197" s="5">
        <v>0</v>
      </c>
      <c r="U197" s="5">
        <v>576</v>
      </c>
      <c r="V197" s="5">
        <v>288</v>
      </c>
      <c r="W197" s="5">
        <v>432</v>
      </c>
      <c r="X197" s="5">
        <v>144</v>
      </c>
      <c r="Z197" t="e">
        <f>VLOOKUP(E197,Sheet2!$A$1:$A$39,1,0)</f>
        <v>#N/A</v>
      </c>
      <c r="AA197">
        <f>VLOOKUP($E197,[1]Sheet1!$E$10:$X$629,AA$9,0)</f>
        <v>432</v>
      </c>
      <c r="AB197">
        <f>VLOOKUP($E197,[1]Sheet1!$E$10:$X$629,AB$9,0)</f>
        <v>720</v>
      </c>
      <c r="AC197">
        <f>VLOOKUP($E197,[1]Sheet1!$E$10:$X$629,AC$9,0)</f>
        <v>288</v>
      </c>
      <c r="AD197">
        <f>VLOOKUP($E197,[1]Sheet1!$E$10:$X$629,AD$9,0)</f>
        <v>432</v>
      </c>
      <c r="AE197">
        <f>VLOOKUP($E197,[1]Sheet1!$E$10:$X$629,AE$9,0)</f>
        <v>288</v>
      </c>
      <c r="AF197">
        <f>VLOOKUP($E197,[1]Sheet1!$E$10:$X$629,AF$9,0)</f>
        <v>576</v>
      </c>
      <c r="AG197">
        <f>VLOOKUP($E197,[1]Sheet1!$E$10:$X$629,AG$9,0)</f>
        <v>432</v>
      </c>
      <c r="AH197">
        <f>VLOOKUP($E197,[1]Sheet1!$E$10:$X$629,AH$9,0)</f>
        <v>432</v>
      </c>
      <c r="AJ197">
        <f t="shared" si="7"/>
        <v>1584</v>
      </c>
      <c r="AK197">
        <f t="shared" si="8"/>
        <v>3600</v>
      </c>
      <c r="AL197">
        <f t="shared" si="9"/>
        <v>-2016</v>
      </c>
    </row>
    <row r="198" spans="1:46" ht="39.6" x14ac:dyDescent="0.3">
      <c r="A198" s="4" t="s">
        <v>579</v>
      </c>
      <c r="B198" s="5" t="s">
        <v>580</v>
      </c>
      <c r="C198" s="21" t="s">
        <v>581</v>
      </c>
      <c r="D198" s="20"/>
      <c r="E198" s="4">
        <v>1001081</v>
      </c>
      <c r="F198" s="4" t="s">
        <v>44</v>
      </c>
      <c r="G198" s="4" t="s">
        <v>45</v>
      </c>
      <c r="H198" s="4" t="s">
        <v>61</v>
      </c>
      <c r="I198" s="4" t="s">
        <v>57</v>
      </c>
      <c r="J198" s="4" t="s">
        <v>47</v>
      </c>
      <c r="K198" s="4">
        <v>7.5</v>
      </c>
      <c r="L198" s="4">
        <v>15</v>
      </c>
      <c r="M198" s="5">
        <v>144</v>
      </c>
      <c r="N198" s="5">
        <v>288</v>
      </c>
      <c r="O198" s="5">
        <v>0</v>
      </c>
      <c r="P198" s="5">
        <v>144</v>
      </c>
      <c r="Q198" s="5">
        <v>432</v>
      </c>
      <c r="R198" s="5">
        <v>144</v>
      </c>
      <c r="S198" s="5">
        <v>0</v>
      </c>
      <c r="T198" s="5">
        <v>432</v>
      </c>
      <c r="U198" s="5">
        <v>144</v>
      </c>
      <c r="V198" s="5">
        <v>144</v>
      </c>
      <c r="W198" s="5">
        <v>432</v>
      </c>
      <c r="X198" s="5">
        <v>144</v>
      </c>
      <c r="Z198" t="e">
        <f>VLOOKUP(E198,Sheet2!$A$1:$A$39,1,0)</f>
        <v>#N/A</v>
      </c>
      <c r="AA198">
        <f>VLOOKUP($E198,[1]Sheet1!$E$10:$X$629,AA$9,0)</f>
        <v>288</v>
      </c>
      <c r="AB198">
        <f>VLOOKUP($E198,[1]Sheet1!$E$10:$X$629,AB$9,0)</f>
        <v>144</v>
      </c>
      <c r="AC198">
        <f>VLOOKUP($E198,[1]Sheet1!$E$10:$X$629,AC$9,0)</f>
        <v>432</v>
      </c>
      <c r="AD198">
        <f>VLOOKUP($E198,[1]Sheet1!$E$10:$X$629,AD$9,0)</f>
        <v>432</v>
      </c>
      <c r="AE198">
        <f>VLOOKUP($E198,[1]Sheet1!$E$10:$X$629,AE$9,0)</f>
        <v>288</v>
      </c>
      <c r="AF198">
        <f>VLOOKUP($E198,[1]Sheet1!$E$10:$X$629,AF$9,0)</f>
        <v>576</v>
      </c>
      <c r="AG198">
        <f>VLOOKUP($E198,[1]Sheet1!$E$10:$X$629,AG$9,0)</f>
        <v>432</v>
      </c>
      <c r="AH198">
        <f>VLOOKUP($E198,[1]Sheet1!$E$10:$X$629,AH$9,0)</f>
        <v>144</v>
      </c>
      <c r="AJ198">
        <f t="shared" si="7"/>
        <v>1584</v>
      </c>
      <c r="AK198">
        <f t="shared" si="8"/>
        <v>2736</v>
      </c>
      <c r="AL198">
        <f t="shared" si="9"/>
        <v>-1152</v>
      </c>
    </row>
    <row r="199" spans="1:46" ht="39.6" x14ac:dyDescent="0.3">
      <c r="A199" s="4" t="s">
        <v>582</v>
      </c>
      <c r="B199" s="5" t="s">
        <v>583</v>
      </c>
      <c r="C199" s="21" t="s">
        <v>584</v>
      </c>
      <c r="D199" s="20"/>
      <c r="E199" s="4">
        <v>1001241</v>
      </c>
      <c r="F199" s="4" t="s">
        <v>44</v>
      </c>
      <c r="G199" s="4" t="s">
        <v>45</v>
      </c>
      <c r="H199" s="4"/>
      <c r="I199" s="4" t="s">
        <v>46</v>
      </c>
      <c r="J199" s="4" t="s">
        <v>47</v>
      </c>
      <c r="K199" s="4">
        <v>6.5</v>
      </c>
      <c r="L199" s="4">
        <v>3.25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Z199" t="e">
        <f>VLOOKUP(E199,Sheet2!$A$1:$A$39,1,0)</f>
        <v>#N/A</v>
      </c>
      <c r="AA199">
        <f>VLOOKUP($E199,[1]Sheet1!$E$10:$X$629,AA$9,0)</f>
        <v>0</v>
      </c>
      <c r="AB199">
        <f>VLOOKUP($E199,[1]Sheet1!$E$10:$X$629,AB$9,0)</f>
        <v>0</v>
      </c>
      <c r="AC199">
        <f>VLOOKUP($E199,[1]Sheet1!$E$10:$X$629,AC$9,0)</f>
        <v>0</v>
      </c>
      <c r="AD199">
        <f>VLOOKUP($E199,[1]Sheet1!$E$10:$X$629,AD$9,0)</f>
        <v>0</v>
      </c>
      <c r="AE199">
        <f>VLOOKUP($E199,[1]Sheet1!$E$10:$X$629,AE$9,0)</f>
        <v>0</v>
      </c>
      <c r="AF199">
        <f>VLOOKUP($E199,[1]Sheet1!$E$10:$X$629,AF$9,0)</f>
        <v>0</v>
      </c>
      <c r="AG199">
        <f>VLOOKUP($E199,[1]Sheet1!$E$10:$X$629,AG$9,0)</f>
        <v>0</v>
      </c>
      <c r="AH199">
        <f>VLOOKUP($E199,[1]Sheet1!$E$10:$X$629,AH$9,0)</f>
        <v>0</v>
      </c>
      <c r="AJ199">
        <f t="shared" si="7"/>
        <v>0</v>
      </c>
      <c r="AK199">
        <f t="shared" si="8"/>
        <v>0</v>
      </c>
      <c r="AL199">
        <f t="shared" si="9"/>
        <v>0</v>
      </c>
    </row>
    <row r="200" spans="1:46" ht="39.6" x14ac:dyDescent="0.3">
      <c r="A200" s="4" t="s">
        <v>585</v>
      </c>
      <c r="B200" s="5" t="s">
        <v>586</v>
      </c>
      <c r="C200" s="21" t="s">
        <v>587</v>
      </c>
      <c r="D200" s="20"/>
      <c r="E200" s="4">
        <v>1001243</v>
      </c>
      <c r="F200" s="4" t="s">
        <v>44</v>
      </c>
      <c r="G200" s="4" t="s">
        <v>45</v>
      </c>
      <c r="H200" s="4" t="s">
        <v>61</v>
      </c>
      <c r="I200" s="4" t="s">
        <v>46</v>
      </c>
      <c r="J200" s="4" t="s">
        <v>47</v>
      </c>
      <c r="K200" s="4">
        <v>6.5</v>
      </c>
      <c r="L200" s="4">
        <v>1.3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Z200" t="e">
        <f>VLOOKUP(E200,Sheet2!$A$1:$A$39,1,0)</f>
        <v>#N/A</v>
      </c>
      <c r="AA200">
        <f>VLOOKUP($E200,[1]Sheet1!$E$10:$X$629,AA$9,0)</f>
        <v>0</v>
      </c>
      <c r="AB200">
        <f>VLOOKUP($E200,[1]Sheet1!$E$10:$X$629,AB$9,0)</f>
        <v>0</v>
      </c>
      <c r="AC200">
        <f>VLOOKUP($E200,[1]Sheet1!$E$10:$X$629,AC$9,0)</f>
        <v>0</v>
      </c>
      <c r="AD200">
        <f>VLOOKUP($E200,[1]Sheet1!$E$10:$X$629,AD$9,0)</f>
        <v>0</v>
      </c>
      <c r="AE200">
        <f>VLOOKUP($E200,[1]Sheet1!$E$10:$X$629,AE$9,0)</f>
        <v>0</v>
      </c>
      <c r="AF200">
        <f>VLOOKUP($E200,[1]Sheet1!$E$10:$X$629,AF$9,0)</f>
        <v>0</v>
      </c>
      <c r="AG200">
        <f>VLOOKUP($E200,[1]Sheet1!$E$10:$X$629,AG$9,0)</f>
        <v>0</v>
      </c>
      <c r="AH200">
        <f>VLOOKUP($E200,[1]Sheet1!$E$10:$X$629,AH$9,0)</f>
        <v>0</v>
      </c>
      <c r="AJ200">
        <f t="shared" si="7"/>
        <v>0</v>
      </c>
      <c r="AK200">
        <f t="shared" si="8"/>
        <v>0</v>
      </c>
      <c r="AL200">
        <f t="shared" si="9"/>
        <v>0</v>
      </c>
    </row>
    <row r="201" spans="1:46" ht="39.6" x14ac:dyDescent="0.3">
      <c r="A201" s="4" t="s">
        <v>588</v>
      </c>
      <c r="B201" s="5" t="s">
        <v>589</v>
      </c>
      <c r="C201" s="21" t="s">
        <v>590</v>
      </c>
      <c r="D201" s="20"/>
      <c r="E201" s="4">
        <v>1001242</v>
      </c>
      <c r="F201" s="4" t="s">
        <v>44</v>
      </c>
      <c r="G201" s="4" t="s">
        <v>45</v>
      </c>
      <c r="H201" s="4" t="s">
        <v>61</v>
      </c>
      <c r="I201" s="4" t="s">
        <v>46</v>
      </c>
      <c r="J201" s="4" t="s">
        <v>47</v>
      </c>
      <c r="K201" s="4">
        <v>6.5</v>
      </c>
      <c r="L201" s="4">
        <v>1.3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Z201" t="e">
        <f>VLOOKUP(E201,Sheet2!$A$1:$A$39,1,0)</f>
        <v>#N/A</v>
      </c>
      <c r="AA201">
        <f>VLOOKUP($E201,[1]Sheet1!$E$10:$X$629,AA$9,0)</f>
        <v>0</v>
      </c>
      <c r="AB201">
        <f>VLOOKUP($E201,[1]Sheet1!$E$10:$X$629,AB$9,0)</f>
        <v>0</v>
      </c>
      <c r="AC201">
        <f>VLOOKUP($E201,[1]Sheet1!$E$10:$X$629,AC$9,0)</f>
        <v>0</v>
      </c>
      <c r="AD201">
        <f>VLOOKUP($E201,[1]Sheet1!$E$10:$X$629,AD$9,0)</f>
        <v>0</v>
      </c>
      <c r="AE201">
        <f>VLOOKUP($E201,[1]Sheet1!$E$10:$X$629,AE$9,0)</f>
        <v>0</v>
      </c>
      <c r="AF201">
        <f>VLOOKUP($E201,[1]Sheet1!$E$10:$X$629,AF$9,0)</f>
        <v>0</v>
      </c>
      <c r="AG201">
        <f>VLOOKUP($E201,[1]Sheet1!$E$10:$X$629,AG$9,0)</f>
        <v>0</v>
      </c>
      <c r="AH201">
        <f>VLOOKUP($E201,[1]Sheet1!$E$10:$X$629,AH$9,0)</f>
        <v>0</v>
      </c>
      <c r="AJ201">
        <f t="shared" si="7"/>
        <v>0</v>
      </c>
      <c r="AK201">
        <f t="shared" si="8"/>
        <v>0</v>
      </c>
      <c r="AL201">
        <f t="shared" si="9"/>
        <v>0</v>
      </c>
    </row>
    <row r="202" spans="1:46" ht="39.6" x14ac:dyDescent="0.3">
      <c r="A202" s="4" t="s">
        <v>591</v>
      </c>
      <c r="B202" s="5" t="s">
        <v>592</v>
      </c>
      <c r="C202" s="21" t="s">
        <v>593</v>
      </c>
      <c r="D202" s="20"/>
      <c r="E202" s="4">
        <v>1001056</v>
      </c>
      <c r="F202" s="4" t="s">
        <v>44</v>
      </c>
      <c r="G202" s="4" t="s">
        <v>45</v>
      </c>
      <c r="H202" s="4" t="s">
        <v>61</v>
      </c>
      <c r="I202" s="4" t="s">
        <v>57</v>
      </c>
      <c r="J202" s="4" t="s">
        <v>47</v>
      </c>
      <c r="K202" s="4">
        <v>7</v>
      </c>
      <c r="L202" s="4">
        <v>15</v>
      </c>
      <c r="M202" s="5">
        <v>144</v>
      </c>
      <c r="N202" s="5">
        <v>288</v>
      </c>
      <c r="O202" s="5">
        <v>144</v>
      </c>
      <c r="P202" s="5">
        <v>432</v>
      </c>
      <c r="Q202" s="5">
        <v>0</v>
      </c>
      <c r="R202" s="5">
        <v>432</v>
      </c>
      <c r="S202" s="5">
        <v>288</v>
      </c>
      <c r="T202" s="5">
        <v>144</v>
      </c>
      <c r="U202" s="5">
        <v>432</v>
      </c>
      <c r="V202" s="5">
        <v>288</v>
      </c>
      <c r="W202" s="5">
        <v>288</v>
      </c>
      <c r="X202" s="5">
        <v>288</v>
      </c>
      <c r="Z202" t="e">
        <f>VLOOKUP(E202,Sheet2!$A$1:$A$39,1,0)</f>
        <v>#N/A</v>
      </c>
      <c r="AA202">
        <f>VLOOKUP($E202,[1]Sheet1!$E$10:$X$629,AA$9,0)</f>
        <v>432</v>
      </c>
      <c r="AB202">
        <f>VLOOKUP($E202,[1]Sheet1!$E$10:$X$629,AB$9,0)</f>
        <v>144</v>
      </c>
      <c r="AC202">
        <f>VLOOKUP($E202,[1]Sheet1!$E$10:$X$629,AC$9,0)</f>
        <v>432</v>
      </c>
      <c r="AD202">
        <f>VLOOKUP($E202,[1]Sheet1!$E$10:$X$629,AD$9,0)</f>
        <v>288</v>
      </c>
      <c r="AE202">
        <f>VLOOKUP($E202,[1]Sheet1!$E$10:$X$629,AE$9,0)</f>
        <v>432</v>
      </c>
      <c r="AF202">
        <f>VLOOKUP($E202,[1]Sheet1!$E$10:$X$629,AF$9,0)</f>
        <v>288</v>
      </c>
      <c r="AG202">
        <f>VLOOKUP($E202,[1]Sheet1!$E$10:$X$629,AG$9,0)</f>
        <v>576</v>
      </c>
      <c r="AH202">
        <f>VLOOKUP($E202,[1]Sheet1!$E$10:$X$629,AH$9,0)</f>
        <v>0</v>
      </c>
      <c r="AJ202">
        <f t="shared" si="7"/>
        <v>1872</v>
      </c>
      <c r="AK202">
        <f t="shared" si="8"/>
        <v>2592</v>
      </c>
      <c r="AL202">
        <f t="shared" si="9"/>
        <v>-720</v>
      </c>
    </row>
    <row r="203" spans="1:46" ht="39.6" x14ac:dyDescent="0.3">
      <c r="A203" s="4" t="s">
        <v>594</v>
      </c>
      <c r="B203" s="5" t="s">
        <v>595</v>
      </c>
      <c r="C203" s="21" t="s">
        <v>596</v>
      </c>
      <c r="D203" s="20"/>
      <c r="E203" s="4">
        <v>1001051</v>
      </c>
      <c r="F203" s="4" t="s">
        <v>44</v>
      </c>
      <c r="G203" s="4" t="s">
        <v>45</v>
      </c>
      <c r="H203" s="4" t="s">
        <v>56</v>
      </c>
      <c r="I203" s="4" t="s">
        <v>57</v>
      </c>
      <c r="J203" s="4" t="s">
        <v>47</v>
      </c>
      <c r="K203" s="4">
        <v>7</v>
      </c>
      <c r="L203" s="4">
        <v>15</v>
      </c>
      <c r="M203" s="5">
        <v>432</v>
      </c>
      <c r="N203" s="5">
        <v>576</v>
      </c>
      <c r="O203" s="5">
        <v>720</v>
      </c>
      <c r="P203" s="5">
        <v>576</v>
      </c>
      <c r="Q203" s="5">
        <v>576</v>
      </c>
      <c r="R203" s="5">
        <v>720</v>
      </c>
      <c r="S203" s="5">
        <v>576</v>
      </c>
      <c r="T203" s="5">
        <v>576</v>
      </c>
      <c r="U203" s="5">
        <v>720</v>
      </c>
      <c r="V203" s="5">
        <v>864</v>
      </c>
      <c r="W203" s="5">
        <v>720</v>
      </c>
      <c r="X203" s="5">
        <v>720</v>
      </c>
      <c r="Z203" t="e">
        <f>VLOOKUP(E203,Sheet2!$A$1:$A$39,1,0)</f>
        <v>#N/A</v>
      </c>
      <c r="AA203">
        <f>VLOOKUP($E203,[1]Sheet1!$E$10:$X$629,AA$9,0)</f>
        <v>576</v>
      </c>
      <c r="AB203">
        <f>VLOOKUP($E203,[1]Sheet1!$E$10:$X$629,AB$9,0)</f>
        <v>0</v>
      </c>
      <c r="AC203">
        <f>VLOOKUP($E203,[1]Sheet1!$E$10:$X$629,AC$9,0)</f>
        <v>720</v>
      </c>
      <c r="AD203">
        <f>VLOOKUP($E203,[1]Sheet1!$E$10:$X$629,AD$9,0)</f>
        <v>576</v>
      </c>
      <c r="AE203">
        <f>VLOOKUP($E203,[1]Sheet1!$E$10:$X$629,AE$9,0)</f>
        <v>432</v>
      </c>
      <c r="AF203">
        <f>VLOOKUP($E203,[1]Sheet1!$E$10:$X$629,AF$9,0)</f>
        <v>432</v>
      </c>
      <c r="AG203">
        <f>VLOOKUP($E203,[1]Sheet1!$E$10:$X$629,AG$9,0)</f>
        <v>576</v>
      </c>
      <c r="AH203">
        <f>VLOOKUP($E203,[1]Sheet1!$E$10:$X$629,AH$9,0)</f>
        <v>288</v>
      </c>
      <c r="AJ203">
        <f t="shared" ref="AJ203:AJ266" si="10">SUM(M203:T203)</f>
        <v>4752</v>
      </c>
      <c r="AK203">
        <f t="shared" ref="AK203:AK266" si="11">SUM(AA203:AH203)</f>
        <v>3600</v>
      </c>
      <c r="AL203">
        <f t="shared" ref="AL203:AL266" si="12">IFERROR(AJ203-AK203,0)</f>
        <v>1152</v>
      </c>
    </row>
    <row r="204" spans="1:46" ht="39.6" x14ac:dyDescent="0.3">
      <c r="A204" s="4" t="s">
        <v>597</v>
      </c>
      <c r="B204" s="5" t="s">
        <v>598</v>
      </c>
      <c r="C204" s="21" t="s">
        <v>599</v>
      </c>
      <c r="D204" s="20"/>
      <c r="E204" s="4">
        <v>1001052</v>
      </c>
      <c r="F204" s="4" t="s">
        <v>44</v>
      </c>
      <c r="G204" s="4" t="s">
        <v>45</v>
      </c>
      <c r="H204" s="4" t="s">
        <v>61</v>
      </c>
      <c r="I204" s="4" t="s">
        <v>57</v>
      </c>
      <c r="J204" s="4" t="s">
        <v>47</v>
      </c>
      <c r="K204" s="4">
        <v>7</v>
      </c>
      <c r="L204" s="4">
        <v>15</v>
      </c>
      <c r="M204" s="5">
        <v>288</v>
      </c>
      <c r="N204" s="5">
        <v>288</v>
      </c>
      <c r="O204" s="5">
        <v>576</v>
      </c>
      <c r="P204" s="5">
        <v>144</v>
      </c>
      <c r="Q204" s="5">
        <v>576</v>
      </c>
      <c r="R204" s="5">
        <v>576</v>
      </c>
      <c r="S204" s="5">
        <v>288</v>
      </c>
      <c r="T204" s="5">
        <v>432</v>
      </c>
      <c r="U204" s="5">
        <v>720</v>
      </c>
      <c r="V204" s="5">
        <v>432</v>
      </c>
      <c r="W204" s="5">
        <v>576</v>
      </c>
      <c r="X204" s="5">
        <v>576</v>
      </c>
      <c r="Z204" t="e">
        <f>VLOOKUP(E204,Sheet2!$A$1:$A$39,1,0)</f>
        <v>#N/A</v>
      </c>
      <c r="AA204">
        <f>VLOOKUP($E204,[1]Sheet1!$E$10:$X$629,AA$9,0)</f>
        <v>288</v>
      </c>
      <c r="AB204">
        <f>VLOOKUP($E204,[1]Sheet1!$E$10:$X$629,AB$9,0)</f>
        <v>288</v>
      </c>
      <c r="AC204">
        <f>VLOOKUP($E204,[1]Sheet1!$E$10:$X$629,AC$9,0)</f>
        <v>432</v>
      </c>
      <c r="AD204">
        <f>VLOOKUP($E204,[1]Sheet1!$E$10:$X$629,AD$9,0)</f>
        <v>432</v>
      </c>
      <c r="AE204">
        <f>VLOOKUP($E204,[1]Sheet1!$E$10:$X$629,AE$9,0)</f>
        <v>432</v>
      </c>
      <c r="AF204">
        <f>VLOOKUP($E204,[1]Sheet1!$E$10:$X$629,AF$9,0)</f>
        <v>432</v>
      </c>
      <c r="AG204">
        <f>VLOOKUP($E204,[1]Sheet1!$E$10:$X$629,AG$9,0)</f>
        <v>432</v>
      </c>
      <c r="AH204">
        <f>VLOOKUP($E204,[1]Sheet1!$E$10:$X$629,AH$9,0)</f>
        <v>288</v>
      </c>
      <c r="AJ204">
        <f t="shared" si="10"/>
        <v>3168</v>
      </c>
      <c r="AK204">
        <f t="shared" si="11"/>
        <v>3024</v>
      </c>
      <c r="AL204">
        <f t="shared" si="12"/>
        <v>144</v>
      </c>
    </row>
    <row r="205" spans="1:46" ht="39.6" x14ac:dyDescent="0.3">
      <c r="A205" s="4" t="s">
        <v>600</v>
      </c>
      <c r="B205" s="5" t="s">
        <v>601</v>
      </c>
      <c r="C205" s="21" t="s">
        <v>602</v>
      </c>
      <c r="D205" s="20"/>
      <c r="E205" s="4">
        <v>1001057</v>
      </c>
      <c r="F205" s="4" t="s">
        <v>44</v>
      </c>
      <c r="G205" s="4" t="s">
        <v>45</v>
      </c>
      <c r="H205" s="4" t="s">
        <v>61</v>
      </c>
      <c r="I205" s="4" t="s">
        <v>57</v>
      </c>
      <c r="J205" s="4" t="s">
        <v>47</v>
      </c>
      <c r="K205" s="4">
        <v>7</v>
      </c>
      <c r="L205" s="4">
        <v>15</v>
      </c>
      <c r="M205" s="5">
        <v>144</v>
      </c>
      <c r="N205" s="5">
        <v>432</v>
      </c>
      <c r="O205" s="5">
        <v>432</v>
      </c>
      <c r="P205" s="5">
        <v>288</v>
      </c>
      <c r="Q205" s="5">
        <v>432</v>
      </c>
      <c r="R205" s="5">
        <v>432</v>
      </c>
      <c r="S205" s="5">
        <v>432</v>
      </c>
      <c r="T205" s="5">
        <v>288</v>
      </c>
      <c r="U205" s="5">
        <v>576</v>
      </c>
      <c r="V205" s="5">
        <v>720</v>
      </c>
      <c r="W205" s="5">
        <v>576</v>
      </c>
      <c r="X205" s="5">
        <v>432</v>
      </c>
      <c r="Z205" t="e">
        <f>VLOOKUP(E205,Sheet2!$A$1:$A$39,1,0)</f>
        <v>#N/A</v>
      </c>
      <c r="AA205">
        <f>VLOOKUP($E205,[1]Sheet1!$E$10:$X$629,AA$9,0)</f>
        <v>576</v>
      </c>
      <c r="AB205">
        <f>VLOOKUP($E205,[1]Sheet1!$E$10:$X$629,AB$9,0)</f>
        <v>144</v>
      </c>
      <c r="AC205">
        <f>VLOOKUP($E205,[1]Sheet1!$E$10:$X$629,AC$9,0)</f>
        <v>576</v>
      </c>
      <c r="AD205">
        <f>VLOOKUP($E205,[1]Sheet1!$E$10:$X$629,AD$9,0)</f>
        <v>288</v>
      </c>
      <c r="AE205">
        <f>VLOOKUP($E205,[1]Sheet1!$E$10:$X$629,AE$9,0)</f>
        <v>432</v>
      </c>
      <c r="AF205">
        <f>VLOOKUP($E205,[1]Sheet1!$E$10:$X$629,AF$9,0)</f>
        <v>432</v>
      </c>
      <c r="AG205">
        <f>VLOOKUP($E205,[1]Sheet1!$E$10:$X$629,AG$9,0)</f>
        <v>576</v>
      </c>
      <c r="AH205">
        <f>VLOOKUP($E205,[1]Sheet1!$E$10:$X$629,AH$9,0)</f>
        <v>144</v>
      </c>
      <c r="AJ205">
        <f t="shared" si="10"/>
        <v>2880</v>
      </c>
      <c r="AK205">
        <f t="shared" si="11"/>
        <v>3168</v>
      </c>
      <c r="AL205">
        <f t="shared" si="12"/>
        <v>-288</v>
      </c>
    </row>
    <row r="206" spans="1:46" ht="39.6" x14ac:dyDescent="0.3">
      <c r="A206" s="4" t="s">
        <v>603</v>
      </c>
      <c r="B206" s="5" t="s">
        <v>604</v>
      </c>
      <c r="C206" s="21" t="s">
        <v>605</v>
      </c>
      <c r="D206" s="20"/>
      <c r="E206" s="4">
        <v>1001058</v>
      </c>
      <c r="F206" s="4" t="s">
        <v>44</v>
      </c>
      <c r="G206" s="4" t="s">
        <v>45</v>
      </c>
      <c r="H206" s="4" t="s">
        <v>61</v>
      </c>
      <c r="I206" s="4" t="s">
        <v>57</v>
      </c>
      <c r="J206" s="4" t="s">
        <v>47</v>
      </c>
      <c r="K206" s="4">
        <v>7</v>
      </c>
      <c r="L206" s="4">
        <v>15</v>
      </c>
      <c r="M206" s="5">
        <v>576</v>
      </c>
      <c r="N206" s="5">
        <v>576</v>
      </c>
      <c r="O206" s="5">
        <v>864</v>
      </c>
      <c r="P206" s="5">
        <v>432</v>
      </c>
      <c r="Q206" s="5">
        <v>864</v>
      </c>
      <c r="R206" s="5">
        <v>720</v>
      </c>
      <c r="S206" s="5">
        <v>576</v>
      </c>
      <c r="T206" s="5">
        <v>432</v>
      </c>
      <c r="U206" s="5">
        <v>864</v>
      </c>
      <c r="V206" s="5">
        <v>1008</v>
      </c>
      <c r="W206" s="5">
        <v>720</v>
      </c>
      <c r="X206" s="5">
        <v>864</v>
      </c>
      <c r="Z206" t="e">
        <f>VLOOKUP(E206,Sheet2!$A$1:$A$39,1,0)</f>
        <v>#N/A</v>
      </c>
      <c r="AA206">
        <f>VLOOKUP($E206,[1]Sheet1!$E$10:$X$629,AA$9,0)</f>
        <v>576</v>
      </c>
      <c r="AB206">
        <f>VLOOKUP($E206,[1]Sheet1!$E$10:$X$629,AB$9,0)</f>
        <v>144</v>
      </c>
      <c r="AC206">
        <f>VLOOKUP($E206,[1]Sheet1!$E$10:$X$629,AC$9,0)</f>
        <v>864</v>
      </c>
      <c r="AD206">
        <f>VLOOKUP($E206,[1]Sheet1!$E$10:$X$629,AD$9,0)</f>
        <v>576</v>
      </c>
      <c r="AE206">
        <f>VLOOKUP($E206,[1]Sheet1!$E$10:$X$629,AE$9,0)</f>
        <v>576</v>
      </c>
      <c r="AF206">
        <f>VLOOKUP($E206,[1]Sheet1!$E$10:$X$629,AF$9,0)</f>
        <v>720</v>
      </c>
      <c r="AG206">
        <f>VLOOKUP($E206,[1]Sheet1!$E$10:$X$629,AG$9,0)</f>
        <v>576</v>
      </c>
      <c r="AH206">
        <f>VLOOKUP($E206,[1]Sheet1!$E$10:$X$629,AH$9,0)</f>
        <v>144</v>
      </c>
      <c r="AJ206">
        <f t="shared" si="10"/>
        <v>5040</v>
      </c>
      <c r="AK206">
        <f t="shared" si="11"/>
        <v>4176</v>
      </c>
      <c r="AL206">
        <f t="shared" si="12"/>
        <v>864</v>
      </c>
    </row>
    <row r="207" spans="1:46" ht="39.6" x14ac:dyDescent="0.3">
      <c r="A207" s="4" t="s">
        <v>606</v>
      </c>
      <c r="B207" s="5" t="s">
        <v>607</v>
      </c>
      <c r="C207" s="21" t="s">
        <v>608</v>
      </c>
      <c r="D207" s="20"/>
      <c r="E207" s="4">
        <v>1001544</v>
      </c>
      <c r="F207" s="4" t="s">
        <v>44</v>
      </c>
      <c r="G207" s="4" t="s">
        <v>45</v>
      </c>
      <c r="H207" s="4" t="s">
        <v>269</v>
      </c>
      <c r="I207" s="4" t="s">
        <v>57</v>
      </c>
      <c r="J207" s="4" t="s">
        <v>47</v>
      </c>
      <c r="K207" s="4">
        <v>12</v>
      </c>
      <c r="L207" s="4">
        <v>24</v>
      </c>
      <c r="M207" s="5">
        <v>1296</v>
      </c>
      <c r="N207" s="5">
        <v>1872</v>
      </c>
      <c r="O207" s="5">
        <v>1872</v>
      </c>
      <c r="P207" s="5">
        <v>1584</v>
      </c>
      <c r="Q207" s="5">
        <v>1440</v>
      </c>
      <c r="R207" s="5">
        <v>1728</v>
      </c>
      <c r="S207" s="5">
        <v>1872</v>
      </c>
      <c r="T207" s="5">
        <v>1440</v>
      </c>
      <c r="U207" s="5">
        <v>2448</v>
      </c>
      <c r="V207" s="5">
        <v>3312</v>
      </c>
      <c r="W207" s="5">
        <v>1728</v>
      </c>
      <c r="X207" s="5">
        <v>3312</v>
      </c>
      <c r="Z207" t="e">
        <f>VLOOKUP(E207,Sheet2!$A$1:$A$39,1,0)</f>
        <v>#N/A</v>
      </c>
      <c r="AA207">
        <f>VLOOKUP($E207,[1]Sheet1!$E$10:$X$629,AA$9,0)</f>
        <v>1728</v>
      </c>
      <c r="AB207">
        <f>VLOOKUP($E207,[1]Sheet1!$E$10:$X$629,AB$9,0)</f>
        <v>2160</v>
      </c>
      <c r="AC207">
        <f>VLOOKUP($E207,[1]Sheet1!$E$10:$X$629,AC$9,0)</f>
        <v>2448</v>
      </c>
      <c r="AD207">
        <f>VLOOKUP($E207,[1]Sheet1!$E$10:$X$629,AD$9,0)</f>
        <v>2016</v>
      </c>
      <c r="AE207">
        <f>VLOOKUP($E207,[1]Sheet1!$E$10:$X$629,AE$9,0)</f>
        <v>2160</v>
      </c>
      <c r="AF207">
        <f>VLOOKUP($E207,[1]Sheet1!$E$10:$X$629,AF$9,0)</f>
        <v>2304</v>
      </c>
      <c r="AG207">
        <f>VLOOKUP($E207,[1]Sheet1!$E$10:$X$629,AG$9,0)</f>
        <v>1872</v>
      </c>
      <c r="AH207">
        <f>VLOOKUP($E207,[1]Sheet1!$E$10:$X$629,AH$9,0)</f>
        <v>1008</v>
      </c>
      <c r="AJ207">
        <f t="shared" si="10"/>
        <v>13104</v>
      </c>
      <c r="AK207">
        <f t="shared" si="11"/>
        <v>15696</v>
      </c>
      <c r="AL207">
        <f t="shared" si="12"/>
        <v>-2592</v>
      </c>
      <c r="AN207" s="12">
        <v>1953.56</v>
      </c>
      <c r="AO207" s="12">
        <v>1785</v>
      </c>
      <c r="AP207" s="12">
        <v>2762.5</v>
      </c>
      <c r="AR207" s="13">
        <f>SUM(AN207:AP207)</f>
        <v>6501.0599999999995</v>
      </c>
      <c r="AS207">
        <f>SUM(M207:O207)</f>
        <v>5040</v>
      </c>
      <c r="AT207" s="13">
        <f>AR207-AS207</f>
        <v>1461.0599999999995</v>
      </c>
    </row>
    <row r="208" spans="1:46" ht="39.6" x14ac:dyDescent="0.3">
      <c r="A208" s="4" t="s">
        <v>609</v>
      </c>
      <c r="B208" s="5" t="s">
        <v>610</v>
      </c>
      <c r="C208" s="21" t="s">
        <v>611</v>
      </c>
      <c r="D208" s="20"/>
      <c r="E208" s="4">
        <v>1001540</v>
      </c>
      <c r="F208" s="4" t="s">
        <v>44</v>
      </c>
      <c r="G208" s="4" t="s">
        <v>45</v>
      </c>
      <c r="H208" s="4" t="s">
        <v>269</v>
      </c>
      <c r="I208" s="4" t="s">
        <v>57</v>
      </c>
      <c r="J208" s="4" t="s">
        <v>47</v>
      </c>
      <c r="K208" s="4">
        <v>12</v>
      </c>
      <c r="L208" s="4">
        <v>24</v>
      </c>
      <c r="M208" s="5">
        <v>2880</v>
      </c>
      <c r="N208" s="5">
        <v>3456</v>
      </c>
      <c r="O208" s="5">
        <v>4032</v>
      </c>
      <c r="P208" s="5">
        <v>2880</v>
      </c>
      <c r="Q208" s="5">
        <v>3024</v>
      </c>
      <c r="R208" s="5">
        <v>3744</v>
      </c>
      <c r="S208" s="5">
        <v>3312</v>
      </c>
      <c r="T208" s="5">
        <v>3024</v>
      </c>
      <c r="U208" s="5">
        <v>4176</v>
      </c>
      <c r="V208" s="5">
        <v>4320</v>
      </c>
      <c r="W208" s="5">
        <v>3168</v>
      </c>
      <c r="X208" s="5">
        <v>4464</v>
      </c>
      <c r="Z208" t="e">
        <f>VLOOKUP(E208,Sheet2!$A$1:$A$39,1,0)</f>
        <v>#N/A</v>
      </c>
      <c r="AA208">
        <f>VLOOKUP($E208,[1]Sheet1!$E$10:$X$629,AA$9,0)</f>
        <v>3456</v>
      </c>
      <c r="AB208">
        <f>VLOOKUP($E208,[1]Sheet1!$E$10:$X$629,AB$9,0)</f>
        <v>3456</v>
      </c>
      <c r="AC208">
        <f>VLOOKUP($E208,[1]Sheet1!$E$10:$X$629,AC$9,0)</f>
        <v>4608</v>
      </c>
      <c r="AD208">
        <f>VLOOKUP($E208,[1]Sheet1!$E$10:$X$629,AD$9,0)</f>
        <v>3456</v>
      </c>
      <c r="AE208">
        <f>VLOOKUP($E208,[1]Sheet1!$E$10:$X$629,AE$9,0)</f>
        <v>3456</v>
      </c>
      <c r="AF208">
        <f>VLOOKUP($E208,[1]Sheet1!$E$10:$X$629,AF$9,0)</f>
        <v>4608</v>
      </c>
      <c r="AG208">
        <f>VLOOKUP($E208,[1]Sheet1!$E$10:$X$629,AG$9,0)</f>
        <v>3744</v>
      </c>
      <c r="AH208">
        <f>VLOOKUP($E208,[1]Sheet1!$E$10:$X$629,AH$9,0)</f>
        <v>1872</v>
      </c>
      <c r="AJ208">
        <f t="shared" si="10"/>
        <v>26352</v>
      </c>
      <c r="AK208">
        <f t="shared" si="11"/>
        <v>28656</v>
      </c>
      <c r="AL208">
        <f t="shared" si="12"/>
        <v>-2304</v>
      </c>
      <c r="AN208" s="12">
        <v>3363.3310344827587</v>
      </c>
      <c r="AO208" s="12">
        <v>3151.6153846153848</v>
      </c>
      <c r="AP208" s="12">
        <v>4877.5</v>
      </c>
      <c r="AR208" s="13">
        <f t="shared" ref="AR208:AR211" si="13">SUM(AN208:AP208)</f>
        <v>11392.446419098143</v>
      </c>
      <c r="AS208">
        <f t="shared" ref="AS208:AS211" si="14">SUM(M208:O208)</f>
        <v>10368</v>
      </c>
      <c r="AT208" s="13">
        <f t="shared" ref="AT208:AT211" si="15">AR208-AS208</f>
        <v>1024.4464190981435</v>
      </c>
    </row>
    <row r="209" spans="1:46" ht="39.6" x14ac:dyDescent="0.3">
      <c r="A209" s="4" t="s">
        <v>612</v>
      </c>
      <c r="B209" s="5" t="s">
        <v>613</v>
      </c>
      <c r="C209" s="21" t="s">
        <v>614</v>
      </c>
      <c r="D209" s="20"/>
      <c r="E209" s="4">
        <v>1001536</v>
      </c>
      <c r="F209" s="4" t="s">
        <v>44</v>
      </c>
      <c r="G209" s="4" t="s">
        <v>45</v>
      </c>
      <c r="H209" s="4" t="s">
        <v>615</v>
      </c>
      <c r="I209" s="4" t="s">
        <v>57</v>
      </c>
      <c r="J209" s="4" t="s">
        <v>47</v>
      </c>
      <c r="K209" s="4">
        <v>12</v>
      </c>
      <c r="L209" s="4">
        <v>24</v>
      </c>
      <c r="M209" s="5">
        <v>7200</v>
      </c>
      <c r="N209" s="5">
        <v>8496</v>
      </c>
      <c r="O209" s="5">
        <v>8640</v>
      </c>
      <c r="P209" s="5">
        <v>7776</v>
      </c>
      <c r="Q209" s="5">
        <v>7488</v>
      </c>
      <c r="R209" s="5">
        <v>9072</v>
      </c>
      <c r="S209" s="5">
        <v>6768</v>
      </c>
      <c r="T209" s="5">
        <v>7056</v>
      </c>
      <c r="U209" s="5">
        <v>9360</v>
      </c>
      <c r="V209" s="5">
        <v>10080</v>
      </c>
      <c r="W209" s="5">
        <v>7344</v>
      </c>
      <c r="X209" s="5">
        <v>9936</v>
      </c>
      <c r="Z209" t="e">
        <f>VLOOKUP(E209,Sheet2!$A$1:$A$39,1,0)</f>
        <v>#N/A</v>
      </c>
      <c r="AA209">
        <f>VLOOKUP($E209,[1]Sheet1!$E$10:$X$629,AA$9,0)</f>
        <v>7920</v>
      </c>
      <c r="AB209">
        <f>VLOOKUP($E209,[1]Sheet1!$E$10:$X$629,AB$9,0)</f>
        <v>8496</v>
      </c>
      <c r="AC209">
        <f>VLOOKUP($E209,[1]Sheet1!$E$10:$X$629,AC$9,0)</f>
        <v>10080</v>
      </c>
      <c r="AD209">
        <f>VLOOKUP($E209,[1]Sheet1!$E$10:$X$629,AD$9,0)</f>
        <v>8352</v>
      </c>
      <c r="AE209">
        <f>VLOOKUP($E209,[1]Sheet1!$E$10:$X$629,AE$9,0)</f>
        <v>7920</v>
      </c>
      <c r="AF209">
        <f>VLOOKUP($E209,[1]Sheet1!$E$10:$X$629,AF$9,0)</f>
        <v>9360</v>
      </c>
      <c r="AG209">
        <f>VLOOKUP($E209,[1]Sheet1!$E$10:$X$629,AG$9,0)</f>
        <v>8640</v>
      </c>
      <c r="AH209">
        <f>VLOOKUP($E209,[1]Sheet1!$E$10:$X$629,AH$9,0)</f>
        <v>3888</v>
      </c>
      <c r="AJ209">
        <f t="shared" si="10"/>
        <v>62496</v>
      </c>
      <c r="AK209">
        <f t="shared" si="11"/>
        <v>64656</v>
      </c>
      <c r="AL209">
        <f t="shared" si="12"/>
        <v>-2160</v>
      </c>
      <c r="AN209" s="12">
        <v>7622.1</v>
      </c>
      <c r="AO209" s="12">
        <v>7524.7846153846149</v>
      </c>
      <c r="AP209" s="12">
        <v>11645.499999999998</v>
      </c>
      <c r="AR209" s="13">
        <f t="shared" si="13"/>
        <v>26792.384615384613</v>
      </c>
      <c r="AS209">
        <f t="shared" si="14"/>
        <v>24336</v>
      </c>
      <c r="AT209" s="13">
        <f t="shared" si="15"/>
        <v>2456.3846153846134</v>
      </c>
    </row>
    <row r="210" spans="1:46" ht="39.6" x14ac:dyDescent="0.3">
      <c r="A210" s="4" t="s">
        <v>616</v>
      </c>
      <c r="B210" s="5" t="s">
        <v>617</v>
      </c>
      <c r="C210" s="21" t="s">
        <v>618</v>
      </c>
      <c r="D210" s="20"/>
      <c r="E210" s="4">
        <v>1001532</v>
      </c>
      <c r="F210" s="4" t="s">
        <v>44</v>
      </c>
      <c r="G210" s="4" t="s">
        <v>45</v>
      </c>
      <c r="H210" s="4" t="s">
        <v>269</v>
      </c>
      <c r="I210" s="4" t="s">
        <v>57</v>
      </c>
      <c r="J210" s="4" t="s">
        <v>47</v>
      </c>
      <c r="K210" s="4">
        <v>12</v>
      </c>
      <c r="L210" s="4">
        <v>24</v>
      </c>
      <c r="M210" s="5">
        <v>3024</v>
      </c>
      <c r="N210" s="5">
        <v>4320</v>
      </c>
      <c r="O210" s="5">
        <v>4464</v>
      </c>
      <c r="P210" s="5">
        <v>3456</v>
      </c>
      <c r="Q210" s="5">
        <v>4032</v>
      </c>
      <c r="R210" s="5">
        <v>4752</v>
      </c>
      <c r="S210" s="5">
        <v>3888</v>
      </c>
      <c r="T210" s="5">
        <v>3744</v>
      </c>
      <c r="U210" s="5">
        <v>4752</v>
      </c>
      <c r="V210" s="5">
        <v>5472</v>
      </c>
      <c r="W210" s="5">
        <v>3744</v>
      </c>
      <c r="X210" s="5">
        <v>5328</v>
      </c>
      <c r="Z210" t="e">
        <f>VLOOKUP(E210,Sheet2!$A$1:$A$39,1,0)</f>
        <v>#N/A</v>
      </c>
      <c r="AA210">
        <f>VLOOKUP($E210,[1]Sheet1!$E$10:$X$629,AA$9,0)</f>
        <v>2736</v>
      </c>
      <c r="AB210">
        <f>VLOOKUP($E210,[1]Sheet1!$E$10:$X$629,AB$9,0)</f>
        <v>3600</v>
      </c>
      <c r="AC210">
        <f>VLOOKUP($E210,[1]Sheet1!$E$10:$X$629,AC$9,0)</f>
        <v>4608</v>
      </c>
      <c r="AD210">
        <f>VLOOKUP($E210,[1]Sheet1!$E$10:$X$629,AD$9,0)</f>
        <v>3312</v>
      </c>
      <c r="AE210">
        <f>VLOOKUP($E210,[1]Sheet1!$E$10:$X$629,AE$9,0)</f>
        <v>3888</v>
      </c>
      <c r="AF210">
        <f>VLOOKUP($E210,[1]Sheet1!$E$10:$X$629,AF$9,0)</f>
        <v>4464</v>
      </c>
      <c r="AG210">
        <f>VLOOKUP($E210,[1]Sheet1!$E$10:$X$629,AG$9,0)</f>
        <v>3600</v>
      </c>
      <c r="AH210">
        <f>VLOOKUP($E210,[1]Sheet1!$E$10:$X$629,AH$9,0)</f>
        <v>1872</v>
      </c>
      <c r="AJ210">
        <f t="shared" si="10"/>
        <v>31680</v>
      </c>
      <c r="AK210">
        <f t="shared" si="11"/>
        <v>28080</v>
      </c>
      <c r="AL210">
        <f t="shared" si="12"/>
        <v>3600</v>
      </c>
      <c r="AN210" s="12">
        <v>3392.9777777777781</v>
      </c>
      <c r="AO210" s="12">
        <v>3681.4615384615386</v>
      </c>
      <c r="AP210" s="12">
        <v>5697.5</v>
      </c>
      <c r="AR210" s="13">
        <f t="shared" si="13"/>
        <v>12771.939316239317</v>
      </c>
      <c r="AS210">
        <f t="shared" si="14"/>
        <v>11808</v>
      </c>
      <c r="AT210" s="13">
        <f t="shared" si="15"/>
        <v>963.93931623931712</v>
      </c>
    </row>
    <row r="211" spans="1:46" ht="39.6" x14ac:dyDescent="0.3">
      <c r="A211" s="4" t="s">
        <v>619</v>
      </c>
      <c r="B211" s="5" t="s">
        <v>620</v>
      </c>
      <c r="C211" s="21" t="s">
        <v>621</v>
      </c>
      <c r="D211" s="20"/>
      <c r="E211" s="4">
        <v>1001528</v>
      </c>
      <c r="F211" s="4" t="s">
        <v>44</v>
      </c>
      <c r="G211" s="4" t="s">
        <v>45</v>
      </c>
      <c r="H211" s="4" t="s">
        <v>56</v>
      </c>
      <c r="I211" s="4" t="s">
        <v>57</v>
      </c>
      <c r="J211" s="4" t="s">
        <v>47</v>
      </c>
      <c r="K211" s="4">
        <v>12</v>
      </c>
      <c r="L211" s="4">
        <v>24</v>
      </c>
      <c r="M211" s="5">
        <v>2880</v>
      </c>
      <c r="N211" s="5">
        <v>4752</v>
      </c>
      <c r="O211" s="5">
        <v>5472</v>
      </c>
      <c r="P211" s="5">
        <v>3744</v>
      </c>
      <c r="Q211" s="5">
        <v>3744</v>
      </c>
      <c r="R211" s="5">
        <v>4032</v>
      </c>
      <c r="S211" s="5">
        <v>3024</v>
      </c>
      <c r="T211" s="5">
        <v>3024</v>
      </c>
      <c r="U211" s="5">
        <v>4176</v>
      </c>
      <c r="V211" s="5">
        <v>4752</v>
      </c>
      <c r="W211" s="5">
        <v>3168</v>
      </c>
      <c r="X211" s="5">
        <v>4464</v>
      </c>
      <c r="Z211" t="e">
        <f>VLOOKUP(E211,Sheet2!$A$1:$A$39,1,0)</f>
        <v>#N/A</v>
      </c>
      <c r="AA211">
        <f>VLOOKUP($E211,[1]Sheet1!$E$10:$X$629,AA$9,0)</f>
        <v>2880</v>
      </c>
      <c r="AB211">
        <f>VLOOKUP($E211,[1]Sheet1!$E$10:$X$629,AB$9,0)</f>
        <v>3744</v>
      </c>
      <c r="AC211">
        <f>VLOOKUP($E211,[1]Sheet1!$E$10:$X$629,AC$9,0)</f>
        <v>4320</v>
      </c>
      <c r="AD211">
        <f>VLOOKUP($E211,[1]Sheet1!$E$10:$X$629,AD$9,0)</f>
        <v>3600</v>
      </c>
      <c r="AE211">
        <f>VLOOKUP($E211,[1]Sheet1!$E$10:$X$629,AE$9,0)</f>
        <v>3168</v>
      </c>
      <c r="AF211">
        <f>VLOOKUP($E211,[1]Sheet1!$E$10:$X$629,AF$9,0)</f>
        <v>3456</v>
      </c>
      <c r="AG211">
        <f>VLOOKUP($E211,[1]Sheet1!$E$10:$X$629,AG$9,0)</f>
        <v>2736</v>
      </c>
      <c r="AH211">
        <f>VLOOKUP($E211,[1]Sheet1!$E$10:$X$629,AH$9,0)</f>
        <v>1584</v>
      </c>
      <c r="AJ211">
        <f t="shared" si="10"/>
        <v>30672</v>
      </c>
      <c r="AK211">
        <f t="shared" si="11"/>
        <v>25488</v>
      </c>
      <c r="AL211">
        <f t="shared" si="12"/>
        <v>5184</v>
      </c>
      <c r="AN211" s="12">
        <v>3023.4</v>
      </c>
      <c r="AO211" s="12">
        <v>3324.7846153846158</v>
      </c>
      <c r="AP211" s="12">
        <v>5145.5</v>
      </c>
      <c r="AR211" s="13">
        <f t="shared" si="13"/>
        <v>11493.684615384616</v>
      </c>
      <c r="AS211">
        <f t="shared" si="14"/>
        <v>13104</v>
      </c>
      <c r="AT211" s="13">
        <f t="shared" si="15"/>
        <v>-1610.3153846153837</v>
      </c>
    </row>
    <row r="212" spans="1:46" ht="39.6" x14ac:dyDescent="0.3">
      <c r="A212" s="4" t="s">
        <v>622</v>
      </c>
      <c r="B212" s="5" t="s">
        <v>623</v>
      </c>
      <c r="C212" s="21" t="s">
        <v>624</v>
      </c>
      <c r="D212" s="20"/>
      <c r="E212" s="4">
        <v>1001609</v>
      </c>
      <c r="F212" s="4" t="s">
        <v>44</v>
      </c>
      <c r="G212" s="4" t="s">
        <v>45</v>
      </c>
      <c r="H212" s="4" t="s">
        <v>61</v>
      </c>
      <c r="I212" s="4" t="s">
        <v>52</v>
      </c>
      <c r="J212" s="4" t="s">
        <v>47</v>
      </c>
      <c r="K212" s="4">
        <v>7.5</v>
      </c>
      <c r="L212" s="4">
        <v>1.5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Z212" t="e">
        <f>VLOOKUP(E212,Sheet2!$A$1:$A$39,1,0)</f>
        <v>#N/A</v>
      </c>
      <c r="AA212">
        <f>VLOOKUP($E212,[1]Sheet1!$E$10:$X$629,AA$9,0)</f>
        <v>0</v>
      </c>
      <c r="AB212">
        <f>VLOOKUP($E212,[1]Sheet1!$E$10:$X$629,AB$9,0)</f>
        <v>0</v>
      </c>
      <c r="AC212">
        <f>VLOOKUP($E212,[1]Sheet1!$E$10:$X$629,AC$9,0)</f>
        <v>0</v>
      </c>
      <c r="AD212">
        <f>VLOOKUP($E212,[1]Sheet1!$E$10:$X$629,AD$9,0)</f>
        <v>0</v>
      </c>
      <c r="AE212">
        <f>VLOOKUP($E212,[1]Sheet1!$E$10:$X$629,AE$9,0)</f>
        <v>0</v>
      </c>
      <c r="AF212">
        <f>VLOOKUP($E212,[1]Sheet1!$E$10:$X$629,AF$9,0)</f>
        <v>0</v>
      </c>
      <c r="AG212">
        <f>VLOOKUP($E212,[1]Sheet1!$E$10:$X$629,AG$9,0)</f>
        <v>0</v>
      </c>
      <c r="AH212">
        <f>VLOOKUP($E212,[1]Sheet1!$E$10:$X$629,AH$9,0)</f>
        <v>0</v>
      </c>
      <c r="AJ212">
        <f t="shared" si="10"/>
        <v>0</v>
      </c>
      <c r="AK212">
        <f t="shared" si="11"/>
        <v>0</v>
      </c>
      <c r="AL212">
        <f t="shared" si="12"/>
        <v>0</v>
      </c>
    </row>
    <row r="213" spans="1:46" ht="39.6" x14ac:dyDescent="0.3">
      <c r="A213" s="4" t="s">
        <v>625</v>
      </c>
      <c r="B213" s="5" t="s">
        <v>626</v>
      </c>
      <c r="C213" s="21" t="s">
        <v>627</v>
      </c>
      <c r="D213" s="20"/>
      <c r="E213" s="4">
        <v>1001633</v>
      </c>
      <c r="F213" s="4" t="s">
        <v>44</v>
      </c>
      <c r="G213" s="4" t="s">
        <v>45</v>
      </c>
      <c r="H213" s="4" t="s">
        <v>61</v>
      </c>
      <c r="I213" s="4" t="s">
        <v>52</v>
      </c>
      <c r="J213" s="4" t="s">
        <v>47</v>
      </c>
      <c r="K213" s="4">
        <v>5</v>
      </c>
      <c r="L213" s="4">
        <v>1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Z213" t="e">
        <f>VLOOKUP(E213,Sheet2!$A$1:$A$39,1,0)</f>
        <v>#N/A</v>
      </c>
      <c r="AA213">
        <f>VLOOKUP($E213,[1]Sheet1!$E$10:$X$629,AA$9,0)</f>
        <v>0</v>
      </c>
      <c r="AB213">
        <f>VLOOKUP($E213,[1]Sheet1!$E$10:$X$629,AB$9,0)</f>
        <v>0</v>
      </c>
      <c r="AC213">
        <f>VLOOKUP($E213,[1]Sheet1!$E$10:$X$629,AC$9,0)</f>
        <v>0</v>
      </c>
      <c r="AD213">
        <f>VLOOKUP($E213,[1]Sheet1!$E$10:$X$629,AD$9,0)</f>
        <v>0</v>
      </c>
      <c r="AE213">
        <f>VLOOKUP($E213,[1]Sheet1!$E$10:$X$629,AE$9,0)</f>
        <v>0</v>
      </c>
      <c r="AF213">
        <f>VLOOKUP($E213,[1]Sheet1!$E$10:$X$629,AF$9,0)</f>
        <v>0</v>
      </c>
      <c r="AG213">
        <f>VLOOKUP($E213,[1]Sheet1!$E$10:$X$629,AG$9,0)</f>
        <v>0</v>
      </c>
      <c r="AH213">
        <f>VLOOKUP($E213,[1]Sheet1!$E$10:$X$629,AH$9,0)</f>
        <v>0</v>
      </c>
      <c r="AJ213">
        <f t="shared" si="10"/>
        <v>0</v>
      </c>
      <c r="AK213">
        <f t="shared" si="11"/>
        <v>0</v>
      </c>
      <c r="AL213">
        <f t="shared" si="12"/>
        <v>0</v>
      </c>
    </row>
    <row r="214" spans="1:46" ht="39.6" x14ac:dyDescent="0.3">
      <c r="A214" s="4" t="s">
        <v>628</v>
      </c>
      <c r="B214" s="5" t="s">
        <v>629</v>
      </c>
      <c r="C214" s="21" t="s">
        <v>630</v>
      </c>
      <c r="D214" s="20"/>
      <c r="E214" s="4">
        <v>1001628</v>
      </c>
      <c r="F214" s="4" t="s">
        <v>44</v>
      </c>
      <c r="G214" s="4" t="s">
        <v>45</v>
      </c>
      <c r="H214" s="4" t="s">
        <v>61</v>
      </c>
      <c r="I214" s="4" t="s">
        <v>46</v>
      </c>
      <c r="J214" s="4" t="s">
        <v>47</v>
      </c>
      <c r="K214" s="4">
        <v>5</v>
      </c>
      <c r="L214" s="4">
        <v>2.5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Z214" t="e">
        <f>VLOOKUP(E214,Sheet2!$A$1:$A$39,1,0)</f>
        <v>#N/A</v>
      </c>
      <c r="AA214">
        <f>VLOOKUP($E214,[1]Sheet1!$E$10:$X$629,AA$9,0)</f>
        <v>0</v>
      </c>
      <c r="AB214">
        <f>VLOOKUP($E214,[1]Sheet1!$E$10:$X$629,AB$9,0)</f>
        <v>0</v>
      </c>
      <c r="AC214">
        <f>VLOOKUP($E214,[1]Sheet1!$E$10:$X$629,AC$9,0)</f>
        <v>0</v>
      </c>
      <c r="AD214">
        <f>VLOOKUP($E214,[1]Sheet1!$E$10:$X$629,AD$9,0)</f>
        <v>0</v>
      </c>
      <c r="AE214">
        <f>VLOOKUP($E214,[1]Sheet1!$E$10:$X$629,AE$9,0)</f>
        <v>0</v>
      </c>
      <c r="AF214">
        <f>VLOOKUP($E214,[1]Sheet1!$E$10:$X$629,AF$9,0)</f>
        <v>0</v>
      </c>
      <c r="AG214">
        <f>VLOOKUP($E214,[1]Sheet1!$E$10:$X$629,AG$9,0)</f>
        <v>0</v>
      </c>
      <c r="AH214">
        <f>VLOOKUP($E214,[1]Sheet1!$E$10:$X$629,AH$9,0)</f>
        <v>0</v>
      </c>
      <c r="AJ214">
        <f t="shared" si="10"/>
        <v>0</v>
      </c>
      <c r="AK214">
        <f t="shared" si="11"/>
        <v>0</v>
      </c>
      <c r="AL214">
        <f t="shared" si="12"/>
        <v>0</v>
      </c>
    </row>
    <row r="215" spans="1:46" ht="39.6" x14ac:dyDescent="0.3">
      <c r="A215" s="4" t="s">
        <v>631</v>
      </c>
      <c r="B215" s="5" t="s">
        <v>632</v>
      </c>
      <c r="C215" s="21" t="s">
        <v>633</v>
      </c>
      <c r="D215" s="20"/>
      <c r="E215" s="4">
        <v>1001635</v>
      </c>
      <c r="F215" s="4" t="s">
        <v>44</v>
      </c>
      <c r="G215" s="4" t="s">
        <v>45</v>
      </c>
      <c r="H215" s="4" t="s">
        <v>61</v>
      </c>
      <c r="I215" s="4" t="s">
        <v>46</v>
      </c>
      <c r="J215" s="4" t="s">
        <v>47</v>
      </c>
      <c r="K215" s="4">
        <v>5</v>
      </c>
      <c r="L215" s="4">
        <v>2.5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Z215" t="e">
        <f>VLOOKUP(E215,Sheet2!$A$1:$A$39,1,0)</f>
        <v>#N/A</v>
      </c>
      <c r="AA215">
        <f>VLOOKUP($E215,[1]Sheet1!$E$10:$X$629,AA$9,0)</f>
        <v>0</v>
      </c>
      <c r="AB215">
        <f>VLOOKUP($E215,[1]Sheet1!$E$10:$X$629,AB$9,0)</f>
        <v>0</v>
      </c>
      <c r="AC215">
        <f>VLOOKUP($E215,[1]Sheet1!$E$10:$X$629,AC$9,0)</f>
        <v>0</v>
      </c>
      <c r="AD215">
        <f>VLOOKUP($E215,[1]Sheet1!$E$10:$X$629,AD$9,0)</f>
        <v>0</v>
      </c>
      <c r="AE215">
        <f>VLOOKUP($E215,[1]Sheet1!$E$10:$X$629,AE$9,0)</f>
        <v>0</v>
      </c>
      <c r="AF215">
        <f>VLOOKUP($E215,[1]Sheet1!$E$10:$X$629,AF$9,0)</f>
        <v>0</v>
      </c>
      <c r="AG215">
        <f>VLOOKUP($E215,[1]Sheet1!$E$10:$X$629,AG$9,0)</f>
        <v>0</v>
      </c>
      <c r="AH215">
        <f>VLOOKUP($E215,[1]Sheet1!$E$10:$X$629,AH$9,0)</f>
        <v>0</v>
      </c>
      <c r="AJ215">
        <f t="shared" si="10"/>
        <v>0</v>
      </c>
      <c r="AK215">
        <f t="shared" si="11"/>
        <v>0</v>
      </c>
      <c r="AL215">
        <f t="shared" si="12"/>
        <v>0</v>
      </c>
    </row>
    <row r="216" spans="1:46" ht="39.6" x14ac:dyDescent="0.3">
      <c r="A216" s="4" t="s">
        <v>634</v>
      </c>
      <c r="B216" s="5" t="s">
        <v>635</v>
      </c>
      <c r="C216" s="21" t="s">
        <v>636</v>
      </c>
      <c r="D216" s="20"/>
      <c r="E216" s="4">
        <v>1001626</v>
      </c>
      <c r="F216" s="4" t="s">
        <v>44</v>
      </c>
      <c r="G216" s="4" t="s">
        <v>45</v>
      </c>
      <c r="H216" s="4" t="s">
        <v>56</v>
      </c>
      <c r="I216" s="4" t="s">
        <v>52</v>
      </c>
      <c r="J216" s="4" t="s">
        <v>47</v>
      </c>
      <c r="K216" s="4">
        <v>7</v>
      </c>
      <c r="L216" s="4">
        <v>14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Z216" t="e">
        <f>VLOOKUP(E216,Sheet2!$A$1:$A$39,1,0)</f>
        <v>#N/A</v>
      </c>
      <c r="AA216">
        <f>VLOOKUP($E216,[1]Sheet1!$E$10:$X$629,AA$9,0)</f>
        <v>0</v>
      </c>
      <c r="AB216">
        <f>VLOOKUP($E216,[1]Sheet1!$E$10:$X$629,AB$9,0)</f>
        <v>0</v>
      </c>
      <c r="AC216">
        <f>VLOOKUP($E216,[1]Sheet1!$E$10:$X$629,AC$9,0)</f>
        <v>0</v>
      </c>
      <c r="AD216">
        <f>VLOOKUP($E216,[1]Sheet1!$E$10:$X$629,AD$9,0)</f>
        <v>0</v>
      </c>
      <c r="AE216">
        <f>VLOOKUP($E216,[1]Sheet1!$E$10:$X$629,AE$9,0)</f>
        <v>0</v>
      </c>
      <c r="AF216">
        <f>VLOOKUP($E216,[1]Sheet1!$E$10:$X$629,AF$9,0)</f>
        <v>0</v>
      </c>
      <c r="AG216">
        <f>VLOOKUP($E216,[1]Sheet1!$E$10:$X$629,AG$9,0)</f>
        <v>0</v>
      </c>
      <c r="AH216">
        <f>VLOOKUP($E216,[1]Sheet1!$E$10:$X$629,AH$9,0)</f>
        <v>0</v>
      </c>
      <c r="AJ216">
        <f t="shared" si="10"/>
        <v>0</v>
      </c>
      <c r="AK216">
        <f t="shared" si="11"/>
        <v>0</v>
      </c>
      <c r="AL216">
        <f t="shared" si="12"/>
        <v>0</v>
      </c>
    </row>
    <row r="217" spans="1:46" ht="39.6" x14ac:dyDescent="0.3">
      <c r="A217" s="4" t="s">
        <v>637</v>
      </c>
      <c r="B217" s="5" t="s">
        <v>638</v>
      </c>
      <c r="C217" s="21" t="s">
        <v>639</v>
      </c>
      <c r="D217" s="20"/>
      <c r="E217" s="4">
        <v>1001615</v>
      </c>
      <c r="F217" s="4" t="s">
        <v>44</v>
      </c>
      <c r="G217" s="4" t="s">
        <v>45</v>
      </c>
      <c r="H217" s="4" t="s">
        <v>56</v>
      </c>
      <c r="I217" s="4" t="s">
        <v>52</v>
      </c>
      <c r="J217" s="4" t="s">
        <v>47</v>
      </c>
      <c r="K217" s="4">
        <v>7</v>
      </c>
      <c r="L217" s="4">
        <v>14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Z217" t="e">
        <f>VLOOKUP(E217,Sheet2!$A$1:$A$39,1,0)</f>
        <v>#N/A</v>
      </c>
      <c r="AA217">
        <f>VLOOKUP($E217,[1]Sheet1!$E$10:$X$629,AA$9,0)</f>
        <v>0</v>
      </c>
      <c r="AB217">
        <f>VLOOKUP($E217,[1]Sheet1!$E$10:$X$629,AB$9,0)</f>
        <v>0</v>
      </c>
      <c r="AC217">
        <f>VLOOKUP($E217,[1]Sheet1!$E$10:$X$629,AC$9,0)</f>
        <v>0</v>
      </c>
      <c r="AD217">
        <f>VLOOKUP($E217,[1]Sheet1!$E$10:$X$629,AD$9,0)</f>
        <v>0</v>
      </c>
      <c r="AE217">
        <f>VLOOKUP($E217,[1]Sheet1!$E$10:$X$629,AE$9,0)</f>
        <v>0</v>
      </c>
      <c r="AF217">
        <f>VLOOKUP($E217,[1]Sheet1!$E$10:$X$629,AF$9,0)</f>
        <v>0</v>
      </c>
      <c r="AG217">
        <f>VLOOKUP($E217,[1]Sheet1!$E$10:$X$629,AG$9,0)</f>
        <v>0</v>
      </c>
      <c r="AH217">
        <f>VLOOKUP($E217,[1]Sheet1!$E$10:$X$629,AH$9,0)</f>
        <v>0</v>
      </c>
      <c r="AJ217">
        <f t="shared" si="10"/>
        <v>0</v>
      </c>
      <c r="AK217">
        <f t="shared" si="11"/>
        <v>0</v>
      </c>
      <c r="AL217">
        <f t="shared" si="12"/>
        <v>0</v>
      </c>
    </row>
    <row r="218" spans="1:46" ht="39.6" x14ac:dyDescent="0.3">
      <c r="A218" s="4" t="s">
        <v>640</v>
      </c>
      <c r="B218" s="5" t="s">
        <v>641</v>
      </c>
      <c r="C218" s="21" t="s">
        <v>642</v>
      </c>
      <c r="D218" s="20"/>
      <c r="E218" s="4">
        <v>1001659</v>
      </c>
      <c r="F218" s="4" t="s">
        <v>44</v>
      </c>
      <c r="G218" s="4" t="s">
        <v>45</v>
      </c>
      <c r="H218" s="4" t="s">
        <v>56</v>
      </c>
      <c r="I218" s="4" t="s">
        <v>57</v>
      </c>
      <c r="J218" s="4" t="s">
        <v>47</v>
      </c>
      <c r="K218" s="4">
        <v>6.5</v>
      </c>
      <c r="L218" s="4">
        <v>13</v>
      </c>
      <c r="M218" s="5">
        <v>2160</v>
      </c>
      <c r="N218" s="5">
        <v>2736</v>
      </c>
      <c r="O218" s="5">
        <v>2592</v>
      </c>
      <c r="P218" s="5">
        <v>2304</v>
      </c>
      <c r="Q218" s="5">
        <v>2160</v>
      </c>
      <c r="R218" s="5">
        <v>3168</v>
      </c>
      <c r="S218" s="5">
        <v>2016</v>
      </c>
      <c r="T218" s="5">
        <v>2448</v>
      </c>
      <c r="U218" s="5">
        <v>3600</v>
      </c>
      <c r="V218" s="5">
        <v>3168</v>
      </c>
      <c r="W218" s="5">
        <v>2592</v>
      </c>
      <c r="X218" s="5">
        <v>3168</v>
      </c>
      <c r="Z218" t="e">
        <f>VLOOKUP(E218,Sheet2!$A$1:$A$39,1,0)</f>
        <v>#N/A</v>
      </c>
      <c r="AA218">
        <f>VLOOKUP($E218,[1]Sheet1!$E$10:$X$629,AA$9,0)</f>
        <v>2592</v>
      </c>
      <c r="AB218">
        <f>VLOOKUP($E218,[1]Sheet1!$E$10:$X$629,AB$9,0)</f>
        <v>3024</v>
      </c>
      <c r="AC218">
        <f>VLOOKUP($E218,[1]Sheet1!$E$10:$X$629,AC$9,0)</f>
        <v>3456</v>
      </c>
      <c r="AD218">
        <f>VLOOKUP($E218,[1]Sheet1!$E$10:$X$629,AD$9,0)</f>
        <v>2304</v>
      </c>
      <c r="AE218">
        <f>VLOOKUP($E218,[1]Sheet1!$E$10:$X$629,AE$9,0)</f>
        <v>2592</v>
      </c>
      <c r="AF218">
        <f>VLOOKUP($E218,[1]Sheet1!$E$10:$X$629,AF$9,0)</f>
        <v>3888</v>
      </c>
      <c r="AG218">
        <f>VLOOKUP($E218,[1]Sheet1!$E$10:$X$629,AG$9,0)</f>
        <v>2880</v>
      </c>
      <c r="AH218">
        <f>VLOOKUP($E218,[1]Sheet1!$E$10:$X$629,AH$9,0)</f>
        <v>1296</v>
      </c>
      <c r="AJ218">
        <f t="shared" si="10"/>
        <v>19584</v>
      </c>
      <c r="AK218">
        <f t="shared" si="11"/>
        <v>22032</v>
      </c>
      <c r="AL218">
        <f t="shared" si="12"/>
        <v>-2448</v>
      </c>
    </row>
    <row r="219" spans="1:46" ht="39.6" x14ac:dyDescent="0.3">
      <c r="A219" s="4" t="s">
        <v>643</v>
      </c>
      <c r="B219" s="5" t="s">
        <v>644</v>
      </c>
      <c r="C219" s="21" t="s">
        <v>645</v>
      </c>
      <c r="D219" s="20"/>
      <c r="E219" s="4">
        <v>1001610</v>
      </c>
      <c r="F219" s="4" t="s">
        <v>44</v>
      </c>
      <c r="G219" s="4" t="s">
        <v>45</v>
      </c>
      <c r="H219" s="4" t="s">
        <v>56</v>
      </c>
      <c r="I219" s="4" t="s">
        <v>46</v>
      </c>
      <c r="J219" s="4" t="s">
        <v>47</v>
      </c>
      <c r="K219" s="4">
        <v>7.5</v>
      </c>
      <c r="L219" s="4">
        <v>3.75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Z219" t="e">
        <f>VLOOKUP(E219,Sheet2!$A$1:$A$39,1,0)</f>
        <v>#N/A</v>
      </c>
      <c r="AA219">
        <f>VLOOKUP($E219,[1]Sheet1!$E$10:$X$629,AA$9,0)</f>
        <v>0</v>
      </c>
      <c r="AB219">
        <f>VLOOKUP($E219,[1]Sheet1!$E$10:$X$629,AB$9,0)</f>
        <v>0</v>
      </c>
      <c r="AC219">
        <f>VLOOKUP($E219,[1]Sheet1!$E$10:$X$629,AC$9,0)</f>
        <v>0</v>
      </c>
      <c r="AD219">
        <f>VLOOKUP($E219,[1]Sheet1!$E$10:$X$629,AD$9,0)</f>
        <v>0</v>
      </c>
      <c r="AE219">
        <f>VLOOKUP($E219,[1]Sheet1!$E$10:$X$629,AE$9,0)</f>
        <v>0</v>
      </c>
      <c r="AF219">
        <f>VLOOKUP($E219,[1]Sheet1!$E$10:$X$629,AF$9,0)</f>
        <v>0</v>
      </c>
      <c r="AG219">
        <f>VLOOKUP($E219,[1]Sheet1!$E$10:$X$629,AG$9,0)</f>
        <v>0</v>
      </c>
      <c r="AH219">
        <f>VLOOKUP($E219,[1]Sheet1!$E$10:$X$629,AH$9,0)</f>
        <v>0</v>
      </c>
      <c r="AJ219">
        <f t="shared" si="10"/>
        <v>0</v>
      </c>
      <c r="AK219">
        <f t="shared" si="11"/>
        <v>0</v>
      </c>
      <c r="AL219">
        <f t="shared" si="12"/>
        <v>0</v>
      </c>
    </row>
    <row r="220" spans="1:46" ht="39.6" x14ac:dyDescent="0.3">
      <c r="A220" s="4" t="s">
        <v>646</v>
      </c>
      <c r="B220" s="5" t="s">
        <v>647</v>
      </c>
      <c r="C220" s="21" t="s">
        <v>648</v>
      </c>
      <c r="D220" s="20"/>
      <c r="E220" s="4">
        <v>1001611</v>
      </c>
      <c r="F220" s="4" t="s">
        <v>44</v>
      </c>
      <c r="G220" s="4" t="s">
        <v>45</v>
      </c>
      <c r="H220" s="4" t="s">
        <v>269</v>
      </c>
      <c r="I220" s="4" t="s">
        <v>57</v>
      </c>
      <c r="J220" s="4" t="s">
        <v>47</v>
      </c>
      <c r="K220" s="4">
        <v>10</v>
      </c>
      <c r="L220" s="4">
        <v>20</v>
      </c>
      <c r="M220" s="5">
        <v>3840</v>
      </c>
      <c r="N220" s="5">
        <v>3240</v>
      </c>
      <c r="O220" s="5">
        <v>3600</v>
      </c>
      <c r="P220" s="5">
        <v>3000</v>
      </c>
      <c r="Q220" s="5">
        <v>3360</v>
      </c>
      <c r="R220" s="5">
        <v>3240</v>
      </c>
      <c r="S220" s="5">
        <v>2880</v>
      </c>
      <c r="T220" s="5">
        <v>2880</v>
      </c>
      <c r="U220" s="5">
        <v>3960</v>
      </c>
      <c r="V220" s="5">
        <v>5520</v>
      </c>
      <c r="W220" s="5">
        <v>2640</v>
      </c>
      <c r="X220" s="5">
        <v>5280</v>
      </c>
      <c r="Z220" t="e">
        <f>VLOOKUP(E220,Sheet2!$A$1:$A$39,1,0)</f>
        <v>#N/A</v>
      </c>
      <c r="AA220">
        <f>VLOOKUP($E220,[1]Sheet1!$E$10:$X$629,AA$9,0)</f>
        <v>3000</v>
      </c>
      <c r="AB220">
        <f>VLOOKUP($E220,[1]Sheet1!$E$10:$X$629,AB$9,0)</f>
        <v>3000</v>
      </c>
      <c r="AC220">
        <f>VLOOKUP($E220,[1]Sheet1!$E$10:$X$629,AC$9,0)</f>
        <v>3600</v>
      </c>
      <c r="AD220">
        <f>VLOOKUP($E220,[1]Sheet1!$E$10:$X$629,AD$9,0)</f>
        <v>3240</v>
      </c>
      <c r="AE220">
        <f>VLOOKUP($E220,[1]Sheet1!$E$10:$X$629,AE$9,0)</f>
        <v>3120</v>
      </c>
      <c r="AF220">
        <f>VLOOKUP($E220,[1]Sheet1!$E$10:$X$629,AF$9,0)</f>
        <v>3360</v>
      </c>
      <c r="AG220">
        <f>VLOOKUP($E220,[1]Sheet1!$E$10:$X$629,AG$9,0)</f>
        <v>3000</v>
      </c>
      <c r="AH220">
        <f>VLOOKUP($E220,[1]Sheet1!$E$10:$X$629,AH$9,0)</f>
        <v>1440</v>
      </c>
      <c r="AJ220">
        <f t="shared" si="10"/>
        <v>26040</v>
      </c>
      <c r="AK220">
        <f t="shared" si="11"/>
        <v>23760</v>
      </c>
      <c r="AL220">
        <f t="shared" si="12"/>
        <v>2280</v>
      </c>
    </row>
    <row r="221" spans="1:46" ht="39.6" x14ac:dyDescent="0.3">
      <c r="A221" s="4" t="s">
        <v>649</v>
      </c>
      <c r="B221" s="5" t="s">
        <v>650</v>
      </c>
      <c r="C221" s="21" t="s">
        <v>651</v>
      </c>
      <c r="D221" s="20"/>
      <c r="E221" s="4">
        <v>1001612</v>
      </c>
      <c r="F221" s="4" t="s">
        <v>44</v>
      </c>
      <c r="G221" s="4" t="s">
        <v>45</v>
      </c>
      <c r="H221" s="4" t="s">
        <v>269</v>
      </c>
      <c r="I221" s="4" t="s">
        <v>57</v>
      </c>
      <c r="J221" s="4" t="s">
        <v>47</v>
      </c>
      <c r="K221" s="4">
        <v>10</v>
      </c>
      <c r="L221" s="4">
        <v>20</v>
      </c>
      <c r="M221" s="5">
        <v>2760</v>
      </c>
      <c r="N221" s="5">
        <v>2520</v>
      </c>
      <c r="O221" s="5">
        <v>2640</v>
      </c>
      <c r="P221" s="5">
        <v>2040</v>
      </c>
      <c r="Q221" s="5">
        <v>2400</v>
      </c>
      <c r="R221" s="5">
        <v>2520</v>
      </c>
      <c r="S221" s="5">
        <v>2040</v>
      </c>
      <c r="T221" s="5">
        <v>2160</v>
      </c>
      <c r="U221" s="5">
        <v>2760</v>
      </c>
      <c r="V221" s="5">
        <v>4320</v>
      </c>
      <c r="W221" s="5">
        <v>2040</v>
      </c>
      <c r="X221" s="5">
        <v>4200</v>
      </c>
      <c r="Z221" t="e">
        <f>VLOOKUP(E221,Sheet2!$A$1:$A$39,1,0)</f>
        <v>#N/A</v>
      </c>
      <c r="AA221">
        <f>VLOOKUP($E221,[1]Sheet1!$E$10:$X$629,AA$9,0)</f>
        <v>2160</v>
      </c>
      <c r="AB221">
        <f>VLOOKUP($E221,[1]Sheet1!$E$10:$X$629,AB$9,0)</f>
        <v>2640</v>
      </c>
      <c r="AC221">
        <f>VLOOKUP($E221,[1]Sheet1!$E$10:$X$629,AC$9,0)</f>
        <v>2880</v>
      </c>
      <c r="AD221">
        <f>VLOOKUP($E221,[1]Sheet1!$E$10:$X$629,AD$9,0)</f>
        <v>2520</v>
      </c>
      <c r="AE221">
        <f>VLOOKUP($E221,[1]Sheet1!$E$10:$X$629,AE$9,0)</f>
        <v>2640</v>
      </c>
      <c r="AF221">
        <f>VLOOKUP($E221,[1]Sheet1!$E$10:$X$629,AF$9,0)</f>
        <v>3000</v>
      </c>
      <c r="AG221">
        <f>VLOOKUP($E221,[1]Sheet1!$E$10:$X$629,AG$9,0)</f>
        <v>2640</v>
      </c>
      <c r="AH221">
        <f>VLOOKUP($E221,[1]Sheet1!$E$10:$X$629,AH$9,0)</f>
        <v>1080</v>
      </c>
      <c r="AJ221">
        <f t="shared" si="10"/>
        <v>19080</v>
      </c>
      <c r="AK221">
        <f t="shared" si="11"/>
        <v>19560</v>
      </c>
      <c r="AL221">
        <f t="shared" si="12"/>
        <v>-480</v>
      </c>
    </row>
    <row r="222" spans="1:46" ht="39.6" x14ac:dyDescent="0.3">
      <c r="A222" s="4" t="s">
        <v>652</v>
      </c>
      <c r="B222" s="5" t="s">
        <v>653</v>
      </c>
      <c r="C222" s="21" t="s">
        <v>654</v>
      </c>
      <c r="D222" s="20"/>
      <c r="E222" s="4">
        <v>1001215</v>
      </c>
      <c r="F222" s="4" t="s">
        <v>44</v>
      </c>
      <c r="G222" s="4" t="s">
        <v>45</v>
      </c>
      <c r="H222" s="4"/>
      <c r="I222" s="4" t="s">
        <v>46</v>
      </c>
      <c r="J222" s="4" t="s">
        <v>47</v>
      </c>
      <c r="K222" s="4">
        <v>5</v>
      </c>
      <c r="L222" s="4">
        <v>5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Z222" t="e">
        <f>VLOOKUP(E222,Sheet2!$A$1:$A$39,1,0)</f>
        <v>#N/A</v>
      </c>
      <c r="AA222">
        <f>VLOOKUP($E222,[1]Sheet1!$E$10:$X$629,AA$9,0)</f>
        <v>0</v>
      </c>
      <c r="AB222">
        <f>VLOOKUP($E222,[1]Sheet1!$E$10:$X$629,AB$9,0)</f>
        <v>0</v>
      </c>
      <c r="AC222">
        <f>VLOOKUP($E222,[1]Sheet1!$E$10:$X$629,AC$9,0)</f>
        <v>0</v>
      </c>
      <c r="AD222">
        <f>VLOOKUP($E222,[1]Sheet1!$E$10:$X$629,AD$9,0)</f>
        <v>0</v>
      </c>
      <c r="AE222">
        <f>VLOOKUP($E222,[1]Sheet1!$E$10:$X$629,AE$9,0)</f>
        <v>0</v>
      </c>
      <c r="AF222">
        <f>VLOOKUP($E222,[1]Sheet1!$E$10:$X$629,AF$9,0)</f>
        <v>0</v>
      </c>
      <c r="AG222">
        <f>VLOOKUP($E222,[1]Sheet1!$E$10:$X$629,AG$9,0)</f>
        <v>0</v>
      </c>
      <c r="AH222">
        <f>VLOOKUP($E222,[1]Sheet1!$E$10:$X$629,AH$9,0)</f>
        <v>0</v>
      </c>
      <c r="AJ222">
        <f t="shared" si="10"/>
        <v>0</v>
      </c>
      <c r="AK222">
        <f t="shared" si="11"/>
        <v>0</v>
      </c>
      <c r="AL222">
        <f t="shared" si="12"/>
        <v>0</v>
      </c>
    </row>
    <row r="223" spans="1:46" ht="39.6" x14ac:dyDescent="0.3">
      <c r="A223" s="4" t="s">
        <v>655</v>
      </c>
      <c r="B223" s="5" t="s">
        <v>656</v>
      </c>
      <c r="C223" s="21" t="s">
        <v>657</v>
      </c>
      <c r="D223" s="20"/>
      <c r="E223" s="4">
        <v>1001216</v>
      </c>
      <c r="F223" s="4" t="s">
        <v>44</v>
      </c>
      <c r="G223" s="4" t="s">
        <v>45</v>
      </c>
      <c r="H223" s="4"/>
      <c r="I223" s="4" t="s">
        <v>46</v>
      </c>
      <c r="J223" s="4" t="s">
        <v>47</v>
      </c>
      <c r="K223" s="4">
        <v>5</v>
      </c>
      <c r="L223" s="4">
        <v>5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Z223" t="e">
        <f>VLOOKUP(E223,Sheet2!$A$1:$A$39,1,0)</f>
        <v>#N/A</v>
      </c>
      <c r="AA223">
        <f>VLOOKUP($E223,[1]Sheet1!$E$10:$X$629,AA$9,0)</f>
        <v>0</v>
      </c>
      <c r="AB223">
        <f>VLOOKUP($E223,[1]Sheet1!$E$10:$X$629,AB$9,0)</f>
        <v>0</v>
      </c>
      <c r="AC223">
        <f>VLOOKUP($E223,[1]Sheet1!$E$10:$X$629,AC$9,0)</f>
        <v>0</v>
      </c>
      <c r="AD223">
        <f>VLOOKUP($E223,[1]Sheet1!$E$10:$X$629,AD$9,0)</f>
        <v>0</v>
      </c>
      <c r="AE223">
        <f>VLOOKUP($E223,[1]Sheet1!$E$10:$X$629,AE$9,0)</f>
        <v>0</v>
      </c>
      <c r="AF223">
        <f>VLOOKUP($E223,[1]Sheet1!$E$10:$X$629,AF$9,0)</f>
        <v>0</v>
      </c>
      <c r="AG223">
        <f>VLOOKUP($E223,[1]Sheet1!$E$10:$X$629,AG$9,0)</f>
        <v>0</v>
      </c>
      <c r="AH223">
        <f>VLOOKUP($E223,[1]Sheet1!$E$10:$X$629,AH$9,0)</f>
        <v>0</v>
      </c>
      <c r="AJ223">
        <f t="shared" si="10"/>
        <v>0</v>
      </c>
      <c r="AK223">
        <f t="shared" si="11"/>
        <v>0</v>
      </c>
      <c r="AL223">
        <f t="shared" si="12"/>
        <v>0</v>
      </c>
    </row>
    <row r="224" spans="1:46" ht="39.6" x14ac:dyDescent="0.3">
      <c r="A224" s="4" t="s">
        <v>658</v>
      </c>
      <c r="B224" s="5" t="s">
        <v>659</v>
      </c>
      <c r="C224" s="21" t="s">
        <v>660</v>
      </c>
      <c r="D224" s="20"/>
      <c r="E224" s="4">
        <v>1001217</v>
      </c>
      <c r="F224" s="4" t="s">
        <v>44</v>
      </c>
      <c r="G224" s="4" t="s">
        <v>45</v>
      </c>
      <c r="H224" s="4"/>
      <c r="I224" s="4" t="s">
        <v>46</v>
      </c>
      <c r="J224" s="4" t="s">
        <v>47</v>
      </c>
      <c r="K224" s="4">
        <v>5</v>
      </c>
      <c r="L224" s="4">
        <v>5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Z224" t="e">
        <f>VLOOKUP(E224,Sheet2!$A$1:$A$39,1,0)</f>
        <v>#N/A</v>
      </c>
      <c r="AA224">
        <f>VLOOKUP($E224,[1]Sheet1!$E$10:$X$629,AA$9,0)</f>
        <v>0</v>
      </c>
      <c r="AB224">
        <f>VLOOKUP($E224,[1]Sheet1!$E$10:$X$629,AB$9,0)</f>
        <v>0</v>
      </c>
      <c r="AC224">
        <f>VLOOKUP($E224,[1]Sheet1!$E$10:$X$629,AC$9,0)</f>
        <v>0</v>
      </c>
      <c r="AD224">
        <f>VLOOKUP($E224,[1]Sheet1!$E$10:$X$629,AD$9,0)</f>
        <v>0</v>
      </c>
      <c r="AE224">
        <f>VLOOKUP($E224,[1]Sheet1!$E$10:$X$629,AE$9,0)</f>
        <v>0</v>
      </c>
      <c r="AF224">
        <f>VLOOKUP($E224,[1]Sheet1!$E$10:$X$629,AF$9,0)</f>
        <v>0</v>
      </c>
      <c r="AG224">
        <f>VLOOKUP($E224,[1]Sheet1!$E$10:$X$629,AG$9,0)</f>
        <v>0</v>
      </c>
      <c r="AH224">
        <f>VLOOKUP($E224,[1]Sheet1!$E$10:$X$629,AH$9,0)</f>
        <v>0</v>
      </c>
      <c r="AJ224">
        <f t="shared" si="10"/>
        <v>0</v>
      </c>
      <c r="AK224">
        <f t="shared" si="11"/>
        <v>0</v>
      </c>
      <c r="AL224">
        <f t="shared" si="12"/>
        <v>0</v>
      </c>
    </row>
    <row r="225" spans="1:38" ht="39.6" x14ac:dyDescent="0.3">
      <c r="A225" s="4" t="s">
        <v>661</v>
      </c>
      <c r="B225" s="5" t="s">
        <v>662</v>
      </c>
      <c r="C225" s="21" t="s">
        <v>663</v>
      </c>
      <c r="D225" s="20"/>
      <c r="E225" s="4">
        <v>1001218</v>
      </c>
      <c r="F225" s="4" t="s">
        <v>44</v>
      </c>
      <c r="G225" s="4" t="s">
        <v>45</v>
      </c>
      <c r="H225" s="4"/>
      <c r="I225" s="4" t="s">
        <v>46</v>
      </c>
      <c r="J225" s="4" t="s">
        <v>47</v>
      </c>
      <c r="K225" s="4">
        <v>5</v>
      </c>
      <c r="L225" s="4">
        <v>5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Z225" t="e">
        <f>VLOOKUP(E225,Sheet2!$A$1:$A$39,1,0)</f>
        <v>#N/A</v>
      </c>
      <c r="AA225">
        <f>VLOOKUP($E225,[1]Sheet1!$E$10:$X$629,AA$9,0)</f>
        <v>0</v>
      </c>
      <c r="AB225">
        <f>VLOOKUP($E225,[1]Sheet1!$E$10:$X$629,AB$9,0)</f>
        <v>0</v>
      </c>
      <c r="AC225">
        <f>VLOOKUP($E225,[1]Sheet1!$E$10:$X$629,AC$9,0)</f>
        <v>0</v>
      </c>
      <c r="AD225">
        <f>VLOOKUP($E225,[1]Sheet1!$E$10:$X$629,AD$9,0)</f>
        <v>0</v>
      </c>
      <c r="AE225">
        <f>VLOOKUP($E225,[1]Sheet1!$E$10:$X$629,AE$9,0)</f>
        <v>0</v>
      </c>
      <c r="AF225">
        <f>VLOOKUP($E225,[1]Sheet1!$E$10:$X$629,AF$9,0)</f>
        <v>0</v>
      </c>
      <c r="AG225">
        <f>VLOOKUP($E225,[1]Sheet1!$E$10:$X$629,AG$9,0)</f>
        <v>0</v>
      </c>
      <c r="AH225">
        <f>VLOOKUP($E225,[1]Sheet1!$E$10:$X$629,AH$9,0)</f>
        <v>0</v>
      </c>
      <c r="AJ225">
        <f t="shared" si="10"/>
        <v>0</v>
      </c>
      <c r="AK225">
        <f t="shared" si="11"/>
        <v>0</v>
      </c>
      <c r="AL225">
        <f t="shared" si="12"/>
        <v>0</v>
      </c>
    </row>
    <row r="226" spans="1:38" ht="39.6" x14ac:dyDescent="0.3">
      <c r="A226" s="4" t="s">
        <v>664</v>
      </c>
      <c r="B226" s="5" t="s">
        <v>665</v>
      </c>
      <c r="C226" s="21" t="s">
        <v>666</v>
      </c>
      <c r="D226" s="20"/>
      <c r="E226" s="4">
        <v>1001219</v>
      </c>
      <c r="F226" s="4" t="s">
        <v>44</v>
      </c>
      <c r="G226" s="4" t="s">
        <v>45</v>
      </c>
      <c r="H226" s="4"/>
      <c r="I226" s="4" t="s">
        <v>46</v>
      </c>
      <c r="J226" s="4" t="s">
        <v>47</v>
      </c>
      <c r="K226" s="4">
        <v>5</v>
      </c>
      <c r="L226" s="4">
        <v>5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Z226" t="e">
        <f>VLOOKUP(E226,Sheet2!$A$1:$A$39,1,0)</f>
        <v>#N/A</v>
      </c>
      <c r="AA226">
        <f>VLOOKUP($E226,[1]Sheet1!$E$10:$X$629,AA$9,0)</f>
        <v>0</v>
      </c>
      <c r="AB226">
        <f>VLOOKUP($E226,[1]Sheet1!$E$10:$X$629,AB$9,0)</f>
        <v>0</v>
      </c>
      <c r="AC226">
        <f>VLOOKUP($E226,[1]Sheet1!$E$10:$X$629,AC$9,0)</f>
        <v>0</v>
      </c>
      <c r="AD226">
        <f>VLOOKUP($E226,[1]Sheet1!$E$10:$X$629,AD$9,0)</f>
        <v>0</v>
      </c>
      <c r="AE226">
        <f>VLOOKUP($E226,[1]Sheet1!$E$10:$X$629,AE$9,0)</f>
        <v>0</v>
      </c>
      <c r="AF226">
        <f>VLOOKUP($E226,[1]Sheet1!$E$10:$X$629,AF$9,0)</f>
        <v>0</v>
      </c>
      <c r="AG226">
        <f>VLOOKUP($E226,[1]Sheet1!$E$10:$X$629,AG$9,0)</f>
        <v>0</v>
      </c>
      <c r="AH226">
        <f>VLOOKUP($E226,[1]Sheet1!$E$10:$X$629,AH$9,0)</f>
        <v>0</v>
      </c>
      <c r="AJ226">
        <f t="shared" si="10"/>
        <v>0</v>
      </c>
      <c r="AK226">
        <f t="shared" si="11"/>
        <v>0</v>
      </c>
      <c r="AL226">
        <f t="shared" si="12"/>
        <v>0</v>
      </c>
    </row>
    <row r="227" spans="1:38" ht="39.6" x14ac:dyDescent="0.3">
      <c r="A227" s="4" t="s">
        <v>667</v>
      </c>
      <c r="B227" s="5" t="s">
        <v>668</v>
      </c>
      <c r="C227" s="21" t="s">
        <v>669</v>
      </c>
      <c r="D227" s="20"/>
      <c r="E227" s="4">
        <v>1001220</v>
      </c>
      <c r="F227" s="4" t="s">
        <v>44</v>
      </c>
      <c r="G227" s="4" t="s">
        <v>45</v>
      </c>
      <c r="H227" s="4"/>
      <c r="I227" s="4" t="s">
        <v>46</v>
      </c>
      <c r="J227" s="4" t="s">
        <v>47</v>
      </c>
      <c r="K227" s="4">
        <v>5</v>
      </c>
      <c r="L227" s="4">
        <v>5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Z227" t="e">
        <f>VLOOKUP(E227,Sheet2!$A$1:$A$39,1,0)</f>
        <v>#N/A</v>
      </c>
      <c r="AA227">
        <f>VLOOKUP($E227,[1]Sheet1!$E$10:$X$629,AA$9,0)</f>
        <v>0</v>
      </c>
      <c r="AB227">
        <f>VLOOKUP($E227,[1]Sheet1!$E$10:$X$629,AB$9,0)</f>
        <v>0</v>
      </c>
      <c r="AC227">
        <f>VLOOKUP($E227,[1]Sheet1!$E$10:$X$629,AC$9,0)</f>
        <v>0</v>
      </c>
      <c r="AD227">
        <f>VLOOKUP($E227,[1]Sheet1!$E$10:$X$629,AD$9,0)</f>
        <v>0</v>
      </c>
      <c r="AE227">
        <f>VLOOKUP($E227,[1]Sheet1!$E$10:$X$629,AE$9,0)</f>
        <v>0</v>
      </c>
      <c r="AF227">
        <f>VLOOKUP($E227,[1]Sheet1!$E$10:$X$629,AF$9,0)</f>
        <v>0</v>
      </c>
      <c r="AG227">
        <f>VLOOKUP($E227,[1]Sheet1!$E$10:$X$629,AG$9,0)</f>
        <v>0</v>
      </c>
      <c r="AH227">
        <f>VLOOKUP($E227,[1]Sheet1!$E$10:$X$629,AH$9,0)</f>
        <v>0</v>
      </c>
      <c r="AJ227">
        <f t="shared" si="10"/>
        <v>0</v>
      </c>
      <c r="AK227">
        <f t="shared" si="11"/>
        <v>0</v>
      </c>
      <c r="AL227">
        <f t="shared" si="12"/>
        <v>0</v>
      </c>
    </row>
    <row r="228" spans="1:38" ht="39.6" x14ac:dyDescent="0.3">
      <c r="A228" s="4" t="s">
        <v>670</v>
      </c>
      <c r="B228" s="5" t="s">
        <v>671</v>
      </c>
      <c r="C228" s="21" t="s">
        <v>672</v>
      </c>
      <c r="D228" s="20"/>
      <c r="E228" s="4">
        <v>1001221</v>
      </c>
      <c r="F228" s="4" t="s">
        <v>44</v>
      </c>
      <c r="G228" s="4" t="s">
        <v>45</v>
      </c>
      <c r="H228" s="4"/>
      <c r="I228" s="4" t="s">
        <v>46</v>
      </c>
      <c r="J228" s="4" t="s">
        <v>47</v>
      </c>
      <c r="K228" s="4">
        <v>5</v>
      </c>
      <c r="L228" s="4">
        <v>5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Z228" t="e">
        <f>VLOOKUP(E228,Sheet2!$A$1:$A$39,1,0)</f>
        <v>#N/A</v>
      </c>
      <c r="AA228">
        <f>VLOOKUP($E228,[1]Sheet1!$E$10:$X$629,AA$9,0)</f>
        <v>0</v>
      </c>
      <c r="AB228">
        <f>VLOOKUP($E228,[1]Sheet1!$E$10:$X$629,AB$9,0)</f>
        <v>0</v>
      </c>
      <c r="AC228">
        <f>VLOOKUP($E228,[1]Sheet1!$E$10:$X$629,AC$9,0)</f>
        <v>0</v>
      </c>
      <c r="AD228">
        <f>VLOOKUP($E228,[1]Sheet1!$E$10:$X$629,AD$9,0)</f>
        <v>0</v>
      </c>
      <c r="AE228">
        <f>VLOOKUP($E228,[1]Sheet1!$E$10:$X$629,AE$9,0)</f>
        <v>0</v>
      </c>
      <c r="AF228">
        <f>VLOOKUP($E228,[1]Sheet1!$E$10:$X$629,AF$9,0)</f>
        <v>0</v>
      </c>
      <c r="AG228">
        <f>VLOOKUP($E228,[1]Sheet1!$E$10:$X$629,AG$9,0)</f>
        <v>0</v>
      </c>
      <c r="AH228">
        <f>VLOOKUP($E228,[1]Sheet1!$E$10:$X$629,AH$9,0)</f>
        <v>0</v>
      </c>
      <c r="AJ228">
        <f t="shared" si="10"/>
        <v>0</v>
      </c>
      <c r="AK228">
        <f t="shared" si="11"/>
        <v>0</v>
      </c>
      <c r="AL228">
        <f t="shared" si="12"/>
        <v>0</v>
      </c>
    </row>
    <row r="229" spans="1:38" ht="39.6" x14ac:dyDescent="0.3">
      <c r="A229" s="4" t="s">
        <v>673</v>
      </c>
      <c r="B229" s="5" t="s">
        <v>674</v>
      </c>
      <c r="C229" s="21" t="s">
        <v>675</v>
      </c>
      <c r="D229" s="20"/>
      <c r="E229" s="4">
        <v>1001222</v>
      </c>
      <c r="F229" s="4" t="s">
        <v>44</v>
      </c>
      <c r="G229" s="4" t="s">
        <v>45</v>
      </c>
      <c r="H229" s="4"/>
      <c r="I229" s="4" t="s">
        <v>46</v>
      </c>
      <c r="J229" s="4" t="s">
        <v>47</v>
      </c>
      <c r="K229" s="4">
        <v>5</v>
      </c>
      <c r="L229" s="4">
        <v>10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Z229" t="e">
        <f>VLOOKUP(E229,Sheet2!$A$1:$A$39,1,0)</f>
        <v>#N/A</v>
      </c>
      <c r="AA229">
        <f>VLOOKUP($E229,[1]Sheet1!$E$10:$X$629,AA$9,0)</f>
        <v>0</v>
      </c>
      <c r="AB229">
        <f>VLOOKUP($E229,[1]Sheet1!$E$10:$X$629,AB$9,0)</f>
        <v>0</v>
      </c>
      <c r="AC229">
        <f>VLOOKUP($E229,[1]Sheet1!$E$10:$X$629,AC$9,0)</f>
        <v>0</v>
      </c>
      <c r="AD229">
        <f>VLOOKUP($E229,[1]Sheet1!$E$10:$X$629,AD$9,0)</f>
        <v>0</v>
      </c>
      <c r="AE229">
        <f>VLOOKUP($E229,[1]Sheet1!$E$10:$X$629,AE$9,0)</f>
        <v>0</v>
      </c>
      <c r="AF229">
        <f>VLOOKUP($E229,[1]Sheet1!$E$10:$X$629,AF$9,0)</f>
        <v>0</v>
      </c>
      <c r="AG229">
        <f>VLOOKUP($E229,[1]Sheet1!$E$10:$X$629,AG$9,0)</f>
        <v>0</v>
      </c>
      <c r="AH229">
        <f>VLOOKUP($E229,[1]Sheet1!$E$10:$X$629,AH$9,0)</f>
        <v>0</v>
      </c>
      <c r="AJ229">
        <f t="shared" si="10"/>
        <v>0</v>
      </c>
      <c r="AK229">
        <f t="shared" si="11"/>
        <v>0</v>
      </c>
      <c r="AL229">
        <f t="shared" si="12"/>
        <v>0</v>
      </c>
    </row>
    <row r="230" spans="1:38" ht="39.6" x14ac:dyDescent="0.3">
      <c r="A230" s="4" t="s">
        <v>676</v>
      </c>
      <c r="B230" s="5" t="s">
        <v>677</v>
      </c>
      <c r="C230" s="21" t="s">
        <v>675</v>
      </c>
      <c r="D230" s="20"/>
      <c r="E230" s="4">
        <v>1001223</v>
      </c>
      <c r="F230" s="4" t="s">
        <v>44</v>
      </c>
      <c r="G230" s="4" t="s">
        <v>45</v>
      </c>
      <c r="H230" s="4"/>
      <c r="I230" s="4" t="s">
        <v>46</v>
      </c>
      <c r="J230" s="4" t="s">
        <v>47</v>
      </c>
      <c r="K230" s="4">
        <v>5</v>
      </c>
      <c r="L230" s="4">
        <v>10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Z230" t="e">
        <f>VLOOKUP(E230,Sheet2!$A$1:$A$39,1,0)</f>
        <v>#N/A</v>
      </c>
      <c r="AA230">
        <f>VLOOKUP($E230,[1]Sheet1!$E$10:$X$629,AA$9,0)</f>
        <v>0</v>
      </c>
      <c r="AB230">
        <f>VLOOKUP($E230,[1]Sheet1!$E$10:$X$629,AB$9,0)</f>
        <v>0</v>
      </c>
      <c r="AC230">
        <f>VLOOKUP($E230,[1]Sheet1!$E$10:$X$629,AC$9,0)</f>
        <v>0</v>
      </c>
      <c r="AD230">
        <f>VLOOKUP($E230,[1]Sheet1!$E$10:$X$629,AD$9,0)</f>
        <v>0</v>
      </c>
      <c r="AE230">
        <f>VLOOKUP($E230,[1]Sheet1!$E$10:$X$629,AE$9,0)</f>
        <v>0</v>
      </c>
      <c r="AF230">
        <f>VLOOKUP($E230,[1]Sheet1!$E$10:$X$629,AF$9,0)</f>
        <v>0</v>
      </c>
      <c r="AG230">
        <f>VLOOKUP($E230,[1]Sheet1!$E$10:$X$629,AG$9,0)</f>
        <v>0</v>
      </c>
      <c r="AH230">
        <f>VLOOKUP($E230,[1]Sheet1!$E$10:$X$629,AH$9,0)</f>
        <v>0</v>
      </c>
      <c r="AJ230">
        <f t="shared" si="10"/>
        <v>0</v>
      </c>
      <c r="AK230">
        <f t="shared" si="11"/>
        <v>0</v>
      </c>
      <c r="AL230">
        <f t="shared" si="12"/>
        <v>0</v>
      </c>
    </row>
    <row r="231" spans="1:38" ht="39.6" x14ac:dyDescent="0.3">
      <c r="A231" s="4" t="s">
        <v>678</v>
      </c>
      <c r="B231" s="5" t="s">
        <v>679</v>
      </c>
      <c r="C231" s="21" t="s">
        <v>675</v>
      </c>
      <c r="D231" s="20"/>
      <c r="E231" s="4">
        <v>1001224</v>
      </c>
      <c r="F231" s="4" t="s">
        <v>44</v>
      </c>
      <c r="G231" s="4" t="s">
        <v>45</v>
      </c>
      <c r="H231" s="4"/>
      <c r="I231" s="4" t="s">
        <v>52</v>
      </c>
      <c r="J231" s="4" t="s">
        <v>47</v>
      </c>
      <c r="K231" s="4">
        <v>5</v>
      </c>
      <c r="L231" s="4">
        <v>10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Z231" t="e">
        <f>VLOOKUP(E231,Sheet2!$A$1:$A$39,1,0)</f>
        <v>#N/A</v>
      </c>
      <c r="AA231">
        <f>VLOOKUP($E231,[1]Sheet1!$E$10:$X$629,AA$9,0)</f>
        <v>0</v>
      </c>
      <c r="AB231">
        <f>VLOOKUP($E231,[1]Sheet1!$E$10:$X$629,AB$9,0)</f>
        <v>0</v>
      </c>
      <c r="AC231">
        <f>VLOOKUP($E231,[1]Sheet1!$E$10:$X$629,AC$9,0)</f>
        <v>0</v>
      </c>
      <c r="AD231">
        <f>VLOOKUP($E231,[1]Sheet1!$E$10:$X$629,AD$9,0)</f>
        <v>0</v>
      </c>
      <c r="AE231">
        <f>VLOOKUP($E231,[1]Sheet1!$E$10:$X$629,AE$9,0)</f>
        <v>0</v>
      </c>
      <c r="AF231">
        <f>VLOOKUP($E231,[1]Sheet1!$E$10:$X$629,AF$9,0)</f>
        <v>0</v>
      </c>
      <c r="AG231">
        <f>VLOOKUP($E231,[1]Sheet1!$E$10:$X$629,AG$9,0)</f>
        <v>0</v>
      </c>
      <c r="AH231">
        <f>VLOOKUP($E231,[1]Sheet1!$E$10:$X$629,AH$9,0)</f>
        <v>0</v>
      </c>
      <c r="AJ231">
        <f t="shared" si="10"/>
        <v>0</v>
      </c>
      <c r="AK231">
        <f t="shared" si="11"/>
        <v>0</v>
      </c>
      <c r="AL231">
        <f t="shared" si="12"/>
        <v>0</v>
      </c>
    </row>
    <row r="232" spans="1:38" ht="39.6" x14ac:dyDescent="0.3">
      <c r="A232" s="4" t="s">
        <v>680</v>
      </c>
      <c r="B232" s="5" t="s">
        <v>681</v>
      </c>
      <c r="C232" s="21" t="s">
        <v>682</v>
      </c>
      <c r="D232" s="20"/>
      <c r="E232" s="4">
        <v>1001715</v>
      </c>
      <c r="F232" s="4" t="s">
        <v>44</v>
      </c>
      <c r="G232" s="4" t="s">
        <v>45</v>
      </c>
      <c r="H232" s="4" t="s">
        <v>56</v>
      </c>
      <c r="I232" s="4" t="s">
        <v>52</v>
      </c>
      <c r="J232" s="4" t="s">
        <v>47</v>
      </c>
      <c r="K232" s="4">
        <v>5.5</v>
      </c>
      <c r="L232" s="4">
        <v>1.2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Z232" t="e">
        <f>VLOOKUP(E232,Sheet2!$A$1:$A$39,1,0)</f>
        <v>#N/A</v>
      </c>
      <c r="AA232">
        <f>VLOOKUP($E232,[1]Sheet1!$E$10:$X$629,AA$9,0)</f>
        <v>0</v>
      </c>
      <c r="AB232">
        <f>VLOOKUP($E232,[1]Sheet1!$E$10:$X$629,AB$9,0)</f>
        <v>0</v>
      </c>
      <c r="AC232">
        <f>VLOOKUP($E232,[1]Sheet1!$E$10:$X$629,AC$9,0)</f>
        <v>0</v>
      </c>
      <c r="AD232">
        <f>VLOOKUP($E232,[1]Sheet1!$E$10:$X$629,AD$9,0)</f>
        <v>0</v>
      </c>
      <c r="AE232">
        <f>VLOOKUP($E232,[1]Sheet1!$E$10:$X$629,AE$9,0)</f>
        <v>0</v>
      </c>
      <c r="AF232">
        <f>VLOOKUP($E232,[1]Sheet1!$E$10:$X$629,AF$9,0)</f>
        <v>0</v>
      </c>
      <c r="AG232">
        <f>VLOOKUP($E232,[1]Sheet1!$E$10:$X$629,AG$9,0)</f>
        <v>0</v>
      </c>
      <c r="AH232">
        <f>VLOOKUP($E232,[1]Sheet1!$E$10:$X$629,AH$9,0)</f>
        <v>0</v>
      </c>
      <c r="AJ232">
        <f t="shared" si="10"/>
        <v>0</v>
      </c>
      <c r="AK232">
        <f t="shared" si="11"/>
        <v>0</v>
      </c>
      <c r="AL232">
        <f t="shared" si="12"/>
        <v>0</v>
      </c>
    </row>
    <row r="233" spans="1:38" ht="39.6" x14ac:dyDescent="0.3">
      <c r="A233" s="4" t="s">
        <v>683</v>
      </c>
      <c r="B233" s="5" t="s">
        <v>684</v>
      </c>
      <c r="C233" s="21" t="s">
        <v>685</v>
      </c>
      <c r="D233" s="20"/>
      <c r="E233" s="4">
        <v>1001713</v>
      </c>
      <c r="F233" s="4" t="s">
        <v>44</v>
      </c>
      <c r="G233" s="4" t="s">
        <v>45</v>
      </c>
      <c r="H233" s="4" t="s">
        <v>269</v>
      </c>
      <c r="I233" s="4" t="s">
        <v>46</v>
      </c>
      <c r="J233" s="4" t="s">
        <v>47</v>
      </c>
      <c r="K233" s="4">
        <v>5.5</v>
      </c>
      <c r="L233" s="4">
        <v>3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Z233" t="e">
        <f>VLOOKUP(E233,Sheet2!$A$1:$A$39,1,0)</f>
        <v>#N/A</v>
      </c>
      <c r="AA233">
        <f>VLOOKUP($E233,[1]Sheet1!$E$10:$X$629,AA$9,0)</f>
        <v>0</v>
      </c>
      <c r="AB233">
        <f>VLOOKUP($E233,[1]Sheet1!$E$10:$X$629,AB$9,0)</f>
        <v>0</v>
      </c>
      <c r="AC233">
        <f>VLOOKUP($E233,[1]Sheet1!$E$10:$X$629,AC$9,0)</f>
        <v>0</v>
      </c>
      <c r="AD233">
        <f>VLOOKUP($E233,[1]Sheet1!$E$10:$X$629,AD$9,0)</f>
        <v>0</v>
      </c>
      <c r="AE233">
        <f>VLOOKUP($E233,[1]Sheet1!$E$10:$X$629,AE$9,0)</f>
        <v>0</v>
      </c>
      <c r="AF233">
        <f>VLOOKUP($E233,[1]Sheet1!$E$10:$X$629,AF$9,0)</f>
        <v>0</v>
      </c>
      <c r="AG233">
        <f>VLOOKUP($E233,[1]Sheet1!$E$10:$X$629,AG$9,0)</f>
        <v>0</v>
      </c>
      <c r="AH233">
        <f>VLOOKUP($E233,[1]Sheet1!$E$10:$X$629,AH$9,0)</f>
        <v>0</v>
      </c>
      <c r="AJ233">
        <f t="shared" si="10"/>
        <v>0</v>
      </c>
      <c r="AK233">
        <f t="shared" si="11"/>
        <v>0</v>
      </c>
      <c r="AL233">
        <f t="shared" si="12"/>
        <v>0</v>
      </c>
    </row>
    <row r="234" spans="1:38" ht="39.6" x14ac:dyDescent="0.3">
      <c r="A234" s="4" t="s">
        <v>686</v>
      </c>
      <c r="B234" s="5" t="s">
        <v>687</v>
      </c>
      <c r="C234" s="21" t="s">
        <v>688</v>
      </c>
      <c r="D234" s="20"/>
      <c r="E234" s="4">
        <v>1001714</v>
      </c>
      <c r="F234" s="4" t="s">
        <v>44</v>
      </c>
      <c r="G234" s="4" t="s">
        <v>45</v>
      </c>
      <c r="H234" s="4" t="s">
        <v>269</v>
      </c>
      <c r="I234" s="4" t="s">
        <v>46</v>
      </c>
      <c r="J234" s="4" t="s">
        <v>47</v>
      </c>
      <c r="K234" s="4">
        <v>5.5</v>
      </c>
      <c r="L234" s="4">
        <v>3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Z234" t="e">
        <f>VLOOKUP(E234,Sheet2!$A$1:$A$39,1,0)</f>
        <v>#N/A</v>
      </c>
      <c r="AA234">
        <f>VLOOKUP($E234,[1]Sheet1!$E$10:$X$629,AA$9,0)</f>
        <v>0</v>
      </c>
      <c r="AB234">
        <f>VLOOKUP($E234,[1]Sheet1!$E$10:$X$629,AB$9,0)</f>
        <v>0</v>
      </c>
      <c r="AC234">
        <f>VLOOKUP($E234,[1]Sheet1!$E$10:$X$629,AC$9,0)</f>
        <v>0</v>
      </c>
      <c r="AD234">
        <f>VLOOKUP($E234,[1]Sheet1!$E$10:$X$629,AD$9,0)</f>
        <v>0</v>
      </c>
      <c r="AE234">
        <f>VLOOKUP($E234,[1]Sheet1!$E$10:$X$629,AE$9,0)</f>
        <v>0</v>
      </c>
      <c r="AF234">
        <f>VLOOKUP($E234,[1]Sheet1!$E$10:$X$629,AF$9,0)</f>
        <v>0</v>
      </c>
      <c r="AG234">
        <f>VLOOKUP($E234,[1]Sheet1!$E$10:$X$629,AG$9,0)</f>
        <v>0</v>
      </c>
      <c r="AH234">
        <f>VLOOKUP($E234,[1]Sheet1!$E$10:$X$629,AH$9,0)</f>
        <v>0</v>
      </c>
      <c r="AJ234">
        <f t="shared" si="10"/>
        <v>0</v>
      </c>
      <c r="AK234">
        <f t="shared" si="11"/>
        <v>0</v>
      </c>
      <c r="AL234">
        <f t="shared" si="12"/>
        <v>0</v>
      </c>
    </row>
    <row r="235" spans="1:38" ht="39.6" x14ac:dyDescent="0.3">
      <c r="A235" s="4" t="s">
        <v>689</v>
      </c>
      <c r="B235" s="5" t="s">
        <v>690</v>
      </c>
      <c r="C235" s="21" t="s">
        <v>691</v>
      </c>
      <c r="D235" s="20"/>
      <c r="E235" s="4">
        <v>1001712</v>
      </c>
      <c r="F235" s="4" t="s">
        <v>44</v>
      </c>
      <c r="G235" s="4" t="s">
        <v>45</v>
      </c>
      <c r="H235" s="4" t="s">
        <v>61</v>
      </c>
      <c r="I235" s="4" t="s">
        <v>46</v>
      </c>
      <c r="J235" s="4" t="s">
        <v>47</v>
      </c>
      <c r="K235" s="4">
        <v>5.5</v>
      </c>
      <c r="L235" s="4">
        <v>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Z235" t="e">
        <f>VLOOKUP(E235,Sheet2!$A$1:$A$39,1,0)</f>
        <v>#N/A</v>
      </c>
      <c r="AA235">
        <f>VLOOKUP($E235,[1]Sheet1!$E$10:$X$629,AA$9,0)</f>
        <v>0</v>
      </c>
      <c r="AB235">
        <f>VLOOKUP($E235,[1]Sheet1!$E$10:$X$629,AB$9,0)</f>
        <v>0</v>
      </c>
      <c r="AC235">
        <f>VLOOKUP($E235,[1]Sheet1!$E$10:$X$629,AC$9,0)</f>
        <v>0</v>
      </c>
      <c r="AD235">
        <f>VLOOKUP($E235,[1]Sheet1!$E$10:$X$629,AD$9,0)</f>
        <v>0</v>
      </c>
      <c r="AE235">
        <f>VLOOKUP($E235,[1]Sheet1!$E$10:$X$629,AE$9,0)</f>
        <v>0</v>
      </c>
      <c r="AF235">
        <f>VLOOKUP($E235,[1]Sheet1!$E$10:$X$629,AF$9,0)</f>
        <v>0</v>
      </c>
      <c r="AG235">
        <f>VLOOKUP($E235,[1]Sheet1!$E$10:$X$629,AG$9,0)</f>
        <v>0</v>
      </c>
      <c r="AH235">
        <f>VLOOKUP($E235,[1]Sheet1!$E$10:$X$629,AH$9,0)</f>
        <v>0</v>
      </c>
      <c r="AJ235">
        <f t="shared" si="10"/>
        <v>0</v>
      </c>
      <c r="AK235">
        <f t="shared" si="11"/>
        <v>0</v>
      </c>
      <c r="AL235">
        <f t="shared" si="12"/>
        <v>0</v>
      </c>
    </row>
    <row r="236" spans="1:38" ht="39.6" x14ac:dyDescent="0.3">
      <c r="A236" s="4" t="s">
        <v>692</v>
      </c>
      <c r="B236" s="5" t="s">
        <v>693</v>
      </c>
      <c r="C236" s="21" t="s">
        <v>694</v>
      </c>
      <c r="D236" s="20"/>
      <c r="E236" s="4">
        <v>1001718</v>
      </c>
      <c r="F236" s="4" t="s">
        <v>44</v>
      </c>
      <c r="G236" s="4" t="s">
        <v>45</v>
      </c>
      <c r="H236" s="4" t="s">
        <v>61</v>
      </c>
      <c r="I236" s="4" t="s">
        <v>46</v>
      </c>
      <c r="J236" s="4" t="s">
        <v>47</v>
      </c>
      <c r="K236" s="4">
        <v>6</v>
      </c>
      <c r="L236" s="4">
        <v>3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Z236" t="e">
        <f>VLOOKUP(E236,Sheet2!$A$1:$A$39,1,0)</f>
        <v>#N/A</v>
      </c>
      <c r="AA236">
        <f>VLOOKUP($E236,[1]Sheet1!$E$10:$X$629,AA$9,0)</f>
        <v>0</v>
      </c>
      <c r="AB236">
        <f>VLOOKUP($E236,[1]Sheet1!$E$10:$X$629,AB$9,0)</f>
        <v>0</v>
      </c>
      <c r="AC236">
        <f>VLOOKUP($E236,[1]Sheet1!$E$10:$X$629,AC$9,0)</f>
        <v>0</v>
      </c>
      <c r="AD236">
        <f>VLOOKUP($E236,[1]Sheet1!$E$10:$X$629,AD$9,0)</f>
        <v>0</v>
      </c>
      <c r="AE236">
        <f>VLOOKUP($E236,[1]Sheet1!$E$10:$X$629,AE$9,0)</f>
        <v>0</v>
      </c>
      <c r="AF236">
        <f>VLOOKUP($E236,[1]Sheet1!$E$10:$X$629,AF$9,0)</f>
        <v>0</v>
      </c>
      <c r="AG236">
        <f>VLOOKUP($E236,[1]Sheet1!$E$10:$X$629,AG$9,0)</f>
        <v>0</v>
      </c>
      <c r="AH236">
        <f>VLOOKUP($E236,[1]Sheet1!$E$10:$X$629,AH$9,0)</f>
        <v>0</v>
      </c>
      <c r="AJ236">
        <f t="shared" si="10"/>
        <v>0</v>
      </c>
      <c r="AK236">
        <f t="shared" si="11"/>
        <v>0</v>
      </c>
      <c r="AL236">
        <f t="shared" si="12"/>
        <v>0</v>
      </c>
    </row>
    <row r="237" spans="1:38" ht="39.6" x14ac:dyDescent="0.3">
      <c r="A237" s="4" t="s">
        <v>695</v>
      </c>
      <c r="B237" s="5" t="s">
        <v>696</v>
      </c>
      <c r="C237" s="21" t="s">
        <v>697</v>
      </c>
      <c r="D237" s="20"/>
      <c r="E237" s="4">
        <v>1001733</v>
      </c>
      <c r="F237" s="4" t="s">
        <v>44</v>
      </c>
      <c r="G237" s="4" t="s">
        <v>45</v>
      </c>
      <c r="H237" s="4" t="s">
        <v>61</v>
      </c>
      <c r="I237" s="4" t="s">
        <v>52</v>
      </c>
      <c r="J237" s="4" t="s">
        <v>47</v>
      </c>
      <c r="K237" s="4">
        <v>7</v>
      </c>
      <c r="L237" s="4">
        <v>3.5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Z237" t="e">
        <f>VLOOKUP(E237,Sheet2!$A$1:$A$39,1,0)</f>
        <v>#N/A</v>
      </c>
      <c r="AA237">
        <f>VLOOKUP($E237,[1]Sheet1!$E$10:$X$629,AA$9,0)</f>
        <v>0</v>
      </c>
      <c r="AB237">
        <f>VLOOKUP($E237,[1]Sheet1!$E$10:$X$629,AB$9,0)</f>
        <v>0</v>
      </c>
      <c r="AC237">
        <f>VLOOKUP($E237,[1]Sheet1!$E$10:$X$629,AC$9,0)</f>
        <v>0</v>
      </c>
      <c r="AD237">
        <f>VLOOKUP($E237,[1]Sheet1!$E$10:$X$629,AD$9,0)</f>
        <v>0</v>
      </c>
      <c r="AE237">
        <f>VLOOKUP($E237,[1]Sheet1!$E$10:$X$629,AE$9,0)</f>
        <v>0</v>
      </c>
      <c r="AF237">
        <f>VLOOKUP($E237,[1]Sheet1!$E$10:$X$629,AF$9,0)</f>
        <v>0</v>
      </c>
      <c r="AG237">
        <f>VLOOKUP($E237,[1]Sheet1!$E$10:$X$629,AG$9,0)</f>
        <v>0</v>
      </c>
      <c r="AH237">
        <f>VLOOKUP($E237,[1]Sheet1!$E$10:$X$629,AH$9,0)</f>
        <v>0</v>
      </c>
      <c r="AJ237">
        <f t="shared" si="10"/>
        <v>0</v>
      </c>
      <c r="AK237">
        <f t="shared" si="11"/>
        <v>0</v>
      </c>
      <c r="AL237">
        <f t="shared" si="12"/>
        <v>0</v>
      </c>
    </row>
    <row r="238" spans="1:38" ht="39.6" x14ac:dyDescent="0.3">
      <c r="A238" s="4" t="s">
        <v>698</v>
      </c>
      <c r="B238" s="5" t="s">
        <v>699</v>
      </c>
      <c r="C238" s="21" t="s">
        <v>697</v>
      </c>
      <c r="D238" s="20"/>
      <c r="E238" s="4">
        <v>1001727</v>
      </c>
      <c r="F238" s="4" t="s">
        <v>44</v>
      </c>
      <c r="G238" s="4" t="s">
        <v>45</v>
      </c>
      <c r="H238" s="4" t="s">
        <v>56</v>
      </c>
      <c r="I238" s="4" t="s">
        <v>52</v>
      </c>
      <c r="J238" s="4" t="s">
        <v>47</v>
      </c>
      <c r="K238" s="4">
        <v>7</v>
      </c>
      <c r="L238" s="4">
        <v>3.5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Z238" t="e">
        <f>VLOOKUP(E238,Sheet2!$A$1:$A$39,1,0)</f>
        <v>#N/A</v>
      </c>
      <c r="AA238">
        <f>VLOOKUP($E238,[1]Sheet1!$E$10:$X$629,AA$9,0)</f>
        <v>0</v>
      </c>
      <c r="AB238">
        <f>VLOOKUP($E238,[1]Sheet1!$E$10:$X$629,AB$9,0)</f>
        <v>0</v>
      </c>
      <c r="AC238">
        <f>VLOOKUP($E238,[1]Sheet1!$E$10:$X$629,AC$9,0)</f>
        <v>0</v>
      </c>
      <c r="AD238">
        <f>VLOOKUP($E238,[1]Sheet1!$E$10:$X$629,AD$9,0)</f>
        <v>0</v>
      </c>
      <c r="AE238">
        <f>VLOOKUP($E238,[1]Sheet1!$E$10:$X$629,AE$9,0)</f>
        <v>0</v>
      </c>
      <c r="AF238">
        <f>VLOOKUP($E238,[1]Sheet1!$E$10:$X$629,AF$9,0)</f>
        <v>0</v>
      </c>
      <c r="AG238">
        <f>VLOOKUP($E238,[1]Sheet1!$E$10:$X$629,AG$9,0)</f>
        <v>0</v>
      </c>
      <c r="AH238">
        <f>VLOOKUP($E238,[1]Sheet1!$E$10:$X$629,AH$9,0)</f>
        <v>0</v>
      </c>
      <c r="AJ238">
        <f t="shared" si="10"/>
        <v>0</v>
      </c>
      <c r="AK238">
        <f t="shared" si="11"/>
        <v>0</v>
      </c>
      <c r="AL238">
        <f t="shared" si="12"/>
        <v>0</v>
      </c>
    </row>
    <row r="239" spans="1:38" ht="39.6" x14ac:dyDescent="0.3">
      <c r="A239" s="4" t="s">
        <v>700</v>
      </c>
      <c r="B239" s="5" t="s">
        <v>701</v>
      </c>
      <c r="C239" s="21" t="s">
        <v>697</v>
      </c>
      <c r="D239" s="20"/>
      <c r="E239" s="4">
        <v>1001728</v>
      </c>
      <c r="F239" s="4" t="s">
        <v>44</v>
      </c>
      <c r="G239" s="4" t="s">
        <v>45</v>
      </c>
      <c r="H239" s="4" t="s">
        <v>56</v>
      </c>
      <c r="I239" s="4" t="s">
        <v>46</v>
      </c>
      <c r="J239" s="4" t="s">
        <v>47</v>
      </c>
      <c r="K239" s="4">
        <v>7</v>
      </c>
      <c r="L239" s="4">
        <v>3.5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Z239" t="e">
        <f>VLOOKUP(E239,Sheet2!$A$1:$A$39,1,0)</f>
        <v>#N/A</v>
      </c>
      <c r="AA239">
        <f>VLOOKUP($E239,[1]Sheet1!$E$10:$X$629,AA$9,0)</f>
        <v>0</v>
      </c>
      <c r="AB239">
        <f>VLOOKUP($E239,[1]Sheet1!$E$10:$X$629,AB$9,0)</f>
        <v>0</v>
      </c>
      <c r="AC239">
        <f>VLOOKUP($E239,[1]Sheet1!$E$10:$X$629,AC$9,0)</f>
        <v>0</v>
      </c>
      <c r="AD239">
        <f>VLOOKUP($E239,[1]Sheet1!$E$10:$X$629,AD$9,0)</f>
        <v>0</v>
      </c>
      <c r="AE239">
        <f>VLOOKUP($E239,[1]Sheet1!$E$10:$X$629,AE$9,0)</f>
        <v>0</v>
      </c>
      <c r="AF239">
        <f>VLOOKUP($E239,[1]Sheet1!$E$10:$X$629,AF$9,0)</f>
        <v>0</v>
      </c>
      <c r="AG239">
        <f>VLOOKUP($E239,[1]Sheet1!$E$10:$X$629,AG$9,0)</f>
        <v>0</v>
      </c>
      <c r="AH239">
        <f>VLOOKUP($E239,[1]Sheet1!$E$10:$X$629,AH$9,0)</f>
        <v>0</v>
      </c>
      <c r="AJ239">
        <f t="shared" si="10"/>
        <v>0</v>
      </c>
      <c r="AK239">
        <f t="shared" si="11"/>
        <v>0</v>
      </c>
      <c r="AL239">
        <f t="shared" si="12"/>
        <v>0</v>
      </c>
    </row>
    <row r="240" spans="1:38" ht="39.6" x14ac:dyDescent="0.3">
      <c r="A240" s="4" t="s">
        <v>702</v>
      </c>
      <c r="B240" s="5" t="s">
        <v>703</v>
      </c>
      <c r="C240" s="21" t="s">
        <v>697</v>
      </c>
      <c r="D240" s="20"/>
      <c r="E240" s="4">
        <v>1001729</v>
      </c>
      <c r="F240" s="4" t="s">
        <v>44</v>
      </c>
      <c r="G240" s="4" t="s">
        <v>45</v>
      </c>
      <c r="H240" s="4" t="s">
        <v>61</v>
      </c>
      <c r="I240" s="4" t="s">
        <v>46</v>
      </c>
      <c r="J240" s="4" t="s">
        <v>47</v>
      </c>
      <c r="K240" s="4">
        <v>7</v>
      </c>
      <c r="L240" s="4">
        <v>3.5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Z240" t="e">
        <f>VLOOKUP(E240,Sheet2!$A$1:$A$39,1,0)</f>
        <v>#N/A</v>
      </c>
      <c r="AA240">
        <f>VLOOKUP($E240,[1]Sheet1!$E$10:$X$629,AA$9,0)</f>
        <v>0</v>
      </c>
      <c r="AB240">
        <f>VLOOKUP($E240,[1]Sheet1!$E$10:$X$629,AB$9,0)</f>
        <v>0</v>
      </c>
      <c r="AC240">
        <f>VLOOKUP($E240,[1]Sheet1!$E$10:$X$629,AC$9,0)</f>
        <v>0</v>
      </c>
      <c r="AD240">
        <f>VLOOKUP($E240,[1]Sheet1!$E$10:$X$629,AD$9,0)</f>
        <v>0</v>
      </c>
      <c r="AE240">
        <f>VLOOKUP($E240,[1]Sheet1!$E$10:$X$629,AE$9,0)</f>
        <v>0</v>
      </c>
      <c r="AF240">
        <f>VLOOKUP($E240,[1]Sheet1!$E$10:$X$629,AF$9,0)</f>
        <v>0</v>
      </c>
      <c r="AG240">
        <f>VLOOKUP($E240,[1]Sheet1!$E$10:$X$629,AG$9,0)</f>
        <v>0</v>
      </c>
      <c r="AH240">
        <f>VLOOKUP($E240,[1]Sheet1!$E$10:$X$629,AH$9,0)</f>
        <v>0</v>
      </c>
      <c r="AJ240">
        <f t="shared" si="10"/>
        <v>0</v>
      </c>
      <c r="AK240">
        <f t="shared" si="11"/>
        <v>0</v>
      </c>
      <c r="AL240">
        <f t="shared" si="12"/>
        <v>0</v>
      </c>
    </row>
    <row r="241" spans="1:38" ht="39.6" x14ac:dyDescent="0.3">
      <c r="A241" s="4" t="s">
        <v>704</v>
      </c>
      <c r="B241" s="5" t="s">
        <v>705</v>
      </c>
      <c r="C241" s="21" t="s">
        <v>694</v>
      </c>
      <c r="D241" s="20"/>
      <c r="E241" s="4">
        <v>1001719</v>
      </c>
      <c r="F241" s="4" t="s">
        <v>44</v>
      </c>
      <c r="G241" s="4" t="s">
        <v>45</v>
      </c>
      <c r="H241" s="4" t="s">
        <v>269</v>
      </c>
      <c r="I241" s="4" t="s">
        <v>46</v>
      </c>
      <c r="J241" s="4" t="s">
        <v>47</v>
      </c>
      <c r="K241" s="4">
        <v>6</v>
      </c>
      <c r="L241" s="4">
        <v>3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Z241" t="e">
        <f>VLOOKUP(E241,Sheet2!$A$1:$A$39,1,0)</f>
        <v>#N/A</v>
      </c>
      <c r="AA241">
        <f>VLOOKUP($E241,[1]Sheet1!$E$10:$X$629,AA$9,0)</f>
        <v>0</v>
      </c>
      <c r="AB241">
        <f>VLOOKUP($E241,[1]Sheet1!$E$10:$X$629,AB$9,0)</f>
        <v>0</v>
      </c>
      <c r="AC241">
        <f>VLOOKUP($E241,[1]Sheet1!$E$10:$X$629,AC$9,0)</f>
        <v>0</v>
      </c>
      <c r="AD241">
        <f>VLOOKUP($E241,[1]Sheet1!$E$10:$X$629,AD$9,0)</f>
        <v>0</v>
      </c>
      <c r="AE241">
        <f>VLOOKUP($E241,[1]Sheet1!$E$10:$X$629,AE$9,0)</f>
        <v>0</v>
      </c>
      <c r="AF241">
        <f>VLOOKUP($E241,[1]Sheet1!$E$10:$X$629,AF$9,0)</f>
        <v>0</v>
      </c>
      <c r="AG241">
        <f>VLOOKUP($E241,[1]Sheet1!$E$10:$X$629,AG$9,0)</f>
        <v>0</v>
      </c>
      <c r="AH241">
        <f>VLOOKUP($E241,[1]Sheet1!$E$10:$X$629,AH$9,0)</f>
        <v>0</v>
      </c>
      <c r="AJ241">
        <f t="shared" si="10"/>
        <v>0</v>
      </c>
      <c r="AK241">
        <f t="shared" si="11"/>
        <v>0</v>
      </c>
      <c r="AL241">
        <f t="shared" si="12"/>
        <v>0</v>
      </c>
    </row>
    <row r="242" spans="1:38" ht="39.6" x14ac:dyDescent="0.3">
      <c r="A242" s="4" t="s">
        <v>706</v>
      </c>
      <c r="B242" s="5" t="s">
        <v>707</v>
      </c>
      <c r="C242" s="21" t="s">
        <v>694</v>
      </c>
      <c r="D242" s="20"/>
      <c r="E242" s="4">
        <v>1001720</v>
      </c>
      <c r="F242" s="4" t="s">
        <v>44</v>
      </c>
      <c r="G242" s="4" t="s">
        <v>45</v>
      </c>
      <c r="H242" s="4" t="s">
        <v>56</v>
      </c>
      <c r="I242" s="4" t="s">
        <v>52</v>
      </c>
      <c r="J242" s="4" t="s">
        <v>47</v>
      </c>
      <c r="K242" s="4">
        <v>6</v>
      </c>
      <c r="L242" s="4">
        <v>3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Z242" t="e">
        <f>VLOOKUP(E242,Sheet2!$A$1:$A$39,1,0)</f>
        <v>#N/A</v>
      </c>
      <c r="AA242">
        <f>VLOOKUP($E242,[1]Sheet1!$E$10:$X$629,AA$9,0)</f>
        <v>0</v>
      </c>
      <c r="AB242">
        <f>VLOOKUP($E242,[1]Sheet1!$E$10:$X$629,AB$9,0)</f>
        <v>0</v>
      </c>
      <c r="AC242">
        <f>VLOOKUP($E242,[1]Sheet1!$E$10:$X$629,AC$9,0)</f>
        <v>0</v>
      </c>
      <c r="AD242">
        <f>VLOOKUP($E242,[1]Sheet1!$E$10:$X$629,AD$9,0)</f>
        <v>0</v>
      </c>
      <c r="AE242">
        <f>VLOOKUP($E242,[1]Sheet1!$E$10:$X$629,AE$9,0)</f>
        <v>0</v>
      </c>
      <c r="AF242">
        <f>VLOOKUP($E242,[1]Sheet1!$E$10:$X$629,AF$9,0)</f>
        <v>0</v>
      </c>
      <c r="AG242">
        <f>VLOOKUP($E242,[1]Sheet1!$E$10:$X$629,AG$9,0)</f>
        <v>0</v>
      </c>
      <c r="AH242">
        <f>VLOOKUP($E242,[1]Sheet1!$E$10:$X$629,AH$9,0)</f>
        <v>0</v>
      </c>
      <c r="AJ242">
        <f t="shared" si="10"/>
        <v>0</v>
      </c>
      <c r="AK242">
        <f t="shared" si="11"/>
        <v>0</v>
      </c>
      <c r="AL242">
        <f t="shared" si="12"/>
        <v>0</v>
      </c>
    </row>
    <row r="243" spans="1:38" ht="39.6" x14ac:dyDescent="0.3">
      <c r="A243" s="4" t="s">
        <v>708</v>
      </c>
      <c r="B243" s="5" t="s">
        <v>709</v>
      </c>
      <c r="C243" s="21" t="s">
        <v>694</v>
      </c>
      <c r="D243" s="20"/>
      <c r="E243" s="4">
        <v>1001721</v>
      </c>
      <c r="F243" s="4" t="s">
        <v>44</v>
      </c>
      <c r="G243" s="4" t="s">
        <v>45</v>
      </c>
      <c r="H243" s="4" t="s">
        <v>61</v>
      </c>
      <c r="I243" s="4" t="s">
        <v>46</v>
      </c>
      <c r="J243" s="4" t="s">
        <v>47</v>
      </c>
      <c r="K243" s="4">
        <v>6</v>
      </c>
      <c r="L243" s="4">
        <v>3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Z243" t="e">
        <f>VLOOKUP(E243,Sheet2!$A$1:$A$39,1,0)</f>
        <v>#N/A</v>
      </c>
      <c r="AA243">
        <f>VLOOKUP($E243,[1]Sheet1!$E$10:$X$629,AA$9,0)</f>
        <v>0</v>
      </c>
      <c r="AB243">
        <f>VLOOKUP($E243,[1]Sheet1!$E$10:$X$629,AB$9,0)</f>
        <v>0</v>
      </c>
      <c r="AC243">
        <f>VLOOKUP($E243,[1]Sheet1!$E$10:$X$629,AC$9,0)</f>
        <v>0</v>
      </c>
      <c r="AD243">
        <f>VLOOKUP($E243,[1]Sheet1!$E$10:$X$629,AD$9,0)</f>
        <v>0</v>
      </c>
      <c r="AE243">
        <f>VLOOKUP($E243,[1]Sheet1!$E$10:$X$629,AE$9,0)</f>
        <v>0</v>
      </c>
      <c r="AF243">
        <f>VLOOKUP($E243,[1]Sheet1!$E$10:$X$629,AF$9,0)</f>
        <v>0</v>
      </c>
      <c r="AG243">
        <f>VLOOKUP($E243,[1]Sheet1!$E$10:$X$629,AG$9,0)</f>
        <v>0</v>
      </c>
      <c r="AH243">
        <f>VLOOKUP($E243,[1]Sheet1!$E$10:$X$629,AH$9,0)</f>
        <v>0</v>
      </c>
      <c r="AJ243">
        <f t="shared" si="10"/>
        <v>0</v>
      </c>
      <c r="AK243">
        <f t="shared" si="11"/>
        <v>0</v>
      </c>
      <c r="AL243">
        <f t="shared" si="12"/>
        <v>0</v>
      </c>
    </row>
    <row r="244" spans="1:38" ht="39.6" x14ac:dyDescent="0.3">
      <c r="A244" s="4" t="s">
        <v>710</v>
      </c>
      <c r="B244" s="5" t="s">
        <v>711</v>
      </c>
      <c r="C244" s="21" t="s">
        <v>712</v>
      </c>
      <c r="D244" s="20"/>
      <c r="E244" s="4">
        <v>1001722</v>
      </c>
      <c r="F244" s="4" t="s">
        <v>44</v>
      </c>
      <c r="G244" s="4" t="s">
        <v>45</v>
      </c>
      <c r="H244" s="4" t="s">
        <v>56</v>
      </c>
      <c r="I244" s="4" t="s">
        <v>46</v>
      </c>
      <c r="J244" s="4" t="s">
        <v>47</v>
      </c>
      <c r="K244" s="4">
        <v>6</v>
      </c>
      <c r="L244" s="4">
        <v>3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Z244" t="e">
        <f>VLOOKUP(E244,Sheet2!$A$1:$A$39,1,0)</f>
        <v>#N/A</v>
      </c>
      <c r="AA244">
        <f>VLOOKUP($E244,[1]Sheet1!$E$10:$X$629,AA$9,0)</f>
        <v>0</v>
      </c>
      <c r="AB244">
        <f>VLOOKUP($E244,[1]Sheet1!$E$10:$X$629,AB$9,0)</f>
        <v>0</v>
      </c>
      <c r="AC244">
        <f>VLOOKUP($E244,[1]Sheet1!$E$10:$X$629,AC$9,0)</f>
        <v>0</v>
      </c>
      <c r="AD244">
        <f>VLOOKUP($E244,[1]Sheet1!$E$10:$X$629,AD$9,0)</f>
        <v>0</v>
      </c>
      <c r="AE244">
        <f>VLOOKUP($E244,[1]Sheet1!$E$10:$X$629,AE$9,0)</f>
        <v>0</v>
      </c>
      <c r="AF244">
        <f>VLOOKUP($E244,[1]Sheet1!$E$10:$X$629,AF$9,0)</f>
        <v>0</v>
      </c>
      <c r="AG244">
        <f>VLOOKUP($E244,[1]Sheet1!$E$10:$X$629,AG$9,0)</f>
        <v>0</v>
      </c>
      <c r="AH244">
        <f>VLOOKUP($E244,[1]Sheet1!$E$10:$X$629,AH$9,0)</f>
        <v>0</v>
      </c>
      <c r="AJ244">
        <f t="shared" si="10"/>
        <v>0</v>
      </c>
      <c r="AK244">
        <f t="shared" si="11"/>
        <v>0</v>
      </c>
      <c r="AL244">
        <f t="shared" si="12"/>
        <v>0</v>
      </c>
    </row>
    <row r="245" spans="1:38" ht="39.6" x14ac:dyDescent="0.3">
      <c r="A245" s="4" t="s">
        <v>713</v>
      </c>
      <c r="B245" s="5" t="s">
        <v>714</v>
      </c>
      <c r="C245" s="21" t="s">
        <v>712</v>
      </c>
      <c r="D245" s="20"/>
      <c r="E245" s="4">
        <v>1001723</v>
      </c>
      <c r="F245" s="4" t="s">
        <v>44</v>
      </c>
      <c r="G245" s="4" t="s">
        <v>45</v>
      </c>
      <c r="H245" s="4" t="s">
        <v>56</v>
      </c>
      <c r="I245" s="4" t="s">
        <v>46</v>
      </c>
      <c r="J245" s="4" t="s">
        <v>47</v>
      </c>
      <c r="K245" s="4">
        <v>6</v>
      </c>
      <c r="L245" s="4">
        <v>3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Z245" t="e">
        <f>VLOOKUP(E245,Sheet2!$A$1:$A$39,1,0)</f>
        <v>#N/A</v>
      </c>
      <c r="AA245">
        <f>VLOOKUP($E245,[1]Sheet1!$E$10:$X$629,AA$9,0)</f>
        <v>0</v>
      </c>
      <c r="AB245">
        <f>VLOOKUP($E245,[1]Sheet1!$E$10:$X$629,AB$9,0)</f>
        <v>0</v>
      </c>
      <c r="AC245">
        <f>VLOOKUP($E245,[1]Sheet1!$E$10:$X$629,AC$9,0)</f>
        <v>0</v>
      </c>
      <c r="AD245">
        <f>VLOOKUP($E245,[1]Sheet1!$E$10:$X$629,AD$9,0)</f>
        <v>0</v>
      </c>
      <c r="AE245">
        <f>VLOOKUP($E245,[1]Sheet1!$E$10:$X$629,AE$9,0)</f>
        <v>0</v>
      </c>
      <c r="AF245">
        <f>VLOOKUP($E245,[1]Sheet1!$E$10:$X$629,AF$9,0)</f>
        <v>0</v>
      </c>
      <c r="AG245">
        <f>VLOOKUP($E245,[1]Sheet1!$E$10:$X$629,AG$9,0)</f>
        <v>0</v>
      </c>
      <c r="AH245">
        <f>VLOOKUP($E245,[1]Sheet1!$E$10:$X$629,AH$9,0)</f>
        <v>0</v>
      </c>
      <c r="AJ245">
        <f t="shared" si="10"/>
        <v>0</v>
      </c>
      <c r="AK245">
        <f t="shared" si="11"/>
        <v>0</v>
      </c>
      <c r="AL245">
        <f t="shared" si="12"/>
        <v>0</v>
      </c>
    </row>
    <row r="246" spans="1:38" ht="39.6" x14ac:dyDescent="0.3">
      <c r="A246" s="4" t="s">
        <v>715</v>
      </c>
      <c r="B246" s="5" t="s">
        <v>716</v>
      </c>
      <c r="C246" s="21" t="s">
        <v>712</v>
      </c>
      <c r="D246" s="20"/>
      <c r="E246" s="4">
        <v>1001725</v>
      </c>
      <c r="F246" s="4" t="s">
        <v>44</v>
      </c>
      <c r="G246" s="4" t="s">
        <v>45</v>
      </c>
      <c r="H246" s="4" t="s">
        <v>56</v>
      </c>
      <c r="I246" s="4" t="s">
        <v>46</v>
      </c>
      <c r="J246" s="4" t="s">
        <v>47</v>
      </c>
      <c r="K246" s="4">
        <v>6</v>
      </c>
      <c r="L246" s="4">
        <v>3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Z246" t="e">
        <f>VLOOKUP(E246,Sheet2!$A$1:$A$39,1,0)</f>
        <v>#N/A</v>
      </c>
      <c r="AA246">
        <f>VLOOKUP($E246,[1]Sheet1!$E$10:$X$629,AA$9,0)</f>
        <v>0</v>
      </c>
      <c r="AB246">
        <f>VLOOKUP($E246,[1]Sheet1!$E$10:$X$629,AB$9,0)</f>
        <v>0</v>
      </c>
      <c r="AC246">
        <f>VLOOKUP($E246,[1]Sheet1!$E$10:$X$629,AC$9,0)</f>
        <v>0</v>
      </c>
      <c r="AD246">
        <f>VLOOKUP($E246,[1]Sheet1!$E$10:$X$629,AD$9,0)</f>
        <v>0</v>
      </c>
      <c r="AE246">
        <f>VLOOKUP($E246,[1]Sheet1!$E$10:$X$629,AE$9,0)</f>
        <v>0</v>
      </c>
      <c r="AF246">
        <f>VLOOKUP($E246,[1]Sheet1!$E$10:$X$629,AF$9,0)</f>
        <v>0</v>
      </c>
      <c r="AG246">
        <f>VLOOKUP($E246,[1]Sheet1!$E$10:$X$629,AG$9,0)</f>
        <v>0</v>
      </c>
      <c r="AH246">
        <f>VLOOKUP($E246,[1]Sheet1!$E$10:$X$629,AH$9,0)</f>
        <v>0</v>
      </c>
      <c r="AJ246">
        <f t="shared" si="10"/>
        <v>0</v>
      </c>
      <c r="AK246">
        <f t="shared" si="11"/>
        <v>0</v>
      </c>
      <c r="AL246">
        <f t="shared" si="12"/>
        <v>0</v>
      </c>
    </row>
    <row r="247" spans="1:38" ht="39.6" x14ac:dyDescent="0.3">
      <c r="A247" s="4" t="s">
        <v>717</v>
      </c>
      <c r="B247" s="5" t="s">
        <v>718</v>
      </c>
      <c r="C247" s="21" t="s">
        <v>712</v>
      </c>
      <c r="D247" s="20"/>
      <c r="E247" s="4">
        <v>1001724</v>
      </c>
      <c r="F247" s="4" t="s">
        <v>44</v>
      </c>
      <c r="G247" s="4" t="s">
        <v>45</v>
      </c>
      <c r="H247" s="4" t="s">
        <v>61</v>
      </c>
      <c r="I247" s="4" t="s">
        <v>46</v>
      </c>
      <c r="J247" s="4" t="s">
        <v>47</v>
      </c>
      <c r="K247" s="4">
        <v>6</v>
      </c>
      <c r="L247" s="4">
        <v>3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Z247" t="e">
        <f>VLOOKUP(E247,Sheet2!$A$1:$A$39,1,0)</f>
        <v>#N/A</v>
      </c>
      <c r="AA247">
        <f>VLOOKUP($E247,[1]Sheet1!$E$10:$X$629,AA$9,0)</f>
        <v>0</v>
      </c>
      <c r="AB247">
        <f>VLOOKUP($E247,[1]Sheet1!$E$10:$X$629,AB$9,0)</f>
        <v>0</v>
      </c>
      <c r="AC247">
        <f>VLOOKUP($E247,[1]Sheet1!$E$10:$X$629,AC$9,0)</f>
        <v>0</v>
      </c>
      <c r="AD247">
        <f>VLOOKUP($E247,[1]Sheet1!$E$10:$X$629,AD$9,0)</f>
        <v>0</v>
      </c>
      <c r="AE247">
        <f>VLOOKUP($E247,[1]Sheet1!$E$10:$X$629,AE$9,0)</f>
        <v>0</v>
      </c>
      <c r="AF247">
        <f>VLOOKUP($E247,[1]Sheet1!$E$10:$X$629,AF$9,0)</f>
        <v>0</v>
      </c>
      <c r="AG247">
        <f>VLOOKUP($E247,[1]Sheet1!$E$10:$X$629,AG$9,0)</f>
        <v>0</v>
      </c>
      <c r="AH247">
        <f>VLOOKUP($E247,[1]Sheet1!$E$10:$X$629,AH$9,0)</f>
        <v>0</v>
      </c>
      <c r="AJ247">
        <f t="shared" si="10"/>
        <v>0</v>
      </c>
      <c r="AK247">
        <f t="shared" si="11"/>
        <v>0</v>
      </c>
      <c r="AL247">
        <f t="shared" si="12"/>
        <v>0</v>
      </c>
    </row>
    <row r="248" spans="1:38" ht="39.6" x14ac:dyDescent="0.3">
      <c r="A248" s="4" t="s">
        <v>719</v>
      </c>
      <c r="B248" s="5" t="s">
        <v>720</v>
      </c>
      <c r="C248" s="21" t="s">
        <v>712</v>
      </c>
      <c r="D248" s="20"/>
      <c r="E248" s="4">
        <v>1001726</v>
      </c>
      <c r="F248" s="4" t="s">
        <v>44</v>
      </c>
      <c r="G248" s="4" t="s">
        <v>45</v>
      </c>
      <c r="H248" s="4" t="s">
        <v>269</v>
      </c>
      <c r="I248" s="4" t="s">
        <v>46</v>
      </c>
      <c r="J248" s="4" t="s">
        <v>47</v>
      </c>
      <c r="K248" s="4">
        <v>6</v>
      </c>
      <c r="L248" s="4">
        <v>3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Z248" t="e">
        <f>VLOOKUP(E248,Sheet2!$A$1:$A$39,1,0)</f>
        <v>#N/A</v>
      </c>
      <c r="AA248">
        <f>VLOOKUP($E248,[1]Sheet1!$E$10:$X$629,AA$9,0)</f>
        <v>0</v>
      </c>
      <c r="AB248">
        <f>VLOOKUP($E248,[1]Sheet1!$E$10:$X$629,AB$9,0)</f>
        <v>0</v>
      </c>
      <c r="AC248">
        <f>VLOOKUP($E248,[1]Sheet1!$E$10:$X$629,AC$9,0)</f>
        <v>0</v>
      </c>
      <c r="AD248">
        <f>VLOOKUP($E248,[1]Sheet1!$E$10:$X$629,AD$9,0)</f>
        <v>0</v>
      </c>
      <c r="AE248">
        <f>VLOOKUP($E248,[1]Sheet1!$E$10:$X$629,AE$9,0)</f>
        <v>0</v>
      </c>
      <c r="AF248">
        <f>VLOOKUP($E248,[1]Sheet1!$E$10:$X$629,AF$9,0)</f>
        <v>0</v>
      </c>
      <c r="AG248">
        <f>VLOOKUP($E248,[1]Sheet1!$E$10:$X$629,AG$9,0)</f>
        <v>0</v>
      </c>
      <c r="AH248">
        <f>VLOOKUP($E248,[1]Sheet1!$E$10:$X$629,AH$9,0)</f>
        <v>0</v>
      </c>
      <c r="AJ248">
        <f t="shared" si="10"/>
        <v>0</v>
      </c>
      <c r="AK248">
        <f t="shared" si="11"/>
        <v>0</v>
      </c>
      <c r="AL248">
        <f t="shared" si="12"/>
        <v>0</v>
      </c>
    </row>
    <row r="249" spans="1:38" ht="39.6" x14ac:dyDescent="0.3">
      <c r="A249" s="4" t="s">
        <v>721</v>
      </c>
      <c r="B249" s="5" t="s">
        <v>722</v>
      </c>
      <c r="C249" s="21" t="s">
        <v>723</v>
      </c>
      <c r="D249" s="20"/>
      <c r="E249" s="4">
        <v>77460</v>
      </c>
      <c r="F249" s="4" t="s">
        <v>44</v>
      </c>
      <c r="G249" s="4" t="s">
        <v>45</v>
      </c>
      <c r="H249" s="4"/>
      <c r="I249" s="4" t="s">
        <v>52</v>
      </c>
      <c r="J249" s="4" t="s">
        <v>724</v>
      </c>
      <c r="K249" s="4">
        <v>0.01</v>
      </c>
      <c r="L249" s="4">
        <v>0.01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Z249" t="e">
        <f>VLOOKUP(E249,Sheet2!$A$1:$A$39,1,0)</f>
        <v>#N/A</v>
      </c>
      <c r="AA249">
        <f>VLOOKUP($E249,[1]Sheet1!$E$10:$X$629,AA$9,0)</f>
        <v>0</v>
      </c>
      <c r="AB249">
        <f>VLOOKUP($E249,[1]Sheet1!$E$10:$X$629,AB$9,0)</f>
        <v>0</v>
      </c>
      <c r="AC249">
        <f>VLOOKUP($E249,[1]Sheet1!$E$10:$X$629,AC$9,0)</f>
        <v>0</v>
      </c>
      <c r="AD249">
        <f>VLOOKUP($E249,[1]Sheet1!$E$10:$X$629,AD$9,0)</f>
        <v>0</v>
      </c>
      <c r="AE249">
        <f>VLOOKUP($E249,[1]Sheet1!$E$10:$X$629,AE$9,0)</f>
        <v>0</v>
      </c>
      <c r="AF249">
        <f>VLOOKUP($E249,[1]Sheet1!$E$10:$X$629,AF$9,0)</f>
        <v>0</v>
      </c>
      <c r="AG249">
        <f>VLOOKUP($E249,[1]Sheet1!$E$10:$X$629,AG$9,0)</f>
        <v>0</v>
      </c>
      <c r="AH249">
        <f>VLOOKUP($E249,[1]Sheet1!$E$10:$X$629,AH$9,0)</f>
        <v>0</v>
      </c>
      <c r="AJ249">
        <f t="shared" si="10"/>
        <v>0</v>
      </c>
      <c r="AK249">
        <f t="shared" si="11"/>
        <v>0</v>
      </c>
      <c r="AL249">
        <f t="shared" si="12"/>
        <v>0</v>
      </c>
    </row>
    <row r="250" spans="1:38" ht="39.6" x14ac:dyDescent="0.3">
      <c r="A250" s="4" t="s">
        <v>725</v>
      </c>
      <c r="B250" s="5" t="s">
        <v>726</v>
      </c>
      <c r="C250" s="21" t="s">
        <v>727</v>
      </c>
      <c r="D250" s="20"/>
      <c r="E250" s="4">
        <v>77477</v>
      </c>
      <c r="F250" s="4" t="s">
        <v>44</v>
      </c>
      <c r="G250" s="4" t="s">
        <v>45</v>
      </c>
      <c r="H250" s="4"/>
      <c r="I250" s="4" t="s">
        <v>46</v>
      </c>
      <c r="J250" s="4" t="s">
        <v>724</v>
      </c>
      <c r="K250" s="4">
        <v>0.01</v>
      </c>
      <c r="L250" s="4">
        <v>0.01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Z250" t="e">
        <f>VLOOKUP(E250,Sheet2!$A$1:$A$39,1,0)</f>
        <v>#N/A</v>
      </c>
      <c r="AA250">
        <f>VLOOKUP($E250,[1]Sheet1!$E$10:$X$629,AA$9,0)</f>
        <v>0</v>
      </c>
      <c r="AB250">
        <f>VLOOKUP($E250,[1]Sheet1!$E$10:$X$629,AB$9,0)</f>
        <v>0</v>
      </c>
      <c r="AC250">
        <f>VLOOKUP($E250,[1]Sheet1!$E$10:$X$629,AC$9,0)</f>
        <v>0</v>
      </c>
      <c r="AD250">
        <f>VLOOKUP($E250,[1]Sheet1!$E$10:$X$629,AD$9,0)</f>
        <v>0</v>
      </c>
      <c r="AE250">
        <f>VLOOKUP($E250,[1]Sheet1!$E$10:$X$629,AE$9,0)</f>
        <v>0</v>
      </c>
      <c r="AF250">
        <f>VLOOKUP($E250,[1]Sheet1!$E$10:$X$629,AF$9,0)</f>
        <v>0</v>
      </c>
      <c r="AG250">
        <f>VLOOKUP($E250,[1]Sheet1!$E$10:$X$629,AG$9,0)</f>
        <v>0</v>
      </c>
      <c r="AH250">
        <f>VLOOKUP($E250,[1]Sheet1!$E$10:$X$629,AH$9,0)</f>
        <v>0</v>
      </c>
      <c r="AJ250">
        <f t="shared" si="10"/>
        <v>0</v>
      </c>
      <c r="AK250">
        <f t="shared" si="11"/>
        <v>0</v>
      </c>
      <c r="AL250">
        <f t="shared" si="12"/>
        <v>0</v>
      </c>
    </row>
    <row r="251" spans="1:38" ht="39.6" x14ac:dyDescent="0.3">
      <c r="A251" s="4" t="s">
        <v>728</v>
      </c>
      <c r="B251" s="5" t="s">
        <v>729</v>
      </c>
      <c r="C251" s="21" t="s">
        <v>730</v>
      </c>
      <c r="D251" s="20"/>
      <c r="E251" s="4">
        <v>1001824</v>
      </c>
      <c r="F251" s="4" t="s">
        <v>44</v>
      </c>
      <c r="G251" s="4" t="s">
        <v>45</v>
      </c>
      <c r="H251" s="4"/>
      <c r="I251" s="4" t="s">
        <v>52</v>
      </c>
      <c r="J251" s="4" t="s">
        <v>724</v>
      </c>
      <c r="K251" s="4">
        <v>22.5</v>
      </c>
      <c r="L251" s="4">
        <v>22.5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Z251" t="e">
        <f>VLOOKUP(E251,Sheet2!$A$1:$A$39,1,0)</f>
        <v>#N/A</v>
      </c>
      <c r="AA251">
        <f>VLOOKUP($E251,[1]Sheet1!$E$10:$X$629,AA$9,0)</f>
        <v>0</v>
      </c>
      <c r="AB251">
        <f>VLOOKUP($E251,[1]Sheet1!$E$10:$X$629,AB$9,0)</f>
        <v>0</v>
      </c>
      <c r="AC251">
        <f>VLOOKUP($E251,[1]Sheet1!$E$10:$X$629,AC$9,0)</f>
        <v>0</v>
      </c>
      <c r="AD251">
        <f>VLOOKUP($E251,[1]Sheet1!$E$10:$X$629,AD$9,0)</f>
        <v>0</v>
      </c>
      <c r="AE251">
        <f>VLOOKUP($E251,[1]Sheet1!$E$10:$X$629,AE$9,0)</f>
        <v>0</v>
      </c>
      <c r="AF251">
        <f>VLOOKUP($E251,[1]Sheet1!$E$10:$X$629,AF$9,0)</f>
        <v>0</v>
      </c>
      <c r="AG251">
        <f>VLOOKUP($E251,[1]Sheet1!$E$10:$X$629,AG$9,0)</f>
        <v>0</v>
      </c>
      <c r="AH251">
        <f>VLOOKUP($E251,[1]Sheet1!$E$10:$X$629,AH$9,0)</f>
        <v>0</v>
      </c>
      <c r="AJ251">
        <f t="shared" si="10"/>
        <v>0</v>
      </c>
      <c r="AK251">
        <f t="shared" si="11"/>
        <v>0</v>
      </c>
      <c r="AL251">
        <f t="shared" si="12"/>
        <v>0</v>
      </c>
    </row>
    <row r="252" spans="1:38" ht="39.6" x14ac:dyDescent="0.3">
      <c r="A252" s="4" t="s">
        <v>731</v>
      </c>
      <c r="B252" s="5" t="s">
        <v>732</v>
      </c>
      <c r="C252" s="21" t="s">
        <v>733</v>
      </c>
      <c r="D252" s="20"/>
      <c r="E252" s="4">
        <v>1001806</v>
      </c>
      <c r="F252" s="4" t="s">
        <v>44</v>
      </c>
      <c r="G252" s="4" t="s">
        <v>45</v>
      </c>
      <c r="H252" s="4"/>
      <c r="I252" s="4" t="s">
        <v>52</v>
      </c>
      <c r="J252" s="4" t="s">
        <v>724</v>
      </c>
      <c r="K252" s="4">
        <v>11.5</v>
      </c>
      <c r="L252" s="4">
        <v>5.75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Z252" t="e">
        <f>VLOOKUP(E252,Sheet2!$A$1:$A$39,1,0)</f>
        <v>#N/A</v>
      </c>
      <c r="AA252">
        <f>VLOOKUP($E252,[1]Sheet1!$E$10:$X$629,AA$9,0)</f>
        <v>0</v>
      </c>
      <c r="AB252">
        <f>VLOOKUP($E252,[1]Sheet1!$E$10:$X$629,AB$9,0)</f>
        <v>0</v>
      </c>
      <c r="AC252">
        <f>VLOOKUP($E252,[1]Sheet1!$E$10:$X$629,AC$9,0)</f>
        <v>0</v>
      </c>
      <c r="AD252">
        <f>VLOOKUP($E252,[1]Sheet1!$E$10:$X$629,AD$9,0)</f>
        <v>0</v>
      </c>
      <c r="AE252">
        <f>VLOOKUP($E252,[1]Sheet1!$E$10:$X$629,AE$9,0)</f>
        <v>0</v>
      </c>
      <c r="AF252">
        <f>VLOOKUP($E252,[1]Sheet1!$E$10:$X$629,AF$9,0)</f>
        <v>0</v>
      </c>
      <c r="AG252">
        <f>VLOOKUP($E252,[1]Sheet1!$E$10:$X$629,AG$9,0)</f>
        <v>0</v>
      </c>
      <c r="AH252">
        <f>VLOOKUP($E252,[1]Sheet1!$E$10:$X$629,AH$9,0)</f>
        <v>0</v>
      </c>
      <c r="AJ252">
        <f t="shared" si="10"/>
        <v>0</v>
      </c>
      <c r="AK252">
        <f t="shared" si="11"/>
        <v>0</v>
      </c>
      <c r="AL252">
        <f t="shared" si="12"/>
        <v>0</v>
      </c>
    </row>
    <row r="253" spans="1:38" ht="39.6" x14ac:dyDescent="0.3">
      <c r="A253" s="4" t="s">
        <v>734</v>
      </c>
      <c r="B253" s="5" t="s">
        <v>735</v>
      </c>
      <c r="C253" s="21" t="s">
        <v>733</v>
      </c>
      <c r="D253" s="20"/>
      <c r="E253" s="4">
        <v>1001820</v>
      </c>
      <c r="F253" s="4" t="s">
        <v>44</v>
      </c>
      <c r="G253" s="4" t="s">
        <v>45</v>
      </c>
      <c r="H253" s="4"/>
      <c r="I253" s="4" t="s">
        <v>52</v>
      </c>
      <c r="J253" s="4" t="s">
        <v>724</v>
      </c>
      <c r="K253" s="4">
        <v>11.5</v>
      </c>
      <c r="L253" s="4">
        <v>5.75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Z253" t="e">
        <f>VLOOKUP(E253,Sheet2!$A$1:$A$39,1,0)</f>
        <v>#N/A</v>
      </c>
      <c r="AA253">
        <f>VLOOKUP($E253,[1]Sheet1!$E$10:$X$629,AA$9,0)</f>
        <v>0</v>
      </c>
      <c r="AB253">
        <f>VLOOKUP($E253,[1]Sheet1!$E$10:$X$629,AB$9,0)</f>
        <v>0</v>
      </c>
      <c r="AC253">
        <f>VLOOKUP($E253,[1]Sheet1!$E$10:$X$629,AC$9,0)</f>
        <v>0</v>
      </c>
      <c r="AD253">
        <f>VLOOKUP($E253,[1]Sheet1!$E$10:$X$629,AD$9,0)</f>
        <v>0</v>
      </c>
      <c r="AE253">
        <f>VLOOKUP($E253,[1]Sheet1!$E$10:$X$629,AE$9,0)</f>
        <v>0</v>
      </c>
      <c r="AF253">
        <f>VLOOKUP($E253,[1]Sheet1!$E$10:$X$629,AF$9,0)</f>
        <v>0</v>
      </c>
      <c r="AG253">
        <f>VLOOKUP($E253,[1]Sheet1!$E$10:$X$629,AG$9,0)</f>
        <v>0</v>
      </c>
      <c r="AH253">
        <f>VLOOKUP($E253,[1]Sheet1!$E$10:$X$629,AH$9,0)</f>
        <v>0</v>
      </c>
      <c r="AJ253">
        <f t="shared" si="10"/>
        <v>0</v>
      </c>
      <c r="AK253">
        <f t="shared" si="11"/>
        <v>0</v>
      </c>
      <c r="AL253">
        <f t="shared" si="12"/>
        <v>0</v>
      </c>
    </row>
    <row r="254" spans="1:38" ht="39.6" x14ac:dyDescent="0.3">
      <c r="A254" s="4" t="s">
        <v>736</v>
      </c>
      <c r="B254" s="5" t="s">
        <v>737</v>
      </c>
      <c r="C254" s="21" t="s">
        <v>738</v>
      </c>
      <c r="D254" s="20"/>
      <c r="E254" s="4">
        <v>1001764</v>
      </c>
      <c r="F254" s="4" t="s">
        <v>44</v>
      </c>
      <c r="G254" s="4" t="s">
        <v>45</v>
      </c>
      <c r="H254" s="4"/>
      <c r="I254" s="4" t="s">
        <v>52</v>
      </c>
      <c r="J254" s="4" t="s">
        <v>724</v>
      </c>
      <c r="K254" s="4">
        <v>12.5</v>
      </c>
      <c r="L254" s="4">
        <v>6.25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Z254" t="e">
        <f>VLOOKUP(E254,Sheet2!$A$1:$A$39,1,0)</f>
        <v>#N/A</v>
      </c>
      <c r="AA254">
        <f>VLOOKUP($E254,[1]Sheet1!$E$10:$X$629,AA$9,0)</f>
        <v>0</v>
      </c>
      <c r="AB254">
        <f>VLOOKUP($E254,[1]Sheet1!$E$10:$X$629,AB$9,0)</f>
        <v>0</v>
      </c>
      <c r="AC254">
        <f>VLOOKUP($E254,[1]Sheet1!$E$10:$X$629,AC$9,0)</f>
        <v>0</v>
      </c>
      <c r="AD254">
        <f>VLOOKUP($E254,[1]Sheet1!$E$10:$X$629,AD$9,0)</f>
        <v>0</v>
      </c>
      <c r="AE254">
        <f>VLOOKUP($E254,[1]Sheet1!$E$10:$X$629,AE$9,0)</f>
        <v>0</v>
      </c>
      <c r="AF254">
        <f>VLOOKUP($E254,[1]Sheet1!$E$10:$X$629,AF$9,0)</f>
        <v>0</v>
      </c>
      <c r="AG254">
        <f>VLOOKUP($E254,[1]Sheet1!$E$10:$X$629,AG$9,0)</f>
        <v>0</v>
      </c>
      <c r="AH254">
        <f>VLOOKUP($E254,[1]Sheet1!$E$10:$X$629,AH$9,0)</f>
        <v>0</v>
      </c>
      <c r="AJ254">
        <f t="shared" si="10"/>
        <v>0</v>
      </c>
      <c r="AK254">
        <f t="shared" si="11"/>
        <v>0</v>
      </c>
      <c r="AL254">
        <f t="shared" si="12"/>
        <v>0</v>
      </c>
    </row>
    <row r="255" spans="1:38" ht="39.6" x14ac:dyDescent="0.3">
      <c r="A255" s="4" t="s">
        <v>739</v>
      </c>
      <c r="B255" s="5" t="s">
        <v>740</v>
      </c>
      <c r="C255" s="21" t="s">
        <v>741</v>
      </c>
      <c r="D255" s="20"/>
      <c r="E255" s="4">
        <v>1001804</v>
      </c>
      <c r="F255" s="4" t="s">
        <v>44</v>
      </c>
      <c r="G255" s="4" t="s">
        <v>45</v>
      </c>
      <c r="H255" s="4"/>
      <c r="I255" s="4" t="s">
        <v>46</v>
      </c>
      <c r="J255" s="4" t="s">
        <v>724</v>
      </c>
      <c r="K255" s="4">
        <v>12.5</v>
      </c>
      <c r="L255" s="4">
        <v>6.25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Z255" t="e">
        <f>VLOOKUP(E255,Sheet2!$A$1:$A$39,1,0)</f>
        <v>#N/A</v>
      </c>
      <c r="AA255">
        <f>VLOOKUP($E255,[1]Sheet1!$E$10:$X$629,AA$9,0)</f>
        <v>0</v>
      </c>
      <c r="AB255">
        <f>VLOOKUP($E255,[1]Sheet1!$E$10:$X$629,AB$9,0)</f>
        <v>0</v>
      </c>
      <c r="AC255">
        <f>VLOOKUP($E255,[1]Sheet1!$E$10:$X$629,AC$9,0)</f>
        <v>0</v>
      </c>
      <c r="AD255">
        <f>VLOOKUP($E255,[1]Sheet1!$E$10:$X$629,AD$9,0)</f>
        <v>0</v>
      </c>
      <c r="AE255">
        <f>VLOOKUP($E255,[1]Sheet1!$E$10:$X$629,AE$9,0)</f>
        <v>0</v>
      </c>
      <c r="AF255">
        <f>VLOOKUP($E255,[1]Sheet1!$E$10:$X$629,AF$9,0)</f>
        <v>0</v>
      </c>
      <c r="AG255">
        <f>VLOOKUP($E255,[1]Sheet1!$E$10:$X$629,AG$9,0)</f>
        <v>0</v>
      </c>
      <c r="AH255">
        <f>VLOOKUP($E255,[1]Sheet1!$E$10:$X$629,AH$9,0)</f>
        <v>0</v>
      </c>
      <c r="AJ255">
        <f t="shared" si="10"/>
        <v>0</v>
      </c>
      <c r="AK255">
        <f t="shared" si="11"/>
        <v>0</v>
      </c>
      <c r="AL255">
        <f t="shared" si="12"/>
        <v>0</v>
      </c>
    </row>
    <row r="256" spans="1:38" ht="39.6" x14ac:dyDescent="0.3">
      <c r="A256" s="4" t="s">
        <v>742</v>
      </c>
      <c r="B256" s="5" t="s">
        <v>743</v>
      </c>
      <c r="C256" s="21" t="s">
        <v>744</v>
      </c>
      <c r="D256" s="20"/>
      <c r="E256" s="4">
        <v>1001765</v>
      </c>
      <c r="F256" s="4" t="s">
        <v>44</v>
      </c>
      <c r="G256" s="4" t="s">
        <v>45</v>
      </c>
      <c r="H256" s="4"/>
      <c r="I256" s="4" t="s">
        <v>46</v>
      </c>
      <c r="J256" s="4" t="s">
        <v>724</v>
      </c>
      <c r="K256" s="4">
        <v>12.5</v>
      </c>
      <c r="L256" s="4">
        <v>12.5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Z256" t="e">
        <f>VLOOKUP(E256,Sheet2!$A$1:$A$39,1,0)</f>
        <v>#N/A</v>
      </c>
      <c r="AA256">
        <f>VLOOKUP($E256,[1]Sheet1!$E$10:$X$629,AA$9,0)</f>
        <v>0</v>
      </c>
      <c r="AB256">
        <f>VLOOKUP($E256,[1]Sheet1!$E$10:$X$629,AB$9,0)</f>
        <v>0</v>
      </c>
      <c r="AC256">
        <f>VLOOKUP($E256,[1]Sheet1!$E$10:$X$629,AC$9,0)</f>
        <v>0</v>
      </c>
      <c r="AD256">
        <f>VLOOKUP($E256,[1]Sheet1!$E$10:$X$629,AD$9,0)</f>
        <v>0</v>
      </c>
      <c r="AE256">
        <f>VLOOKUP($E256,[1]Sheet1!$E$10:$X$629,AE$9,0)</f>
        <v>0</v>
      </c>
      <c r="AF256">
        <f>VLOOKUP($E256,[1]Sheet1!$E$10:$X$629,AF$9,0)</f>
        <v>0</v>
      </c>
      <c r="AG256">
        <f>VLOOKUP($E256,[1]Sheet1!$E$10:$X$629,AG$9,0)</f>
        <v>0</v>
      </c>
      <c r="AH256">
        <f>VLOOKUP($E256,[1]Sheet1!$E$10:$X$629,AH$9,0)</f>
        <v>0</v>
      </c>
      <c r="AJ256">
        <f t="shared" si="10"/>
        <v>0</v>
      </c>
      <c r="AK256">
        <f t="shared" si="11"/>
        <v>0</v>
      </c>
      <c r="AL256">
        <f t="shared" si="12"/>
        <v>0</v>
      </c>
    </row>
    <row r="257" spans="1:38" ht="39.6" x14ac:dyDescent="0.3">
      <c r="A257" s="4" t="s">
        <v>745</v>
      </c>
      <c r="B257" s="5" t="s">
        <v>746</v>
      </c>
      <c r="C257" s="21" t="s">
        <v>747</v>
      </c>
      <c r="D257" s="20"/>
      <c r="E257" s="4">
        <v>1001829</v>
      </c>
      <c r="F257" s="4" t="s">
        <v>44</v>
      </c>
      <c r="G257" s="4" t="s">
        <v>45</v>
      </c>
      <c r="H257" s="4" t="s">
        <v>61</v>
      </c>
      <c r="I257" s="4" t="s">
        <v>57</v>
      </c>
      <c r="J257" s="4" t="s">
        <v>47</v>
      </c>
      <c r="K257" s="4">
        <v>7.5</v>
      </c>
      <c r="L257" s="4">
        <v>15</v>
      </c>
      <c r="M257" s="5">
        <v>144</v>
      </c>
      <c r="N257" s="5">
        <v>288</v>
      </c>
      <c r="O257" s="5">
        <v>432</v>
      </c>
      <c r="P257" s="5">
        <v>144</v>
      </c>
      <c r="Q257" s="5">
        <v>288</v>
      </c>
      <c r="R257" s="5">
        <v>288</v>
      </c>
      <c r="S257" s="5">
        <v>432</v>
      </c>
      <c r="T257" s="5">
        <v>288</v>
      </c>
      <c r="U257" s="5">
        <v>288</v>
      </c>
      <c r="V257" s="5">
        <v>432</v>
      </c>
      <c r="W257" s="5">
        <v>432</v>
      </c>
      <c r="X257" s="5">
        <v>288</v>
      </c>
      <c r="Z257" t="e">
        <f>VLOOKUP(E257,Sheet2!$A$1:$A$39,1,0)</f>
        <v>#N/A</v>
      </c>
      <c r="AA257">
        <f>VLOOKUP($E257,[1]Sheet1!$E$10:$X$629,AA$9,0)</f>
        <v>288</v>
      </c>
      <c r="AB257">
        <f>VLOOKUP($E257,[1]Sheet1!$E$10:$X$629,AB$9,0)</f>
        <v>144</v>
      </c>
      <c r="AC257">
        <f>VLOOKUP($E257,[1]Sheet1!$E$10:$X$629,AC$9,0)</f>
        <v>432</v>
      </c>
      <c r="AD257">
        <f>VLOOKUP($E257,[1]Sheet1!$E$10:$X$629,AD$9,0)</f>
        <v>432</v>
      </c>
      <c r="AE257">
        <f>VLOOKUP($E257,[1]Sheet1!$E$10:$X$629,AE$9,0)</f>
        <v>144</v>
      </c>
      <c r="AF257">
        <f>VLOOKUP($E257,[1]Sheet1!$E$10:$X$629,AF$9,0)</f>
        <v>432</v>
      </c>
      <c r="AG257">
        <f>VLOOKUP($E257,[1]Sheet1!$E$10:$X$629,AG$9,0)</f>
        <v>432</v>
      </c>
      <c r="AH257">
        <f>VLOOKUP($E257,[1]Sheet1!$E$10:$X$629,AH$9,0)</f>
        <v>0</v>
      </c>
      <c r="AJ257">
        <f t="shared" si="10"/>
        <v>2304</v>
      </c>
      <c r="AK257">
        <f t="shared" si="11"/>
        <v>2304</v>
      </c>
      <c r="AL257">
        <f t="shared" si="12"/>
        <v>0</v>
      </c>
    </row>
    <row r="258" spans="1:38" ht="39.6" x14ac:dyDescent="0.3">
      <c r="A258" s="4" t="s">
        <v>748</v>
      </c>
      <c r="B258" s="5" t="s">
        <v>749</v>
      </c>
      <c r="C258" s="21" t="s">
        <v>750</v>
      </c>
      <c r="D258" s="20"/>
      <c r="E258" s="4">
        <v>1001831</v>
      </c>
      <c r="F258" s="4" t="s">
        <v>44</v>
      </c>
      <c r="G258" s="4" t="s">
        <v>45</v>
      </c>
      <c r="H258" s="4" t="s">
        <v>269</v>
      </c>
      <c r="I258" s="4" t="s">
        <v>57</v>
      </c>
      <c r="J258" s="4" t="s">
        <v>47</v>
      </c>
      <c r="K258" s="4">
        <v>7.5</v>
      </c>
      <c r="L258" s="4">
        <v>15</v>
      </c>
      <c r="M258" s="5">
        <v>1440</v>
      </c>
      <c r="N258" s="5">
        <v>288</v>
      </c>
      <c r="O258" s="5">
        <v>144</v>
      </c>
      <c r="P258" s="5">
        <v>720</v>
      </c>
      <c r="Q258" s="5">
        <v>432</v>
      </c>
      <c r="R258" s="5">
        <v>1008</v>
      </c>
      <c r="S258" s="5">
        <v>1152</v>
      </c>
      <c r="T258" s="5">
        <v>1008</v>
      </c>
      <c r="U258" s="5">
        <v>1728</v>
      </c>
      <c r="V258" s="5">
        <v>2016</v>
      </c>
      <c r="W258" s="5">
        <v>864</v>
      </c>
      <c r="X258" s="5">
        <v>2016</v>
      </c>
      <c r="Z258" t="e">
        <f>VLOOKUP(E258,Sheet2!$A$1:$A$39,1,0)</f>
        <v>#N/A</v>
      </c>
      <c r="AA258">
        <f>VLOOKUP($E258,[1]Sheet1!$E$10:$X$629,AA$9,0)</f>
        <v>1152</v>
      </c>
      <c r="AB258">
        <f>VLOOKUP($E258,[1]Sheet1!$E$10:$X$629,AB$9,0)</f>
        <v>1296</v>
      </c>
      <c r="AC258">
        <f>VLOOKUP($E258,[1]Sheet1!$E$10:$X$629,AC$9,0)</f>
        <v>1440</v>
      </c>
      <c r="AD258">
        <f>VLOOKUP($E258,[1]Sheet1!$E$10:$X$629,AD$9,0)</f>
        <v>1296</v>
      </c>
      <c r="AE258">
        <f>VLOOKUP($E258,[1]Sheet1!$E$10:$X$629,AE$9,0)</f>
        <v>1296</v>
      </c>
      <c r="AF258">
        <f>VLOOKUP($E258,[1]Sheet1!$E$10:$X$629,AF$9,0)</f>
        <v>1728</v>
      </c>
      <c r="AG258">
        <f>VLOOKUP($E258,[1]Sheet1!$E$10:$X$629,AG$9,0)</f>
        <v>1296</v>
      </c>
      <c r="AH258">
        <f>VLOOKUP($E258,[1]Sheet1!$E$10:$X$629,AH$9,0)</f>
        <v>720</v>
      </c>
      <c r="AJ258">
        <f t="shared" si="10"/>
        <v>6192</v>
      </c>
      <c r="AK258">
        <f t="shared" si="11"/>
        <v>10224</v>
      </c>
      <c r="AL258">
        <f t="shared" si="12"/>
        <v>-4032</v>
      </c>
    </row>
    <row r="259" spans="1:38" ht="39.6" x14ac:dyDescent="0.3">
      <c r="A259" s="4" t="s">
        <v>751</v>
      </c>
      <c r="B259" s="5" t="s">
        <v>752</v>
      </c>
      <c r="C259" s="21" t="s">
        <v>753</v>
      </c>
      <c r="D259" s="20"/>
      <c r="E259" s="4">
        <v>1002027</v>
      </c>
      <c r="F259" s="4" t="s">
        <v>44</v>
      </c>
      <c r="G259" s="4" t="s">
        <v>45</v>
      </c>
      <c r="H259" s="4" t="s">
        <v>269</v>
      </c>
      <c r="I259" s="4" t="s">
        <v>46</v>
      </c>
      <c r="J259" s="4" t="s">
        <v>47</v>
      </c>
      <c r="K259" s="4">
        <v>7.5</v>
      </c>
      <c r="L259" s="4">
        <v>3.75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Z259" t="e">
        <f>VLOOKUP(E259,Sheet2!$A$1:$A$39,1,0)</f>
        <v>#N/A</v>
      </c>
      <c r="AA259">
        <f>VLOOKUP($E259,[1]Sheet1!$E$10:$X$629,AA$9,0)</f>
        <v>0</v>
      </c>
      <c r="AB259">
        <f>VLOOKUP($E259,[1]Sheet1!$E$10:$X$629,AB$9,0)</f>
        <v>0</v>
      </c>
      <c r="AC259">
        <f>VLOOKUP($E259,[1]Sheet1!$E$10:$X$629,AC$9,0)</f>
        <v>0</v>
      </c>
      <c r="AD259">
        <f>VLOOKUP($E259,[1]Sheet1!$E$10:$X$629,AD$9,0)</f>
        <v>0</v>
      </c>
      <c r="AE259">
        <f>VLOOKUP($E259,[1]Sheet1!$E$10:$X$629,AE$9,0)</f>
        <v>0</v>
      </c>
      <c r="AF259">
        <f>VLOOKUP($E259,[1]Sheet1!$E$10:$X$629,AF$9,0)</f>
        <v>0</v>
      </c>
      <c r="AG259">
        <f>VLOOKUP($E259,[1]Sheet1!$E$10:$X$629,AG$9,0)</f>
        <v>0</v>
      </c>
      <c r="AH259">
        <f>VLOOKUP($E259,[1]Sheet1!$E$10:$X$629,AH$9,0)</f>
        <v>0</v>
      </c>
      <c r="AJ259">
        <f t="shared" si="10"/>
        <v>0</v>
      </c>
      <c r="AK259">
        <f t="shared" si="11"/>
        <v>0</v>
      </c>
      <c r="AL259">
        <f t="shared" si="12"/>
        <v>0</v>
      </c>
    </row>
    <row r="260" spans="1:38" ht="39.6" x14ac:dyDescent="0.3">
      <c r="A260" s="4" t="s">
        <v>754</v>
      </c>
      <c r="B260" s="5" t="s">
        <v>755</v>
      </c>
      <c r="C260" s="21" t="s">
        <v>756</v>
      </c>
      <c r="D260" s="20"/>
      <c r="E260" s="4">
        <v>1002026</v>
      </c>
      <c r="F260" s="4" t="s">
        <v>44</v>
      </c>
      <c r="G260" s="4" t="s">
        <v>45</v>
      </c>
      <c r="H260" s="4" t="s">
        <v>56</v>
      </c>
      <c r="I260" s="4" t="s">
        <v>52</v>
      </c>
      <c r="J260" s="4" t="s">
        <v>47</v>
      </c>
      <c r="K260" s="4">
        <v>7.5</v>
      </c>
      <c r="L260" s="4">
        <v>15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Z260" t="e">
        <f>VLOOKUP(E260,Sheet2!$A$1:$A$39,1,0)</f>
        <v>#N/A</v>
      </c>
      <c r="AA260">
        <f>VLOOKUP($E260,[1]Sheet1!$E$10:$X$629,AA$9,0)</f>
        <v>0</v>
      </c>
      <c r="AB260">
        <f>VLOOKUP($E260,[1]Sheet1!$E$10:$X$629,AB$9,0)</f>
        <v>0</v>
      </c>
      <c r="AC260">
        <f>VLOOKUP($E260,[1]Sheet1!$E$10:$X$629,AC$9,0)</f>
        <v>0</v>
      </c>
      <c r="AD260">
        <f>VLOOKUP($E260,[1]Sheet1!$E$10:$X$629,AD$9,0)</f>
        <v>0</v>
      </c>
      <c r="AE260">
        <f>VLOOKUP($E260,[1]Sheet1!$E$10:$X$629,AE$9,0)</f>
        <v>0</v>
      </c>
      <c r="AF260">
        <f>VLOOKUP($E260,[1]Sheet1!$E$10:$X$629,AF$9,0)</f>
        <v>0</v>
      </c>
      <c r="AG260">
        <f>VLOOKUP($E260,[1]Sheet1!$E$10:$X$629,AG$9,0)</f>
        <v>0</v>
      </c>
      <c r="AH260">
        <f>VLOOKUP($E260,[1]Sheet1!$E$10:$X$629,AH$9,0)</f>
        <v>0</v>
      </c>
      <c r="AJ260">
        <f t="shared" si="10"/>
        <v>0</v>
      </c>
      <c r="AK260">
        <f t="shared" si="11"/>
        <v>0</v>
      </c>
      <c r="AL260">
        <f t="shared" si="12"/>
        <v>0</v>
      </c>
    </row>
    <row r="261" spans="1:38" ht="39.6" x14ac:dyDescent="0.3">
      <c r="A261" s="4" t="s">
        <v>757</v>
      </c>
      <c r="B261" s="5" t="s">
        <v>758</v>
      </c>
      <c r="C261" s="21" t="s">
        <v>759</v>
      </c>
      <c r="D261" s="20"/>
      <c r="E261" s="4">
        <v>1002028</v>
      </c>
      <c r="F261" s="4" t="s">
        <v>44</v>
      </c>
      <c r="G261" s="4" t="s">
        <v>45</v>
      </c>
      <c r="H261" s="4" t="s">
        <v>61</v>
      </c>
      <c r="I261" s="4" t="s">
        <v>52</v>
      </c>
      <c r="J261" s="4" t="s">
        <v>47</v>
      </c>
      <c r="K261" s="4">
        <v>7.5</v>
      </c>
      <c r="L261" s="4">
        <v>15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Z261" t="e">
        <f>VLOOKUP(E261,Sheet2!$A$1:$A$39,1,0)</f>
        <v>#N/A</v>
      </c>
      <c r="AA261">
        <f>VLOOKUP($E261,[1]Sheet1!$E$10:$X$629,AA$9,0)</f>
        <v>0</v>
      </c>
      <c r="AB261">
        <f>VLOOKUP($E261,[1]Sheet1!$E$10:$X$629,AB$9,0)</f>
        <v>0</v>
      </c>
      <c r="AC261">
        <f>VLOOKUP($E261,[1]Sheet1!$E$10:$X$629,AC$9,0)</f>
        <v>0</v>
      </c>
      <c r="AD261">
        <f>VLOOKUP($E261,[1]Sheet1!$E$10:$X$629,AD$9,0)</f>
        <v>0</v>
      </c>
      <c r="AE261">
        <f>VLOOKUP($E261,[1]Sheet1!$E$10:$X$629,AE$9,0)</f>
        <v>0</v>
      </c>
      <c r="AF261">
        <f>VLOOKUP($E261,[1]Sheet1!$E$10:$X$629,AF$9,0)</f>
        <v>0</v>
      </c>
      <c r="AG261">
        <f>VLOOKUP($E261,[1]Sheet1!$E$10:$X$629,AG$9,0)</f>
        <v>0</v>
      </c>
      <c r="AH261">
        <f>VLOOKUP($E261,[1]Sheet1!$E$10:$X$629,AH$9,0)</f>
        <v>0</v>
      </c>
      <c r="AJ261">
        <f t="shared" si="10"/>
        <v>0</v>
      </c>
      <c r="AK261">
        <f t="shared" si="11"/>
        <v>0</v>
      </c>
      <c r="AL261">
        <f t="shared" si="12"/>
        <v>0</v>
      </c>
    </row>
    <row r="262" spans="1:38" ht="39.6" x14ac:dyDescent="0.3">
      <c r="A262" s="4" t="s">
        <v>760</v>
      </c>
      <c r="B262" s="5" t="s">
        <v>761</v>
      </c>
      <c r="C262" s="21" t="s">
        <v>762</v>
      </c>
      <c r="D262" s="20"/>
      <c r="E262" s="4">
        <v>1001830</v>
      </c>
      <c r="F262" s="4" t="s">
        <v>44</v>
      </c>
      <c r="G262" s="4" t="s">
        <v>45</v>
      </c>
      <c r="H262" s="4" t="s">
        <v>61</v>
      </c>
      <c r="I262" s="4" t="s">
        <v>57</v>
      </c>
      <c r="J262" s="4" t="s">
        <v>47</v>
      </c>
      <c r="K262" s="4">
        <v>7.5</v>
      </c>
      <c r="L262" s="4">
        <v>15</v>
      </c>
      <c r="M262" s="5">
        <v>432</v>
      </c>
      <c r="N262" s="5">
        <v>144</v>
      </c>
      <c r="O262" s="5">
        <v>144</v>
      </c>
      <c r="P262" s="5">
        <v>432</v>
      </c>
      <c r="Q262" s="5">
        <v>144</v>
      </c>
      <c r="R262" s="5">
        <v>144</v>
      </c>
      <c r="S262" s="5">
        <v>576</v>
      </c>
      <c r="T262" s="5">
        <v>0</v>
      </c>
      <c r="U262" s="5">
        <v>432</v>
      </c>
      <c r="V262" s="5">
        <v>432</v>
      </c>
      <c r="W262" s="5">
        <v>288</v>
      </c>
      <c r="X262" s="5">
        <v>432</v>
      </c>
      <c r="Z262" t="e">
        <f>VLOOKUP(E262,Sheet2!$A$1:$A$39,1,0)</f>
        <v>#N/A</v>
      </c>
      <c r="AA262">
        <f>VLOOKUP($E262,[1]Sheet1!$E$10:$X$629,AA$9,0)</f>
        <v>144</v>
      </c>
      <c r="AB262">
        <f>VLOOKUP($E262,[1]Sheet1!$E$10:$X$629,AB$9,0)</f>
        <v>288</v>
      </c>
      <c r="AC262">
        <f>VLOOKUP($E262,[1]Sheet1!$E$10:$X$629,AC$9,0)</f>
        <v>432</v>
      </c>
      <c r="AD262">
        <f>VLOOKUP($E262,[1]Sheet1!$E$10:$X$629,AD$9,0)</f>
        <v>144</v>
      </c>
      <c r="AE262">
        <f>VLOOKUP($E262,[1]Sheet1!$E$10:$X$629,AE$9,0)</f>
        <v>144</v>
      </c>
      <c r="AF262">
        <f>VLOOKUP($E262,[1]Sheet1!$E$10:$X$629,AF$9,0)</f>
        <v>576</v>
      </c>
      <c r="AG262">
        <f>VLOOKUP($E262,[1]Sheet1!$E$10:$X$629,AG$9,0)</f>
        <v>0</v>
      </c>
      <c r="AH262">
        <f>VLOOKUP($E262,[1]Sheet1!$E$10:$X$629,AH$9,0)</f>
        <v>432</v>
      </c>
      <c r="AJ262">
        <f t="shared" si="10"/>
        <v>2016</v>
      </c>
      <c r="AK262">
        <f t="shared" si="11"/>
        <v>2160</v>
      </c>
      <c r="AL262">
        <f t="shared" si="12"/>
        <v>-144</v>
      </c>
    </row>
    <row r="263" spans="1:38" ht="39.6" x14ac:dyDescent="0.3">
      <c r="A263" s="4" t="s">
        <v>763</v>
      </c>
      <c r="B263" s="5" t="s">
        <v>764</v>
      </c>
      <c r="C263" s="21" t="s">
        <v>765</v>
      </c>
      <c r="D263" s="20"/>
      <c r="E263" s="4">
        <v>1002041</v>
      </c>
      <c r="F263" s="4" t="s">
        <v>44</v>
      </c>
      <c r="G263" s="4" t="s">
        <v>45</v>
      </c>
      <c r="H263" s="4" t="s">
        <v>615</v>
      </c>
      <c r="I263" s="4" t="s">
        <v>57</v>
      </c>
      <c r="J263" s="4" t="s">
        <v>47</v>
      </c>
      <c r="K263" s="4">
        <v>19</v>
      </c>
      <c r="L263" s="4">
        <v>38</v>
      </c>
      <c r="M263" s="5">
        <v>3312</v>
      </c>
      <c r="N263" s="5">
        <v>5280</v>
      </c>
      <c r="O263" s="5">
        <v>5616</v>
      </c>
      <c r="P263" s="5">
        <v>4224</v>
      </c>
      <c r="Q263" s="5">
        <v>3360</v>
      </c>
      <c r="R263" s="5">
        <v>3792</v>
      </c>
      <c r="S263" s="5">
        <v>3600</v>
      </c>
      <c r="T263" s="5">
        <v>5616</v>
      </c>
      <c r="U263" s="5">
        <v>7824</v>
      </c>
      <c r="V263" s="5">
        <v>7968</v>
      </c>
      <c r="W263" s="5">
        <v>3168</v>
      </c>
      <c r="X263" s="5">
        <v>8016</v>
      </c>
      <c r="Z263" t="e">
        <f>VLOOKUP(E263,Sheet2!$A$1:$A$39,1,0)</f>
        <v>#N/A</v>
      </c>
      <c r="AA263">
        <f>VLOOKUP($E263,[1]Sheet1!$E$10:$X$629,AA$9,0)</f>
        <v>2400</v>
      </c>
      <c r="AB263">
        <f>VLOOKUP($E263,[1]Sheet1!$E$10:$X$629,AB$9,0)</f>
        <v>3072</v>
      </c>
      <c r="AC263">
        <f>VLOOKUP($E263,[1]Sheet1!$E$10:$X$629,AC$9,0)</f>
        <v>3456</v>
      </c>
      <c r="AD263">
        <f>VLOOKUP($E263,[1]Sheet1!$E$10:$X$629,AD$9,0)</f>
        <v>2688</v>
      </c>
      <c r="AE263">
        <f>VLOOKUP($E263,[1]Sheet1!$E$10:$X$629,AE$9,0)</f>
        <v>1920</v>
      </c>
      <c r="AF263">
        <f>VLOOKUP($E263,[1]Sheet1!$E$10:$X$629,AF$9,0)</f>
        <v>2352</v>
      </c>
      <c r="AG263">
        <f>VLOOKUP($E263,[1]Sheet1!$E$10:$X$629,AG$9,0)</f>
        <v>2064</v>
      </c>
      <c r="AH263">
        <f>VLOOKUP($E263,[1]Sheet1!$E$10:$X$629,AH$9,0)</f>
        <v>1008</v>
      </c>
      <c r="AJ263">
        <f t="shared" si="10"/>
        <v>34800</v>
      </c>
      <c r="AK263">
        <f t="shared" si="11"/>
        <v>18960</v>
      </c>
      <c r="AL263">
        <f t="shared" si="12"/>
        <v>15840</v>
      </c>
    </row>
    <row r="264" spans="1:38" ht="39.6" x14ac:dyDescent="0.3">
      <c r="A264" s="4" t="s">
        <v>766</v>
      </c>
      <c r="B264" s="5" t="s">
        <v>767</v>
      </c>
      <c r="C264" s="21" t="s">
        <v>768</v>
      </c>
      <c r="D264" s="20"/>
      <c r="E264" s="4">
        <v>1002107</v>
      </c>
      <c r="F264" s="4" t="s">
        <v>44</v>
      </c>
      <c r="G264" s="4" t="s">
        <v>45</v>
      </c>
      <c r="H264" s="4" t="s">
        <v>56</v>
      </c>
      <c r="I264" s="4" t="s">
        <v>57</v>
      </c>
      <c r="J264" s="4" t="s">
        <v>47</v>
      </c>
      <c r="K264" s="4">
        <v>12.5</v>
      </c>
      <c r="L264" s="4">
        <v>25</v>
      </c>
      <c r="M264" s="5">
        <v>192</v>
      </c>
      <c r="N264" s="5">
        <v>672</v>
      </c>
      <c r="O264" s="5">
        <v>672</v>
      </c>
      <c r="P264" s="5">
        <v>480</v>
      </c>
      <c r="Q264" s="5">
        <v>864</v>
      </c>
      <c r="R264" s="5">
        <v>768</v>
      </c>
      <c r="S264" s="5">
        <v>768</v>
      </c>
      <c r="T264" s="5">
        <v>480</v>
      </c>
      <c r="U264" s="5">
        <v>1248</v>
      </c>
      <c r="V264" s="5">
        <v>1536</v>
      </c>
      <c r="W264" s="5">
        <v>480</v>
      </c>
      <c r="X264" s="5">
        <v>1632</v>
      </c>
      <c r="Z264" t="e">
        <f>VLOOKUP(E264,Sheet2!$A$1:$A$39,1,0)</f>
        <v>#N/A</v>
      </c>
      <c r="AA264">
        <f>VLOOKUP($E264,[1]Sheet1!$E$10:$X$629,AA$9,0)</f>
        <v>768</v>
      </c>
      <c r="AB264">
        <f>VLOOKUP($E264,[1]Sheet1!$E$10:$X$629,AB$9,0)</f>
        <v>768</v>
      </c>
      <c r="AC264">
        <f>VLOOKUP($E264,[1]Sheet1!$E$10:$X$629,AC$9,0)</f>
        <v>864</v>
      </c>
      <c r="AD264">
        <f>VLOOKUP($E264,[1]Sheet1!$E$10:$X$629,AD$9,0)</f>
        <v>960</v>
      </c>
      <c r="AE264">
        <f>VLOOKUP($E264,[1]Sheet1!$E$10:$X$629,AE$9,0)</f>
        <v>864</v>
      </c>
      <c r="AF264">
        <f>VLOOKUP($E264,[1]Sheet1!$E$10:$X$629,AF$9,0)</f>
        <v>1056</v>
      </c>
      <c r="AG264">
        <f>VLOOKUP($E264,[1]Sheet1!$E$10:$X$629,AG$9,0)</f>
        <v>960</v>
      </c>
      <c r="AH264">
        <f>VLOOKUP($E264,[1]Sheet1!$E$10:$X$629,AH$9,0)</f>
        <v>384</v>
      </c>
      <c r="AJ264">
        <f t="shared" si="10"/>
        <v>4896</v>
      </c>
      <c r="AK264">
        <f t="shared" si="11"/>
        <v>6624</v>
      </c>
      <c r="AL264">
        <f t="shared" si="12"/>
        <v>-1728</v>
      </c>
    </row>
    <row r="265" spans="1:38" ht="39.6" x14ac:dyDescent="0.3">
      <c r="A265" s="4" t="s">
        <v>769</v>
      </c>
      <c r="B265" s="5" t="s">
        <v>770</v>
      </c>
      <c r="C265" s="21" t="s">
        <v>771</v>
      </c>
      <c r="D265" s="20"/>
      <c r="E265" s="4">
        <v>1002009</v>
      </c>
      <c r="F265" s="4" t="s">
        <v>44</v>
      </c>
      <c r="G265" s="4" t="s">
        <v>45</v>
      </c>
      <c r="H265" s="4" t="s">
        <v>61</v>
      </c>
      <c r="I265" s="4" t="s">
        <v>57</v>
      </c>
      <c r="J265" s="4" t="s">
        <v>47</v>
      </c>
      <c r="K265" s="4">
        <v>7.5</v>
      </c>
      <c r="L265" s="4">
        <v>15</v>
      </c>
      <c r="M265" s="5">
        <v>144</v>
      </c>
      <c r="N265" s="5">
        <v>432</v>
      </c>
      <c r="O265" s="5">
        <v>144</v>
      </c>
      <c r="P265" s="5">
        <v>432</v>
      </c>
      <c r="Q265" s="5">
        <v>288</v>
      </c>
      <c r="R265" s="5">
        <v>576</v>
      </c>
      <c r="S265" s="5">
        <v>432</v>
      </c>
      <c r="T265" s="5">
        <v>432</v>
      </c>
      <c r="U265" s="5">
        <v>288</v>
      </c>
      <c r="V265" s="5">
        <v>432</v>
      </c>
      <c r="W265" s="5">
        <v>576</v>
      </c>
      <c r="X265" s="5">
        <v>288</v>
      </c>
      <c r="Z265" t="e">
        <f>VLOOKUP(E265,Sheet2!$A$1:$A$39,1,0)</f>
        <v>#N/A</v>
      </c>
      <c r="AA265">
        <f>VLOOKUP($E265,[1]Sheet1!$E$10:$X$629,AA$9,0)</f>
        <v>288</v>
      </c>
      <c r="AB265">
        <f>VLOOKUP($E265,[1]Sheet1!$E$10:$X$629,AB$9,0)</f>
        <v>576</v>
      </c>
      <c r="AC265">
        <f>VLOOKUP($E265,[1]Sheet1!$E$10:$X$629,AC$9,0)</f>
        <v>432</v>
      </c>
      <c r="AD265">
        <f>VLOOKUP($E265,[1]Sheet1!$E$10:$X$629,AD$9,0)</f>
        <v>288</v>
      </c>
      <c r="AE265">
        <f>VLOOKUP($E265,[1]Sheet1!$E$10:$X$629,AE$9,0)</f>
        <v>720</v>
      </c>
      <c r="AF265">
        <f>VLOOKUP($E265,[1]Sheet1!$E$10:$X$629,AF$9,0)</f>
        <v>576</v>
      </c>
      <c r="AG265">
        <f>VLOOKUP($E265,[1]Sheet1!$E$10:$X$629,AG$9,0)</f>
        <v>864</v>
      </c>
      <c r="AH265">
        <f>VLOOKUP($E265,[1]Sheet1!$E$10:$X$629,AH$9,0)</f>
        <v>144</v>
      </c>
      <c r="AJ265">
        <f t="shared" si="10"/>
        <v>2880</v>
      </c>
      <c r="AK265">
        <f t="shared" si="11"/>
        <v>3888</v>
      </c>
      <c r="AL265">
        <f t="shared" si="12"/>
        <v>-1008</v>
      </c>
    </row>
    <row r="266" spans="1:38" ht="39.6" x14ac:dyDescent="0.3">
      <c r="A266" s="4" t="s">
        <v>772</v>
      </c>
      <c r="B266" s="5" t="s">
        <v>773</v>
      </c>
      <c r="C266" s="21" t="s">
        <v>774</v>
      </c>
      <c r="D266" s="20"/>
      <c r="E266" s="4">
        <v>1002017</v>
      </c>
      <c r="F266" s="4" t="s">
        <v>44</v>
      </c>
      <c r="G266" s="4" t="s">
        <v>45</v>
      </c>
      <c r="H266" s="4" t="s">
        <v>61</v>
      </c>
      <c r="I266" s="4" t="s">
        <v>57</v>
      </c>
      <c r="J266" s="4" t="s">
        <v>47</v>
      </c>
      <c r="K266" s="4">
        <v>7.5</v>
      </c>
      <c r="L266" s="4">
        <v>15</v>
      </c>
      <c r="M266" s="5">
        <v>144</v>
      </c>
      <c r="N266" s="5">
        <v>0</v>
      </c>
      <c r="O266" s="5">
        <v>432</v>
      </c>
      <c r="P266" s="5">
        <v>144</v>
      </c>
      <c r="Q266" s="5">
        <v>0</v>
      </c>
      <c r="R266" s="5">
        <v>576</v>
      </c>
      <c r="S266" s="5">
        <v>144</v>
      </c>
      <c r="T266" s="5">
        <v>432</v>
      </c>
      <c r="U266" s="5">
        <v>144</v>
      </c>
      <c r="V266" s="5">
        <v>432</v>
      </c>
      <c r="W266" s="5">
        <v>144</v>
      </c>
      <c r="X266" s="5">
        <v>288</v>
      </c>
      <c r="Z266" t="e">
        <f>VLOOKUP(E266,Sheet2!$A$1:$A$39,1,0)</f>
        <v>#N/A</v>
      </c>
      <c r="AA266">
        <f>VLOOKUP($E266,[1]Sheet1!$E$10:$X$629,AA$9,0)</f>
        <v>288</v>
      </c>
      <c r="AB266">
        <f>VLOOKUP($E266,[1]Sheet1!$E$10:$X$629,AB$9,0)</f>
        <v>432</v>
      </c>
      <c r="AC266">
        <f>VLOOKUP($E266,[1]Sheet1!$E$10:$X$629,AC$9,0)</f>
        <v>144</v>
      </c>
      <c r="AD266">
        <f>VLOOKUP($E266,[1]Sheet1!$E$10:$X$629,AD$9,0)</f>
        <v>432</v>
      </c>
      <c r="AE266">
        <f>VLOOKUP($E266,[1]Sheet1!$E$10:$X$629,AE$9,0)</f>
        <v>144</v>
      </c>
      <c r="AF266">
        <f>VLOOKUP($E266,[1]Sheet1!$E$10:$X$629,AF$9,0)</f>
        <v>720</v>
      </c>
      <c r="AG266">
        <f>VLOOKUP($E266,[1]Sheet1!$E$10:$X$629,AG$9,0)</f>
        <v>432</v>
      </c>
      <c r="AH266">
        <f>VLOOKUP($E266,[1]Sheet1!$E$10:$X$629,AH$9,0)</f>
        <v>144</v>
      </c>
      <c r="AJ266">
        <f t="shared" si="10"/>
        <v>1872</v>
      </c>
      <c r="AK266">
        <f t="shared" si="11"/>
        <v>2736</v>
      </c>
      <c r="AL266">
        <f t="shared" si="12"/>
        <v>-864</v>
      </c>
    </row>
    <row r="267" spans="1:38" ht="39.6" x14ac:dyDescent="0.3">
      <c r="A267" s="4" t="s">
        <v>775</v>
      </c>
      <c r="B267" s="5" t="s">
        <v>776</v>
      </c>
      <c r="C267" s="21" t="s">
        <v>777</v>
      </c>
      <c r="D267" s="20"/>
      <c r="E267" s="4">
        <v>1002193</v>
      </c>
      <c r="F267" s="4" t="s">
        <v>44</v>
      </c>
      <c r="G267" s="4" t="s">
        <v>45</v>
      </c>
      <c r="H267" s="4" t="s">
        <v>61</v>
      </c>
      <c r="I267" s="4" t="s">
        <v>57</v>
      </c>
      <c r="J267" s="4" t="s">
        <v>47</v>
      </c>
      <c r="K267" s="4">
        <v>7.5</v>
      </c>
      <c r="L267" s="4">
        <v>15</v>
      </c>
      <c r="M267" s="5">
        <v>144</v>
      </c>
      <c r="N267" s="5">
        <v>144</v>
      </c>
      <c r="O267" s="5">
        <v>144</v>
      </c>
      <c r="P267" s="5">
        <v>432</v>
      </c>
      <c r="Q267" s="5">
        <v>0</v>
      </c>
      <c r="R267" s="5">
        <v>432</v>
      </c>
      <c r="S267" s="5">
        <v>288</v>
      </c>
      <c r="T267" s="5">
        <v>144</v>
      </c>
      <c r="U267" s="5">
        <v>288</v>
      </c>
      <c r="V267" s="5">
        <v>432</v>
      </c>
      <c r="W267" s="5">
        <v>288</v>
      </c>
      <c r="X267" s="5">
        <v>288</v>
      </c>
      <c r="Z267" t="e">
        <f>VLOOKUP(E267,Sheet2!$A$1:$A$39,1,0)</f>
        <v>#N/A</v>
      </c>
      <c r="AA267">
        <f>VLOOKUP($E267,[1]Sheet1!$E$10:$X$629,AA$9,0)</f>
        <v>432</v>
      </c>
      <c r="AB267">
        <f>VLOOKUP($E267,[1]Sheet1!$E$10:$X$629,AB$9,0)</f>
        <v>0</v>
      </c>
      <c r="AC267">
        <f>VLOOKUP($E267,[1]Sheet1!$E$10:$X$629,AC$9,0)</f>
        <v>576</v>
      </c>
      <c r="AD267">
        <f>VLOOKUP($E267,[1]Sheet1!$E$10:$X$629,AD$9,0)</f>
        <v>144</v>
      </c>
      <c r="AE267">
        <f>VLOOKUP($E267,[1]Sheet1!$E$10:$X$629,AE$9,0)</f>
        <v>576</v>
      </c>
      <c r="AF267">
        <f>VLOOKUP($E267,[1]Sheet1!$E$10:$X$629,AF$9,0)</f>
        <v>288</v>
      </c>
      <c r="AG267">
        <f>VLOOKUP($E267,[1]Sheet1!$E$10:$X$629,AG$9,0)</f>
        <v>432</v>
      </c>
      <c r="AH267">
        <f>VLOOKUP($E267,[1]Sheet1!$E$10:$X$629,AH$9,0)</f>
        <v>0</v>
      </c>
      <c r="AJ267">
        <f t="shared" ref="AJ267:AJ330" si="16">SUM(M267:T267)</f>
        <v>1728</v>
      </c>
      <c r="AK267">
        <f t="shared" ref="AK267:AK330" si="17">SUM(AA267:AH267)</f>
        <v>2448</v>
      </c>
      <c r="AL267">
        <f t="shared" ref="AL267:AL330" si="18">IFERROR(AJ267-AK267,0)</f>
        <v>-720</v>
      </c>
    </row>
    <row r="268" spans="1:38" ht="39.6" x14ac:dyDescent="0.3">
      <c r="A268" s="4" t="s">
        <v>778</v>
      </c>
      <c r="B268" s="5" t="s">
        <v>779</v>
      </c>
      <c r="C268" s="21" t="s">
        <v>780</v>
      </c>
      <c r="D268" s="20"/>
      <c r="E268" s="4">
        <v>1002194</v>
      </c>
      <c r="F268" s="4" t="s">
        <v>44</v>
      </c>
      <c r="G268" s="4" t="s">
        <v>45</v>
      </c>
      <c r="H268" s="4" t="s">
        <v>61</v>
      </c>
      <c r="I268" s="4" t="s">
        <v>57</v>
      </c>
      <c r="J268" s="4" t="s">
        <v>47</v>
      </c>
      <c r="K268" s="4">
        <v>7.5</v>
      </c>
      <c r="L268" s="4">
        <v>15</v>
      </c>
      <c r="M268" s="5">
        <v>144</v>
      </c>
      <c r="N268" s="5">
        <v>432</v>
      </c>
      <c r="O268" s="5">
        <v>0</v>
      </c>
      <c r="P268" s="5">
        <v>144</v>
      </c>
      <c r="Q268" s="5">
        <v>0</v>
      </c>
      <c r="R268" s="5">
        <v>576</v>
      </c>
      <c r="S268" s="5">
        <v>0</v>
      </c>
      <c r="T268" s="5">
        <v>144</v>
      </c>
      <c r="U268" s="5">
        <v>432</v>
      </c>
      <c r="V268" s="5">
        <v>144</v>
      </c>
      <c r="W268" s="5">
        <v>144</v>
      </c>
      <c r="X268" s="5">
        <v>432</v>
      </c>
      <c r="Z268" t="e">
        <f>VLOOKUP(E268,Sheet2!$A$1:$A$39,1,0)</f>
        <v>#N/A</v>
      </c>
      <c r="AA268">
        <f>VLOOKUP($E268,[1]Sheet1!$E$10:$X$629,AA$9,0)</f>
        <v>432</v>
      </c>
      <c r="AB268">
        <f>VLOOKUP($E268,[1]Sheet1!$E$10:$X$629,AB$9,0)</f>
        <v>0</v>
      </c>
      <c r="AC268">
        <f>VLOOKUP($E268,[1]Sheet1!$E$10:$X$629,AC$9,0)</f>
        <v>288</v>
      </c>
      <c r="AD268">
        <f>VLOOKUP($E268,[1]Sheet1!$E$10:$X$629,AD$9,0)</f>
        <v>144</v>
      </c>
      <c r="AE268">
        <f>VLOOKUP($E268,[1]Sheet1!$E$10:$X$629,AE$9,0)</f>
        <v>432</v>
      </c>
      <c r="AF268">
        <f>VLOOKUP($E268,[1]Sheet1!$E$10:$X$629,AF$9,0)</f>
        <v>288</v>
      </c>
      <c r="AG268">
        <f>VLOOKUP($E268,[1]Sheet1!$E$10:$X$629,AG$9,0)</f>
        <v>432</v>
      </c>
      <c r="AH268">
        <f>VLOOKUP($E268,[1]Sheet1!$E$10:$X$629,AH$9,0)</f>
        <v>0</v>
      </c>
      <c r="AJ268">
        <f t="shared" si="16"/>
        <v>1440</v>
      </c>
      <c r="AK268">
        <f t="shared" si="17"/>
        <v>2016</v>
      </c>
      <c r="AL268">
        <f t="shared" si="18"/>
        <v>-576</v>
      </c>
    </row>
    <row r="269" spans="1:38" ht="39.6" x14ac:dyDescent="0.3">
      <c r="A269" s="4" t="s">
        <v>781</v>
      </c>
      <c r="B269" s="5" t="s">
        <v>782</v>
      </c>
      <c r="C269" s="21" t="s">
        <v>783</v>
      </c>
      <c r="D269" s="20"/>
      <c r="E269" s="4">
        <v>1001995</v>
      </c>
      <c r="F269" s="4" t="s">
        <v>44</v>
      </c>
      <c r="G269" s="4" t="s">
        <v>45</v>
      </c>
      <c r="H269" s="4" t="s">
        <v>61</v>
      </c>
      <c r="I269" s="4" t="s">
        <v>57</v>
      </c>
      <c r="J269" s="4" t="s">
        <v>47</v>
      </c>
      <c r="K269" s="4">
        <v>7.5</v>
      </c>
      <c r="L269" s="4">
        <v>15</v>
      </c>
      <c r="M269" s="5">
        <v>144</v>
      </c>
      <c r="N269" s="5">
        <v>432</v>
      </c>
      <c r="O269" s="5">
        <v>576</v>
      </c>
      <c r="P269" s="5">
        <v>288</v>
      </c>
      <c r="Q269" s="5">
        <v>576</v>
      </c>
      <c r="R269" s="5">
        <v>432</v>
      </c>
      <c r="S269" s="5">
        <v>576</v>
      </c>
      <c r="T269" s="5">
        <v>288</v>
      </c>
      <c r="U269" s="5">
        <v>720</v>
      </c>
      <c r="V269" s="5">
        <v>576</v>
      </c>
      <c r="W269" s="5">
        <v>576</v>
      </c>
      <c r="X269" s="5">
        <v>432</v>
      </c>
      <c r="Z269" t="e">
        <f>VLOOKUP(E269,Sheet2!$A$1:$A$39,1,0)</f>
        <v>#N/A</v>
      </c>
      <c r="AA269">
        <f>VLOOKUP($E269,[1]Sheet1!$E$10:$X$629,AA$9,0)</f>
        <v>432</v>
      </c>
      <c r="AB269">
        <f>VLOOKUP($E269,[1]Sheet1!$E$10:$X$629,AB$9,0)</f>
        <v>432</v>
      </c>
      <c r="AC269">
        <f>VLOOKUP($E269,[1]Sheet1!$E$10:$X$629,AC$9,0)</f>
        <v>576</v>
      </c>
      <c r="AD269">
        <f>VLOOKUP($E269,[1]Sheet1!$E$10:$X$629,AD$9,0)</f>
        <v>432</v>
      </c>
      <c r="AE269">
        <f>VLOOKUP($E269,[1]Sheet1!$E$10:$X$629,AE$9,0)</f>
        <v>432</v>
      </c>
      <c r="AF269">
        <f>VLOOKUP($E269,[1]Sheet1!$E$10:$X$629,AF$9,0)</f>
        <v>864</v>
      </c>
      <c r="AG269">
        <f>VLOOKUP($E269,[1]Sheet1!$E$10:$X$629,AG$9,0)</f>
        <v>432</v>
      </c>
      <c r="AH269">
        <f>VLOOKUP($E269,[1]Sheet1!$E$10:$X$629,AH$9,0)</f>
        <v>288</v>
      </c>
      <c r="AJ269">
        <f t="shared" si="16"/>
        <v>3312</v>
      </c>
      <c r="AK269">
        <f t="shared" si="17"/>
        <v>3888</v>
      </c>
      <c r="AL269">
        <f t="shared" si="18"/>
        <v>-576</v>
      </c>
    </row>
    <row r="270" spans="1:38" ht="39.6" x14ac:dyDescent="0.3">
      <c r="A270" s="4" t="s">
        <v>784</v>
      </c>
      <c r="B270" s="5" t="s">
        <v>785</v>
      </c>
      <c r="C270" s="21" t="s">
        <v>786</v>
      </c>
      <c r="D270" s="20"/>
      <c r="E270" s="4">
        <v>1001990</v>
      </c>
      <c r="F270" s="4" t="s">
        <v>44</v>
      </c>
      <c r="G270" s="4" t="s">
        <v>45</v>
      </c>
      <c r="H270" s="4" t="s">
        <v>61</v>
      </c>
      <c r="I270" s="4" t="s">
        <v>57</v>
      </c>
      <c r="J270" s="4" t="s">
        <v>47</v>
      </c>
      <c r="K270" s="4">
        <v>7.5</v>
      </c>
      <c r="L270" s="4">
        <v>15</v>
      </c>
      <c r="M270" s="5">
        <v>144</v>
      </c>
      <c r="N270" s="5">
        <v>288</v>
      </c>
      <c r="O270" s="5">
        <v>144</v>
      </c>
      <c r="P270" s="5">
        <v>0</v>
      </c>
      <c r="Q270" s="5">
        <v>144</v>
      </c>
      <c r="R270" s="5">
        <v>432</v>
      </c>
      <c r="S270" s="5">
        <v>144</v>
      </c>
      <c r="T270" s="5">
        <v>288</v>
      </c>
      <c r="U270" s="5">
        <v>288</v>
      </c>
      <c r="V270" s="5">
        <v>0</v>
      </c>
      <c r="W270" s="5">
        <v>432</v>
      </c>
      <c r="X270" s="5">
        <v>144</v>
      </c>
      <c r="Z270" t="e">
        <f>VLOOKUP(E270,Sheet2!$A$1:$A$39,1,0)</f>
        <v>#N/A</v>
      </c>
      <c r="AA270">
        <f>VLOOKUP($E270,[1]Sheet1!$E$10:$X$629,AA$9,0)</f>
        <v>144</v>
      </c>
      <c r="AB270">
        <f>VLOOKUP($E270,[1]Sheet1!$E$10:$X$629,AB$9,0)</f>
        <v>432</v>
      </c>
      <c r="AC270">
        <f>VLOOKUP($E270,[1]Sheet1!$E$10:$X$629,AC$9,0)</f>
        <v>144</v>
      </c>
      <c r="AD270">
        <f>VLOOKUP($E270,[1]Sheet1!$E$10:$X$629,AD$9,0)</f>
        <v>288</v>
      </c>
      <c r="AE270">
        <f>VLOOKUP($E270,[1]Sheet1!$E$10:$X$629,AE$9,0)</f>
        <v>288</v>
      </c>
      <c r="AF270">
        <f>VLOOKUP($E270,[1]Sheet1!$E$10:$X$629,AF$9,0)</f>
        <v>432</v>
      </c>
      <c r="AG270">
        <f>VLOOKUP($E270,[1]Sheet1!$E$10:$X$629,AG$9,0)</f>
        <v>288</v>
      </c>
      <c r="AH270">
        <f>VLOOKUP($E270,[1]Sheet1!$E$10:$X$629,AH$9,0)</f>
        <v>0</v>
      </c>
      <c r="AJ270">
        <f t="shared" si="16"/>
        <v>1584</v>
      </c>
      <c r="AK270">
        <f t="shared" si="17"/>
        <v>2016</v>
      </c>
      <c r="AL270">
        <f t="shared" si="18"/>
        <v>-432</v>
      </c>
    </row>
    <row r="271" spans="1:38" ht="39.6" x14ac:dyDescent="0.3">
      <c r="A271" s="4" t="s">
        <v>787</v>
      </c>
      <c r="B271" s="5" t="s">
        <v>788</v>
      </c>
      <c r="C271" s="21" t="s">
        <v>789</v>
      </c>
      <c r="D271" s="20"/>
      <c r="E271" s="4">
        <v>1001994</v>
      </c>
      <c r="F271" s="4" t="s">
        <v>44</v>
      </c>
      <c r="G271" s="4" t="s">
        <v>45</v>
      </c>
      <c r="H271" s="4" t="s">
        <v>61</v>
      </c>
      <c r="I271" s="4" t="s">
        <v>57</v>
      </c>
      <c r="J271" s="4" t="s">
        <v>47</v>
      </c>
      <c r="K271" s="4">
        <v>7.5</v>
      </c>
      <c r="L271" s="4">
        <v>15</v>
      </c>
      <c r="M271" s="5">
        <v>144</v>
      </c>
      <c r="N271" s="5">
        <v>432</v>
      </c>
      <c r="O271" s="5">
        <v>144</v>
      </c>
      <c r="P271" s="5">
        <v>288</v>
      </c>
      <c r="Q271" s="5">
        <v>288</v>
      </c>
      <c r="R271" s="5">
        <v>288</v>
      </c>
      <c r="S271" s="5">
        <v>576</v>
      </c>
      <c r="T271" s="5">
        <v>144</v>
      </c>
      <c r="U271" s="5">
        <v>576</v>
      </c>
      <c r="V271" s="5">
        <v>288</v>
      </c>
      <c r="W271" s="5">
        <v>432</v>
      </c>
      <c r="X271" s="5">
        <v>288</v>
      </c>
      <c r="Z271" t="e">
        <f>VLOOKUP(E271,Sheet2!$A$1:$A$39,1,0)</f>
        <v>#N/A</v>
      </c>
      <c r="AA271">
        <f>VLOOKUP($E271,[1]Sheet1!$E$10:$X$629,AA$9,0)</f>
        <v>288</v>
      </c>
      <c r="AB271">
        <f>VLOOKUP($E271,[1]Sheet1!$E$10:$X$629,AB$9,0)</f>
        <v>288</v>
      </c>
      <c r="AC271">
        <f>VLOOKUP($E271,[1]Sheet1!$E$10:$X$629,AC$9,0)</f>
        <v>432</v>
      </c>
      <c r="AD271">
        <f>VLOOKUP($E271,[1]Sheet1!$E$10:$X$629,AD$9,0)</f>
        <v>432</v>
      </c>
      <c r="AE271">
        <f>VLOOKUP($E271,[1]Sheet1!$E$10:$X$629,AE$9,0)</f>
        <v>144</v>
      </c>
      <c r="AF271">
        <f>VLOOKUP($E271,[1]Sheet1!$E$10:$X$629,AF$9,0)</f>
        <v>576</v>
      </c>
      <c r="AG271">
        <f>VLOOKUP($E271,[1]Sheet1!$E$10:$X$629,AG$9,0)</f>
        <v>576</v>
      </c>
      <c r="AH271">
        <f>VLOOKUP($E271,[1]Sheet1!$E$10:$X$629,AH$9,0)</f>
        <v>288</v>
      </c>
      <c r="AJ271">
        <f t="shared" si="16"/>
        <v>2304</v>
      </c>
      <c r="AK271">
        <f t="shared" si="17"/>
        <v>3024</v>
      </c>
      <c r="AL271">
        <f t="shared" si="18"/>
        <v>-720</v>
      </c>
    </row>
    <row r="272" spans="1:38" ht="39.6" x14ac:dyDescent="0.3">
      <c r="A272" s="4" t="s">
        <v>790</v>
      </c>
      <c r="B272" s="5" t="s">
        <v>791</v>
      </c>
      <c r="C272" s="21" t="s">
        <v>792</v>
      </c>
      <c r="D272" s="20"/>
      <c r="E272" s="4">
        <v>1001991</v>
      </c>
      <c r="F272" s="4" t="s">
        <v>44</v>
      </c>
      <c r="G272" s="4" t="s">
        <v>45</v>
      </c>
      <c r="H272" s="4" t="s">
        <v>61</v>
      </c>
      <c r="I272" s="4" t="s">
        <v>57</v>
      </c>
      <c r="J272" s="4" t="s">
        <v>47</v>
      </c>
      <c r="K272" s="4">
        <v>7.5</v>
      </c>
      <c r="L272" s="4">
        <v>15</v>
      </c>
      <c r="M272" s="5">
        <v>432</v>
      </c>
      <c r="N272" s="5">
        <v>144</v>
      </c>
      <c r="O272" s="5">
        <v>288</v>
      </c>
      <c r="P272" s="5">
        <v>288</v>
      </c>
      <c r="Q272" s="5">
        <v>144</v>
      </c>
      <c r="R272" s="5">
        <v>432</v>
      </c>
      <c r="S272" s="5">
        <v>144</v>
      </c>
      <c r="T272" s="5">
        <v>432</v>
      </c>
      <c r="U272" s="5">
        <v>288</v>
      </c>
      <c r="V272" s="5">
        <v>432</v>
      </c>
      <c r="W272" s="5">
        <v>432</v>
      </c>
      <c r="X272" s="5">
        <v>288</v>
      </c>
      <c r="Z272" t="e">
        <f>VLOOKUP(E272,Sheet2!$A$1:$A$39,1,0)</f>
        <v>#N/A</v>
      </c>
      <c r="AA272">
        <f>VLOOKUP($E272,[1]Sheet1!$E$10:$X$629,AA$9,0)</f>
        <v>432</v>
      </c>
      <c r="AB272">
        <f>VLOOKUP($E272,[1]Sheet1!$E$10:$X$629,AB$9,0)</f>
        <v>288</v>
      </c>
      <c r="AC272">
        <f>VLOOKUP($E272,[1]Sheet1!$E$10:$X$629,AC$9,0)</f>
        <v>288</v>
      </c>
      <c r="AD272">
        <f>VLOOKUP($E272,[1]Sheet1!$E$10:$X$629,AD$9,0)</f>
        <v>288</v>
      </c>
      <c r="AE272">
        <f>VLOOKUP($E272,[1]Sheet1!$E$10:$X$629,AE$9,0)</f>
        <v>432</v>
      </c>
      <c r="AF272">
        <f>VLOOKUP($E272,[1]Sheet1!$E$10:$X$629,AF$9,0)</f>
        <v>288</v>
      </c>
      <c r="AG272">
        <f>VLOOKUP($E272,[1]Sheet1!$E$10:$X$629,AG$9,0)</f>
        <v>432</v>
      </c>
      <c r="AH272">
        <f>VLOOKUP($E272,[1]Sheet1!$E$10:$X$629,AH$9,0)</f>
        <v>144</v>
      </c>
      <c r="AJ272">
        <f t="shared" si="16"/>
        <v>2304</v>
      </c>
      <c r="AK272">
        <f t="shared" si="17"/>
        <v>2592</v>
      </c>
      <c r="AL272">
        <f t="shared" si="18"/>
        <v>-288</v>
      </c>
    </row>
    <row r="273" spans="1:38" ht="39.6" x14ac:dyDescent="0.3">
      <c r="A273" s="4" t="s">
        <v>793</v>
      </c>
      <c r="B273" s="5" t="s">
        <v>794</v>
      </c>
      <c r="C273" s="21" t="s">
        <v>795</v>
      </c>
      <c r="D273" s="20"/>
      <c r="E273" s="4">
        <v>1001992</v>
      </c>
      <c r="F273" s="4" t="s">
        <v>44</v>
      </c>
      <c r="G273" s="4" t="s">
        <v>45</v>
      </c>
      <c r="H273" s="4" t="s">
        <v>61</v>
      </c>
      <c r="I273" s="4" t="s">
        <v>57</v>
      </c>
      <c r="J273" s="4" t="s">
        <v>47</v>
      </c>
      <c r="K273" s="4">
        <v>7.5</v>
      </c>
      <c r="L273" s="4">
        <v>15</v>
      </c>
      <c r="M273" s="5">
        <v>432</v>
      </c>
      <c r="N273" s="5">
        <v>0</v>
      </c>
      <c r="O273" s="5">
        <v>576</v>
      </c>
      <c r="P273" s="5">
        <v>288</v>
      </c>
      <c r="Q273" s="5">
        <v>432</v>
      </c>
      <c r="R273" s="5">
        <v>288</v>
      </c>
      <c r="S273" s="5">
        <v>576</v>
      </c>
      <c r="T273" s="5">
        <v>432</v>
      </c>
      <c r="U273" s="5">
        <v>432</v>
      </c>
      <c r="V273" s="5">
        <v>432</v>
      </c>
      <c r="W273" s="5">
        <v>576</v>
      </c>
      <c r="X273" s="5">
        <v>576</v>
      </c>
      <c r="Z273" t="e">
        <f>VLOOKUP(E273,Sheet2!$A$1:$A$39,1,0)</f>
        <v>#N/A</v>
      </c>
      <c r="AA273">
        <f>VLOOKUP($E273,[1]Sheet1!$E$10:$X$629,AA$9,0)</f>
        <v>288</v>
      </c>
      <c r="AB273">
        <f>VLOOKUP($E273,[1]Sheet1!$E$10:$X$629,AB$9,0)</f>
        <v>288</v>
      </c>
      <c r="AC273">
        <f>VLOOKUP($E273,[1]Sheet1!$E$10:$X$629,AC$9,0)</f>
        <v>432</v>
      </c>
      <c r="AD273">
        <f>VLOOKUP($E273,[1]Sheet1!$E$10:$X$629,AD$9,0)</f>
        <v>432</v>
      </c>
      <c r="AE273">
        <f>VLOOKUP($E273,[1]Sheet1!$E$10:$X$629,AE$9,0)</f>
        <v>432</v>
      </c>
      <c r="AF273">
        <f>VLOOKUP($E273,[1]Sheet1!$E$10:$X$629,AF$9,0)</f>
        <v>720</v>
      </c>
      <c r="AG273">
        <f>VLOOKUP($E273,[1]Sheet1!$E$10:$X$629,AG$9,0)</f>
        <v>288</v>
      </c>
      <c r="AH273">
        <f>VLOOKUP($E273,[1]Sheet1!$E$10:$X$629,AH$9,0)</f>
        <v>288</v>
      </c>
      <c r="AJ273">
        <f t="shared" si="16"/>
        <v>3024</v>
      </c>
      <c r="AK273">
        <f t="shared" si="17"/>
        <v>3168</v>
      </c>
      <c r="AL273">
        <f t="shared" si="18"/>
        <v>-144</v>
      </c>
    </row>
    <row r="274" spans="1:38" ht="39.6" x14ac:dyDescent="0.3">
      <c r="A274" s="4" t="s">
        <v>796</v>
      </c>
      <c r="B274" s="5" t="s">
        <v>797</v>
      </c>
      <c r="C274" s="21" t="s">
        <v>798</v>
      </c>
      <c r="D274" s="20"/>
      <c r="E274" s="4">
        <v>1001993</v>
      </c>
      <c r="F274" s="4" t="s">
        <v>44</v>
      </c>
      <c r="G274" s="4" t="s">
        <v>45</v>
      </c>
      <c r="H274" s="4" t="s">
        <v>61</v>
      </c>
      <c r="I274" s="4" t="s">
        <v>57</v>
      </c>
      <c r="J274" s="4" t="s">
        <v>47</v>
      </c>
      <c r="K274" s="4">
        <v>7.5</v>
      </c>
      <c r="L274" s="4">
        <v>15</v>
      </c>
      <c r="M274" s="5">
        <v>432</v>
      </c>
      <c r="N274" s="5">
        <v>432</v>
      </c>
      <c r="O274" s="5">
        <v>576</v>
      </c>
      <c r="P274" s="5">
        <v>432</v>
      </c>
      <c r="Q274" s="5">
        <v>432</v>
      </c>
      <c r="R274" s="5">
        <v>576</v>
      </c>
      <c r="S274" s="5">
        <v>432</v>
      </c>
      <c r="T274" s="5">
        <v>576</v>
      </c>
      <c r="U274" s="5">
        <v>576</v>
      </c>
      <c r="V274" s="5">
        <v>720</v>
      </c>
      <c r="W274" s="5">
        <v>432</v>
      </c>
      <c r="X274" s="5">
        <v>576</v>
      </c>
      <c r="Z274" t="e">
        <f>VLOOKUP(E274,Sheet2!$A$1:$A$39,1,0)</f>
        <v>#N/A</v>
      </c>
      <c r="AA274">
        <f>VLOOKUP($E274,[1]Sheet1!$E$10:$X$629,AA$9,0)</f>
        <v>576</v>
      </c>
      <c r="AB274">
        <f>VLOOKUP($E274,[1]Sheet1!$E$10:$X$629,AB$9,0)</f>
        <v>288</v>
      </c>
      <c r="AC274">
        <f>VLOOKUP($E274,[1]Sheet1!$E$10:$X$629,AC$9,0)</f>
        <v>576</v>
      </c>
      <c r="AD274">
        <f>VLOOKUP($E274,[1]Sheet1!$E$10:$X$629,AD$9,0)</f>
        <v>432</v>
      </c>
      <c r="AE274">
        <f>VLOOKUP($E274,[1]Sheet1!$E$10:$X$629,AE$9,0)</f>
        <v>576</v>
      </c>
      <c r="AF274">
        <f>VLOOKUP($E274,[1]Sheet1!$E$10:$X$629,AF$9,0)</f>
        <v>576</v>
      </c>
      <c r="AG274">
        <f>VLOOKUP($E274,[1]Sheet1!$E$10:$X$629,AG$9,0)</f>
        <v>576</v>
      </c>
      <c r="AH274">
        <f>VLOOKUP($E274,[1]Sheet1!$E$10:$X$629,AH$9,0)</f>
        <v>144</v>
      </c>
      <c r="AJ274">
        <f t="shared" si="16"/>
        <v>3888</v>
      </c>
      <c r="AK274">
        <f t="shared" si="17"/>
        <v>3744</v>
      </c>
      <c r="AL274">
        <f t="shared" si="18"/>
        <v>144</v>
      </c>
    </row>
    <row r="275" spans="1:38" ht="39.6" x14ac:dyDescent="0.3">
      <c r="A275" s="4" t="s">
        <v>799</v>
      </c>
      <c r="B275" s="5" t="s">
        <v>800</v>
      </c>
      <c r="C275" s="21" t="s">
        <v>801</v>
      </c>
      <c r="D275" s="20"/>
      <c r="E275" s="4">
        <v>1002103</v>
      </c>
      <c r="F275" s="4" t="s">
        <v>44</v>
      </c>
      <c r="G275" s="4" t="s">
        <v>45</v>
      </c>
      <c r="H275" s="4" t="s">
        <v>61</v>
      </c>
      <c r="I275" s="4" t="s">
        <v>57</v>
      </c>
      <c r="J275" s="4" t="s">
        <v>47</v>
      </c>
      <c r="K275" s="4">
        <v>7.5</v>
      </c>
      <c r="L275" s="4">
        <v>15</v>
      </c>
      <c r="M275" s="5">
        <v>144</v>
      </c>
      <c r="N275" s="5">
        <v>144</v>
      </c>
      <c r="O275" s="5">
        <v>0</v>
      </c>
      <c r="P275" s="5">
        <v>288</v>
      </c>
      <c r="Q275" s="5">
        <v>144</v>
      </c>
      <c r="R275" s="5">
        <v>0</v>
      </c>
      <c r="S275" s="5">
        <v>144</v>
      </c>
      <c r="T275" s="5">
        <v>288</v>
      </c>
      <c r="U275" s="5">
        <v>0</v>
      </c>
      <c r="V275" s="5">
        <v>288</v>
      </c>
      <c r="W275" s="5">
        <v>144</v>
      </c>
      <c r="X275" s="5">
        <v>288</v>
      </c>
      <c r="Z275" t="e">
        <f>VLOOKUP(E275,Sheet2!$A$1:$A$39,1,0)</f>
        <v>#N/A</v>
      </c>
      <c r="AA275">
        <f>VLOOKUP($E275,[1]Sheet1!$E$10:$X$629,AA$9,0)</f>
        <v>144</v>
      </c>
      <c r="AB275">
        <f>VLOOKUP($E275,[1]Sheet1!$E$10:$X$629,AB$9,0)</f>
        <v>288</v>
      </c>
      <c r="AC275">
        <f>VLOOKUP($E275,[1]Sheet1!$E$10:$X$629,AC$9,0)</f>
        <v>144</v>
      </c>
      <c r="AD275">
        <f>VLOOKUP($E275,[1]Sheet1!$E$10:$X$629,AD$9,0)</f>
        <v>288</v>
      </c>
      <c r="AE275">
        <f>VLOOKUP($E275,[1]Sheet1!$E$10:$X$629,AE$9,0)</f>
        <v>288</v>
      </c>
      <c r="AF275">
        <f>VLOOKUP($E275,[1]Sheet1!$E$10:$X$629,AF$9,0)</f>
        <v>288</v>
      </c>
      <c r="AG275">
        <f>VLOOKUP($E275,[1]Sheet1!$E$10:$X$629,AG$9,0)</f>
        <v>288</v>
      </c>
      <c r="AH275">
        <f>VLOOKUP($E275,[1]Sheet1!$E$10:$X$629,AH$9,0)</f>
        <v>144</v>
      </c>
      <c r="AJ275">
        <f t="shared" si="16"/>
        <v>1152</v>
      </c>
      <c r="AK275">
        <f t="shared" si="17"/>
        <v>1872</v>
      </c>
      <c r="AL275">
        <f t="shared" si="18"/>
        <v>-720</v>
      </c>
    </row>
    <row r="276" spans="1:38" ht="39.6" x14ac:dyDescent="0.3">
      <c r="A276" s="4" t="s">
        <v>802</v>
      </c>
      <c r="B276" s="5" t="s">
        <v>803</v>
      </c>
      <c r="C276" s="21" t="s">
        <v>804</v>
      </c>
      <c r="D276" s="20"/>
      <c r="E276" s="4">
        <v>1002104</v>
      </c>
      <c r="F276" s="4" t="s">
        <v>44</v>
      </c>
      <c r="G276" s="4" t="s">
        <v>45</v>
      </c>
      <c r="H276" s="4" t="s">
        <v>61</v>
      </c>
      <c r="I276" s="4" t="s">
        <v>57</v>
      </c>
      <c r="J276" s="4" t="s">
        <v>47</v>
      </c>
      <c r="K276" s="4">
        <v>7.5</v>
      </c>
      <c r="L276" s="4">
        <v>15</v>
      </c>
      <c r="M276" s="5">
        <v>0</v>
      </c>
      <c r="N276" s="5">
        <v>432</v>
      </c>
      <c r="O276" s="5">
        <v>432</v>
      </c>
      <c r="P276" s="5">
        <v>144</v>
      </c>
      <c r="Q276" s="5">
        <v>432</v>
      </c>
      <c r="R276" s="5">
        <v>432</v>
      </c>
      <c r="S276" s="5">
        <v>288</v>
      </c>
      <c r="T276" s="5">
        <v>432</v>
      </c>
      <c r="U276" s="5">
        <v>576</v>
      </c>
      <c r="V276" s="5">
        <v>432</v>
      </c>
      <c r="W276" s="5">
        <v>432</v>
      </c>
      <c r="X276" s="5">
        <v>432</v>
      </c>
      <c r="Z276" t="e">
        <f>VLOOKUP(E276,Sheet2!$A$1:$A$39,1,0)</f>
        <v>#N/A</v>
      </c>
      <c r="AA276">
        <f>VLOOKUP($E276,[1]Sheet1!$E$10:$X$629,AA$9,0)</f>
        <v>576</v>
      </c>
      <c r="AB276">
        <f>VLOOKUP($E276,[1]Sheet1!$E$10:$X$629,AB$9,0)</f>
        <v>288</v>
      </c>
      <c r="AC276">
        <f>VLOOKUP($E276,[1]Sheet1!$E$10:$X$629,AC$9,0)</f>
        <v>720</v>
      </c>
      <c r="AD276">
        <f>VLOOKUP($E276,[1]Sheet1!$E$10:$X$629,AD$9,0)</f>
        <v>576</v>
      </c>
      <c r="AE276">
        <f>VLOOKUP($E276,[1]Sheet1!$E$10:$X$629,AE$9,0)</f>
        <v>432</v>
      </c>
      <c r="AF276">
        <f>VLOOKUP($E276,[1]Sheet1!$E$10:$X$629,AF$9,0)</f>
        <v>720</v>
      </c>
      <c r="AG276">
        <f>VLOOKUP($E276,[1]Sheet1!$E$10:$X$629,AG$9,0)</f>
        <v>720</v>
      </c>
      <c r="AH276">
        <f>VLOOKUP($E276,[1]Sheet1!$E$10:$X$629,AH$9,0)</f>
        <v>288</v>
      </c>
      <c r="AJ276">
        <f t="shared" si="16"/>
        <v>2592</v>
      </c>
      <c r="AK276">
        <f t="shared" si="17"/>
        <v>4320</v>
      </c>
      <c r="AL276">
        <f t="shared" si="18"/>
        <v>-1728</v>
      </c>
    </row>
    <row r="277" spans="1:38" ht="39.6" x14ac:dyDescent="0.3">
      <c r="A277" s="4" t="s">
        <v>805</v>
      </c>
      <c r="B277" s="5" t="s">
        <v>806</v>
      </c>
      <c r="C277" s="21" t="s">
        <v>807</v>
      </c>
      <c r="D277" s="20"/>
      <c r="E277" s="4">
        <v>1002105</v>
      </c>
      <c r="F277" s="4" t="s">
        <v>44</v>
      </c>
      <c r="G277" s="4" t="s">
        <v>45</v>
      </c>
      <c r="H277" s="4" t="s">
        <v>61</v>
      </c>
      <c r="I277" s="4" t="s">
        <v>57</v>
      </c>
      <c r="J277" s="4" t="s">
        <v>47</v>
      </c>
      <c r="K277" s="4">
        <v>7.5</v>
      </c>
      <c r="L277" s="4">
        <v>15</v>
      </c>
      <c r="M277" s="5">
        <v>0</v>
      </c>
      <c r="N277" s="5">
        <v>144</v>
      </c>
      <c r="O277" s="5">
        <v>144</v>
      </c>
      <c r="P277" s="5">
        <v>144</v>
      </c>
      <c r="Q277" s="5">
        <v>0</v>
      </c>
      <c r="R277" s="5">
        <v>0</v>
      </c>
      <c r="S277" s="5">
        <v>0</v>
      </c>
      <c r="T277" s="5">
        <v>288</v>
      </c>
      <c r="U277" s="5">
        <v>144</v>
      </c>
      <c r="V277" s="5">
        <v>0</v>
      </c>
      <c r="W277" s="5">
        <v>144</v>
      </c>
      <c r="X277" s="5">
        <v>0</v>
      </c>
      <c r="Z277" t="e">
        <f>VLOOKUP(E277,Sheet2!$A$1:$A$39,1,0)</f>
        <v>#N/A</v>
      </c>
      <c r="AA277">
        <f>VLOOKUP($E277,[1]Sheet1!$E$10:$X$629,AA$9,0)</f>
        <v>144</v>
      </c>
      <c r="AB277">
        <f>VLOOKUP($E277,[1]Sheet1!$E$10:$X$629,AB$9,0)</f>
        <v>144</v>
      </c>
      <c r="AC277">
        <f>VLOOKUP($E277,[1]Sheet1!$E$10:$X$629,AC$9,0)</f>
        <v>288</v>
      </c>
      <c r="AD277">
        <f>VLOOKUP($E277,[1]Sheet1!$E$10:$X$629,AD$9,0)</f>
        <v>0</v>
      </c>
      <c r="AE277">
        <f>VLOOKUP($E277,[1]Sheet1!$E$10:$X$629,AE$9,0)</f>
        <v>288</v>
      </c>
      <c r="AF277">
        <f>VLOOKUP($E277,[1]Sheet1!$E$10:$X$629,AF$9,0)</f>
        <v>144</v>
      </c>
      <c r="AG277">
        <f>VLOOKUP($E277,[1]Sheet1!$E$10:$X$629,AG$9,0)</f>
        <v>288</v>
      </c>
      <c r="AH277">
        <f>VLOOKUP($E277,[1]Sheet1!$E$10:$X$629,AH$9,0)</f>
        <v>0</v>
      </c>
      <c r="AJ277">
        <f t="shared" si="16"/>
        <v>720</v>
      </c>
      <c r="AK277">
        <f t="shared" si="17"/>
        <v>1296</v>
      </c>
      <c r="AL277">
        <f t="shared" si="18"/>
        <v>-576</v>
      </c>
    </row>
    <row r="278" spans="1:38" ht="39.6" x14ac:dyDescent="0.3">
      <c r="A278" s="4" t="s">
        <v>808</v>
      </c>
      <c r="B278" s="5" t="s">
        <v>809</v>
      </c>
      <c r="C278" s="21" t="s">
        <v>810</v>
      </c>
      <c r="D278" s="20"/>
      <c r="E278" s="4">
        <v>1002106</v>
      </c>
      <c r="F278" s="4" t="s">
        <v>44</v>
      </c>
      <c r="G278" s="4" t="s">
        <v>45</v>
      </c>
      <c r="H278" s="4" t="s">
        <v>61</v>
      </c>
      <c r="I278" s="4" t="s">
        <v>57</v>
      </c>
      <c r="J278" s="4" t="s">
        <v>47</v>
      </c>
      <c r="K278" s="4">
        <v>7.5</v>
      </c>
      <c r="L278" s="4">
        <v>15</v>
      </c>
      <c r="M278" s="5">
        <v>432</v>
      </c>
      <c r="N278" s="5">
        <v>144</v>
      </c>
      <c r="O278" s="5">
        <v>720</v>
      </c>
      <c r="P278" s="5">
        <v>432</v>
      </c>
      <c r="Q278" s="5">
        <v>432</v>
      </c>
      <c r="R278" s="5">
        <v>576</v>
      </c>
      <c r="S278" s="5">
        <v>288</v>
      </c>
      <c r="T278" s="5">
        <v>720</v>
      </c>
      <c r="U278" s="5">
        <v>576</v>
      </c>
      <c r="V278" s="5">
        <v>720</v>
      </c>
      <c r="W278" s="5">
        <v>432</v>
      </c>
      <c r="X278" s="5">
        <v>432</v>
      </c>
      <c r="Z278" t="e">
        <f>VLOOKUP(E278,Sheet2!$A$1:$A$39,1,0)</f>
        <v>#N/A</v>
      </c>
      <c r="AA278">
        <f>VLOOKUP($E278,[1]Sheet1!$E$10:$X$629,AA$9,0)</f>
        <v>576</v>
      </c>
      <c r="AB278">
        <f>VLOOKUP($E278,[1]Sheet1!$E$10:$X$629,AB$9,0)</f>
        <v>576</v>
      </c>
      <c r="AC278">
        <f>VLOOKUP($E278,[1]Sheet1!$E$10:$X$629,AC$9,0)</f>
        <v>720</v>
      </c>
      <c r="AD278">
        <f>VLOOKUP($E278,[1]Sheet1!$E$10:$X$629,AD$9,0)</f>
        <v>720</v>
      </c>
      <c r="AE278">
        <f>VLOOKUP($E278,[1]Sheet1!$E$10:$X$629,AE$9,0)</f>
        <v>720</v>
      </c>
      <c r="AF278">
        <f>VLOOKUP($E278,[1]Sheet1!$E$10:$X$629,AF$9,0)</f>
        <v>720</v>
      </c>
      <c r="AG278">
        <f>VLOOKUP($E278,[1]Sheet1!$E$10:$X$629,AG$9,0)</f>
        <v>576</v>
      </c>
      <c r="AH278">
        <f>VLOOKUP($E278,[1]Sheet1!$E$10:$X$629,AH$9,0)</f>
        <v>288</v>
      </c>
      <c r="AJ278">
        <f t="shared" si="16"/>
        <v>3744</v>
      </c>
      <c r="AK278">
        <f t="shared" si="17"/>
        <v>4896</v>
      </c>
      <c r="AL278">
        <f t="shared" si="18"/>
        <v>-1152</v>
      </c>
    </row>
    <row r="279" spans="1:38" ht="39.6" x14ac:dyDescent="0.3">
      <c r="A279" s="4" t="s">
        <v>811</v>
      </c>
      <c r="B279" s="5" t="s">
        <v>812</v>
      </c>
      <c r="C279" s="21" t="s">
        <v>813</v>
      </c>
      <c r="D279" s="20"/>
      <c r="E279" s="4">
        <v>1002271</v>
      </c>
      <c r="F279" s="4" t="s">
        <v>44</v>
      </c>
      <c r="G279" s="4" t="s">
        <v>45</v>
      </c>
      <c r="H279" s="4" t="s">
        <v>61</v>
      </c>
      <c r="I279" s="4" t="s">
        <v>57</v>
      </c>
      <c r="J279" s="4" t="s">
        <v>47</v>
      </c>
      <c r="K279" s="4">
        <v>7.5</v>
      </c>
      <c r="L279" s="4">
        <v>15</v>
      </c>
      <c r="M279" s="5">
        <v>0</v>
      </c>
      <c r="N279" s="5">
        <v>432</v>
      </c>
      <c r="O279" s="5">
        <v>432</v>
      </c>
      <c r="P279" s="5">
        <v>288</v>
      </c>
      <c r="Q279" s="5">
        <v>576</v>
      </c>
      <c r="R279" s="5">
        <v>432</v>
      </c>
      <c r="S279" s="5">
        <v>288</v>
      </c>
      <c r="T279" s="5">
        <v>576</v>
      </c>
      <c r="U279" s="5">
        <v>576</v>
      </c>
      <c r="V279" s="5">
        <v>576</v>
      </c>
      <c r="W279" s="5">
        <v>288</v>
      </c>
      <c r="X279" s="5">
        <v>576</v>
      </c>
      <c r="Z279" t="e">
        <f>VLOOKUP(E279,Sheet2!$A$1:$A$39,1,0)</f>
        <v>#N/A</v>
      </c>
      <c r="AA279">
        <f>VLOOKUP($E279,[1]Sheet1!$E$10:$X$629,AA$9,0)</f>
        <v>432</v>
      </c>
      <c r="AB279">
        <f>VLOOKUP($E279,[1]Sheet1!$E$10:$X$629,AB$9,0)</f>
        <v>576</v>
      </c>
      <c r="AC279">
        <f>VLOOKUP($E279,[1]Sheet1!$E$10:$X$629,AC$9,0)</f>
        <v>720</v>
      </c>
      <c r="AD279">
        <f>VLOOKUP($E279,[1]Sheet1!$E$10:$X$629,AD$9,0)</f>
        <v>432</v>
      </c>
      <c r="AE279">
        <f>VLOOKUP($E279,[1]Sheet1!$E$10:$X$629,AE$9,0)</f>
        <v>576</v>
      </c>
      <c r="AF279">
        <f>VLOOKUP($E279,[1]Sheet1!$E$10:$X$629,AF$9,0)</f>
        <v>576</v>
      </c>
      <c r="AG279">
        <f>VLOOKUP($E279,[1]Sheet1!$E$10:$X$629,AG$9,0)</f>
        <v>576</v>
      </c>
      <c r="AH279">
        <f>VLOOKUP($E279,[1]Sheet1!$E$10:$X$629,AH$9,0)</f>
        <v>288</v>
      </c>
      <c r="AJ279">
        <f t="shared" si="16"/>
        <v>3024</v>
      </c>
      <c r="AK279">
        <f t="shared" si="17"/>
        <v>4176</v>
      </c>
      <c r="AL279">
        <f t="shared" si="18"/>
        <v>-1152</v>
      </c>
    </row>
    <row r="280" spans="1:38" ht="39.6" x14ac:dyDescent="0.3">
      <c r="A280" s="4" t="s">
        <v>814</v>
      </c>
      <c r="B280" s="5" t="s">
        <v>815</v>
      </c>
      <c r="C280" s="21" t="s">
        <v>816</v>
      </c>
      <c r="D280" s="20"/>
      <c r="E280" s="4">
        <v>1002277</v>
      </c>
      <c r="F280" s="4" t="s">
        <v>44</v>
      </c>
      <c r="G280" s="4" t="s">
        <v>45</v>
      </c>
      <c r="H280" s="4" t="s">
        <v>61</v>
      </c>
      <c r="I280" s="4" t="s">
        <v>57</v>
      </c>
      <c r="J280" s="4" t="s">
        <v>47</v>
      </c>
      <c r="K280" s="4">
        <v>7.5</v>
      </c>
      <c r="L280" s="4">
        <v>15</v>
      </c>
      <c r="M280" s="5">
        <v>288</v>
      </c>
      <c r="N280" s="5">
        <v>288</v>
      </c>
      <c r="O280" s="5">
        <v>432</v>
      </c>
      <c r="P280" s="5">
        <v>288</v>
      </c>
      <c r="Q280" s="5">
        <v>288</v>
      </c>
      <c r="R280" s="5">
        <v>288</v>
      </c>
      <c r="S280" s="5">
        <v>576</v>
      </c>
      <c r="T280" s="5">
        <v>144</v>
      </c>
      <c r="U280" s="5">
        <v>432</v>
      </c>
      <c r="V280" s="5">
        <v>576</v>
      </c>
      <c r="W280" s="5">
        <v>288</v>
      </c>
      <c r="X280" s="5">
        <v>288</v>
      </c>
      <c r="Z280" t="e">
        <f>VLOOKUP(E280,Sheet2!$A$1:$A$39,1,0)</f>
        <v>#N/A</v>
      </c>
      <c r="AA280">
        <f>VLOOKUP($E280,[1]Sheet1!$E$10:$X$629,AA$9,0)</f>
        <v>288</v>
      </c>
      <c r="AB280">
        <f>VLOOKUP($E280,[1]Sheet1!$E$10:$X$629,AB$9,0)</f>
        <v>432</v>
      </c>
      <c r="AC280">
        <f>VLOOKUP($E280,[1]Sheet1!$E$10:$X$629,AC$9,0)</f>
        <v>576</v>
      </c>
      <c r="AD280">
        <f>VLOOKUP($E280,[1]Sheet1!$E$10:$X$629,AD$9,0)</f>
        <v>288</v>
      </c>
      <c r="AE280">
        <f>VLOOKUP($E280,[1]Sheet1!$E$10:$X$629,AE$9,0)</f>
        <v>576</v>
      </c>
      <c r="AF280">
        <f>VLOOKUP($E280,[1]Sheet1!$E$10:$X$629,AF$9,0)</f>
        <v>576</v>
      </c>
      <c r="AG280">
        <f>VLOOKUP($E280,[1]Sheet1!$E$10:$X$629,AG$9,0)</f>
        <v>432</v>
      </c>
      <c r="AH280">
        <f>VLOOKUP($E280,[1]Sheet1!$E$10:$X$629,AH$9,0)</f>
        <v>144</v>
      </c>
      <c r="AJ280">
        <f t="shared" si="16"/>
        <v>2592</v>
      </c>
      <c r="AK280">
        <f t="shared" si="17"/>
        <v>3312</v>
      </c>
      <c r="AL280">
        <f t="shared" si="18"/>
        <v>-720</v>
      </c>
    </row>
    <row r="281" spans="1:38" ht="39.6" x14ac:dyDescent="0.3">
      <c r="A281" s="4" t="s">
        <v>817</v>
      </c>
      <c r="B281" s="5" t="s">
        <v>818</v>
      </c>
      <c r="C281" s="21" t="s">
        <v>819</v>
      </c>
      <c r="D281" s="20"/>
      <c r="E281" s="4">
        <v>1002274</v>
      </c>
      <c r="F281" s="4" t="s">
        <v>44</v>
      </c>
      <c r="G281" s="4" t="s">
        <v>45</v>
      </c>
      <c r="H281" s="4" t="s">
        <v>56</v>
      </c>
      <c r="I281" s="4" t="s">
        <v>57</v>
      </c>
      <c r="J281" s="4" t="s">
        <v>47</v>
      </c>
      <c r="K281" s="4">
        <v>7.5</v>
      </c>
      <c r="L281" s="4">
        <v>15</v>
      </c>
      <c r="M281" s="5">
        <v>864</v>
      </c>
      <c r="N281" s="5">
        <v>1152</v>
      </c>
      <c r="O281" s="5">
        <v>1296</v>
      </c>
      <c r="P281" s="5">
        <v>1008</v>
      </c>
      <c r="Q281" s="5">
        <v>1008</v>
      </c>
      <c r="R281" s="5">
        <v>1296</v>
      </c>
      <c r="S281" s="5">
        <v>1296</v>
      </c>
      <c r="T281" s="5">
        <v>1296</v>
      </c>
      <c r="U281" s="5">
        <v>1584</v>
      </c>
      <c r="V281" s="5">
        <v>1296</v>
      </c>
      <c r="W281" s="5">
        <v>1008</v>
      </c>
      <c r="X281" s="5">
        <v>1440</v>
      </c>
      <c r="Z281" t="e">
        <f>VLOOKUP(E281,Sheet2!$A$1:$A$39,1,0)</f>
        <v>#N/A</v>
      </c>
      <c r="AA281">
        <f>VLOOKUP($E281,[1]Sheet1!$E$10:$X$629,AA$9,0)</f>
        <v>1152</v>
      </c>
      <c r="AB281">
        <f>VLOOKUP($E281,[1]Sheet1!$E$10:$X$629,AB$9,0)</f>
        <v>1440</v>
      </c>
      <c r="AC281">
        <f>VLOOKUP($E281,[1]Sheet1!$E$10:$X$629,AC$9,0)</f>
        <v>1296</v>
      </c>
      <c r="AD281">
        <f>VLOOKUP($E281,[1]Sheet1!$E$10:$X$629,AD$9,0)</f>
        <v>1440</v>
      </c>
      <c r="AE281">
        <f>VLOOKUP($E281,[1]Sheet1!$E$10:$X$629,AE$9,0)</f>
        <v>1584</v>
      </c>
      <c r="AF281">
        <f>VLOOKUP($E281,[1]Sheet1!$E$10:$X$629,AF$9,0)</f>
        <v>1584</v>
      </c>
      <c r="AG281">
        <f>VLOOKUP($E281,[1]Sheet1!$E$10:$X$629,AG$9,0)</f>
        <v>1584</v>
      </c>
      <c r="AH281">
        <f>VLOOKUP($E281,[1]Sheet1!$E$10:$X$629,AH$9,0)</f>
        <v>864</v>
      </c>
      <c r="AJ281">
        <f t="shared" si="16"/>
        <v>9216</v>
      </c>
      <c r="AK281">
        <f t="shared" si="17"/>
        <v>10944</v>
      </c>
      <c r="AL281">
        <f t="shared" si="18"/>
        <v>-1728</v>
      </c>
    </row>
    <row r="282" spans="1:38" ht="39.6" x14ac:dyDescent="0.3">
      <c r="A282" s="4" t="s">
        <v>820</v>
      </c>
      <c r="B282" s="5" t="s">
        <v>821</v>
      </c>
      <c r="C282" s="21" t="s">
        <v>822</v>
      </c>
      <c r="D282" s="20"/>
      <c r="E282" s="4">
        <v>1002275</v>
      </c>
      <c r="F282" s="4" t="s">
        <v>44</v>
      </c>
      <c r="G282" s="4" t="s">
        <v>45</v>
      </c>
      <c r="H282" s="4" t="s">
        <v>61</v>
      </c>
      <c r="I282" s="4" t="s">
        <v>57</v>
      </c>
      <c r="J282" s="4" t="s">
        <v>47</v>
      </c>
      <c r="K282" s="4">
        <v>7.5</v>
      </c>
      <c r="L282" s="4">
        <v>15</v>
      </c>
      <c r="M282" s="5">
        <v>288</v>
      </c>
      <c r="N282" s="5">
        <v>288</v>
      </c>
      <c r="O282" s="5">
        <v>720</v>
      </c>
      <c r="P282" s="5">
        <v>144</v>
      </c>
      <c r="Q282" s="5">
        <v>576</v>
      </c>
      <c r="R282" s="5">
        <v>576</v>
      </c>
      <c r="S282" s="5">
        <v>576</v>
      </c>
      <c r="T282" s="5">
        <v>432</v>
      </c>
      <c r="U282" s="5">
        <v>720</v>
      </c>
      <c r="V282" s="5">
        <v>432</v>
      </c>
      <c r="W282" s="5">
        <v>720</v>
      </c>
      <c r="X282" s="5">
        <v>432</v>
      </c>
      <c r="Z282" t="e">
        <f>VLOOKUP(E282,Sheet2!$A$1:$A$39,1,0)</f>
        <v>#N/A</v>
      </c>
      <c r="AA282">
        <f>VLOOKUP($E282,[1]Sheet1!$E$10:$X$629,AA$9,0)</f>
        <v>432</v>
      </c>
      <c r="AB282">
        <f>VLOOKUP($E282,[1]Sheet1!$E$10:$X$629,AB$9,0)</f>
        <v>432</v>
      </c>
      <c r="AC282">
        <f>VLOOKUP($E282,[1]Sheet1!$E$10:$X$629,AC$9,0)</f>
        <v>864</v>
      </c>
      <c r="AD282">
        <f>VLOOKUP($E282,[1]Sheet1!$E$10:$X$629,AD$9,0)</f>
        <v>720</v>
      </c>
      <c r="AE282">
        <f>VLOOKUP($E282,[1]Sheet1!$E$10:$X$629,AE$9,0)</f>
        <v>576</v>
      </c>
      <c r="AF282">
        <f>VLOOKUP($E282,[1]Sheet1!$E$10:$X$629,AF$9,0)</f>
        <v>720</v>
      </c>
      <c r="AG282">
        <f>VLOOKUP($E282,[1]Sheet1!$E$10:$X$629,AG$9,0)</f>
        <v>864</v>
      </c>
      <c r="AH282">
        <f>VLOOKUP($E282,[1]Sheet1!$E$10:$X$629,AH$9,0)</f>
        <v>288</v>
      </c>
      <c r="AJ282">
        <f t="shared" si="16"/>
        <v>3600</v>
      </c>
      <c r="AK282">
        <f t="shared" si="17"/>
        <v>4896</v>
      </c>
      <c r="AL282">
        <f t="shared" si="18"/>
        <v>-1296</v>
      </c>
    </row>
    <row r="283" spans="1:38" ht="39.6" x14ac:dyDescent="0.3">
      <c r="A283" s="4" t="s">
        <v>823</v>
      </c>
      <c r="B283" s="5" t="s">
        <v>824</v>
      </c>
      <c r="C283" s="21" t="s">
        <v>825</v>
      </c>
      <c r="D283" s="20"/>
      <c r="E283" s="4">
        <v>1002273</v>
      </c>
      <c r="F283" s="4" t="s">
        <v>44</v>
      </c>
      <c r="G283" s="4" t="s">
        <v>45</v>
      </c>
      <c r="H283" s="4" t="s">
        <v>56</v>
      </c>
      <c r="I283" s="4" t="s">
        <v>57</v>
      </c>
      <c r="J283" s="4" t="s">
        <v>47</v>
      </c>
      <c r="K283" s="4">
        <v>7.5</v>
      </c>
      <c r="L283" s="4">
        <v>15</v>
      </c>
      <c r="M283" s="5">
        <v>720</v>
      </c>
      <c r="N283" s="5">
        <v>1008</v>
      </c>
      <c r="O283" s="5">
        <v>720</v>
      </c>
      <c r="P283" s="5">
        <v>1152</v>
      </c>
      <c r="Q283" s="5">
        <v>864</v>
      </c>
      <c r="R283" s="5">
        <v>1152</v>
      </c>
      <c r="S283" s="5">
        <v>1008</v>
      </c>
      <c r="T283" s="5">
        <v>864</v>
      </c>
      <c r="U283" s="5">
        <v>1440</v>
      </c>
      <c r="V283" s="5">
        <v>1152</v>
      </c>
      <c r="W283" s="5">
        <v>864</v>
      </c>
      <c r="X283" s="5">
        <v>1152</v>
      </c>
      <c r="Z283" t="e">
        <f>VLOOKUP(E283,Sheet2!$A$1:$A$39,1,0)</f>
        <v>#N/A</v>
      </c>
      <c r="AA283">
        <f>VLOOKUP($E283,[1]Sheet1!$E$10:$X$629,AA$9,0)</f>
        <v>1008</v>
      </c>
      <c r="AB283">
        <f>VLOOKUP($E283,[1]Sheet1!$E$10:$X$629,AB$9,0)</f>
        <v>1152</v>
      </c>
      <c r="AC283">
        <f>VLOOKUP($E283,[1]Sheet1!$E$10:$X$629,AC$9,0)</f>
        <v>1440</v>
      </c>
      <c r="AD283">
        <f>VLOOKUP($E283,[1]Sheet1!$E$10:$X$629,AD$9,0)</f>
        <v>1296</v>
      </c>
      <c r="AE283">
        <f>VLOOKUP($E283,[1]Sheet1!$E$10:$X$629,AE$9,0)</f>
        <v>1152</v>
      </c>
      <c r="AF283">
        <f>VLOOKUP($E283,[1]Sheet1!$E$10:$X$629,AF$9,0)</f>
        <v>1296</v>
      </c>
      <c r="AG283">
        <f>VLOOKUP($E283,[1]Sheet1!$E$10:$X$629,AG$9,0)</f>
        <v>1584</v>
      </c>
      <c r="AH283">
        <f>VLOOKUP($E283,[1]Sheet1!$E$10:$X$629,AH$9,0)</f>
        <v>576</v>
      </c>
      <c r="AJ283">
        <f t="shared" si="16"/>
        <v>7488</v>
      </c>
      <c r="AK283">
        <f t="shared" si="17"/>
        <v>9504</v>
      </c>
      <c r="AL283">
        <f t="shared" si="18"/>
        <v>-2016</v>
      </c>
    </row>
    <row r="284" spans="1:38" ht="39.6" x14ac:dyDescent="0.3">
      <c r="A284" s="4" t="s">
        <v>826</v>
      </c>
      <c r="B284" s="5" t="s">
        <v>827</v>
      </c>
      <c r="C284" s="21" t="s">
        <v>828</v>
      </c>
      <c r="D284" s="20"/>
      <c r="E284" s="4">
        <v>1002279</v>
      </c>
      <c r="F284" s="4" t="s">
        <v>44</v>
      </c>
      <c r="G284" s="4" t="s">
        <v>45</v>
      </c>
      <c r="H284" s="4" t="s">
        <v>61</v>
      </c>
      <c r="I284" s="4" t="s">
        <v>57</v>
      </c>
      <c r="J284" s="4" t="s">
        <v>47</v>
      </c>
      <c r="K284" s="4">
        <v>7.5</v>
      </c>
      <c r="L284" s="4">
        <v>15</v>
      </c>
      <c r="M284" s="5">
        <v>432</v>
      </c>
      <c r="N284" s="5">
        <v>576</v>
      </c>
      <c r="O284" s="5">
        <v>720</v>
      </c>
      <c r="P284" s="5">
        <v>576</v>
      </c>
      <c r="Q284" s="5">
        <v>720</v>
      </c>
      <c r="R284" s="5">
        <v>576</v>
      </c>
      <c r="S284" s="5">
        <v>864</v>
      </c>
      <c r="T284" s="5">
        <v>720</v>
      </c>
      <c r="U284" s="5">
        <v>1008</v>
      </c>
      <c r="V284" s="5">
        <v>720</v>
      </c>
      <c r="W284" s="5">
        <v>720</v>
      </c>
      <c r="X284" s="5">
        <v>864</v>
      </c>
      <c r="Z284" t="e">
        <f>VLOOKUP(E284,Sheet2!$A$1:$A$39,1,0)</f>
        <v>#N/A</v>
      </c>
      <c r="AA284">
        <f>VLOOKUP($E284,[1]Sheet1!$E$10:$X$629,AA$9,0)</f>
        <v>864</v>
      </c>
      <c r="AB284">
        <f>VLOOKUP($E284,[1]Sheet1!$E$10:$X$629,AB$9,0)</f>
        <v>864</v>
      </c>
      <c r="AC284">
        <f>VLOOKUP($E284,[1]Sheet1!$E$10:$X$629,AC$9,0)</f>
        <v>1008</v>
      </c>
      <c r="AD284">
        <f>VLOOKUP($E284,[1]Sheet1!$E$10:$X$629,AD$9,0)</f>
        <v>576</v>
      </c>
      <c r="AE284">
        <f>VLOOKUP($E284,[1]Sheet1!$E$10:$X$629,AE$9,0)</f>
        <v>1008</v>
      </c>
      <c r="AF284">
        <f>VLOOKUP($E284,[1]Sheet1!$E$10:$X$629,AF$9,0)</f>
        <v>1152</v>
      </c>
      <c r="AG284">
        <f>VLOOKUP($E284,[1]Sheet1!$E$10:$X$629,AG$9,0)</f>
        <v>720</v>
      </c>
      <c r="AH284">
        <f>VLOOKUP($E284,[1]Sheet1!$E$10:$X$629,AH$9,0)</f>
        <v>432</v>
      </c>
      <c r="AJ284">
        <f t="shared" si="16"/>
        <v>5184</v>
      </c>
      <c r="AK284">
        <f t="shared" si="17"/>
        <v>6624</v>
      </c>
      <c r="AL284">
        <f t="shared" si="18"/>
        <v>-1440</v>
      </c>
    </row>
    <row r="285" spans="1:38" ht="39.6" x14ac:dyDescent="0.3">
      <c r="A285" s="4" t="s">
        <v>829</v>
      </c>
      <c r="B285" s="5" t="s">
        <v>830</v>
      </c>
      <c r="C285" s="21" t="s">
        <v>831</v>
      </c>
      <c r="D285" s="20"/>
      <c r="E285" s="4">
        <v>1002280</v>
      </c>
      <c r="F285" s="4" t="s">
        <v>44</v>
      </c>
      <c r="G285" s="4" t="s">
        <v>45</v>
      </c>
      <c r="H285" s="4" t="s">
        <v>61</v>
      </c>
      <c r="I285" s="4" t="s">
        <v>57</v>
      </c>
      <c r="J285" s="4" t="s">
        <v>47</v>
      </c>
      <c r="K285" s="4">
        <v>6</v>
      </c>
      <c r="L285" s="4">
        <v>12</v>
      </c>
      <c r="M285" s="5">
        <v>432</v>
      </c>
      <c r="N285" s="5">
        <v>288</v>
      </c>
      <c r="O285" s="5">
        <v>144</v>
      </c>
      <c r="P285" s="5">
        <v>432</v>
      </c>
      <c r="Q285" s="5">
        <v>288</v>
      </c>
      <c r="R285" s="5">
        <v>288</v>
      </c>
      <c r="S285" s="5">
        <v>432</v>
      </c>
      <c r="T285" s="5">
        <v>288</v>
      </c>
      <c r="U285" s="5">
        <v>576</v>
      </c>
      <c r="V285" s="5">
        <v>288</v>
      </c>
      <c r="W285" s="5">
        <v>576</v>
      </c>
      <c r="X285" s="5">
        <v>432</v>
      </c>
      <c r="Z285" t="e">
        <f>VLOOKUP(E285,Sheet2!$A$1:$A$39,1,0)</f>
        <v>#N/A</v>
      </c>
      <c r="AA285">
        <f>VLOOKUP($E285,[1]Sheet1!$E$10:$X$629,AA$9,0)</f>
        <v>144</v>
      </c>
      <c r="AB285">
        <f>VLOOKUP($E285,[1]Sheet1!$E$10:$X$629,AB$9,0)</f>
        <v>576</v>
      </c>
      <c r="AC285">
        <f>VLOOKUP($E285,[1]Sheet1!$E$10:$X$629,AC$9,0)</f>
        <v>432</v>
      </c>
      <c r="AD285">
        <f>VLOOKUP($E285,[1]Sheet1!$E$10:$X$629,AD$9,0)</f>
        <v>288</v>
      </c>
      <c r="AE285">
        <f>VLOOKUP($E285,[1]Sheet1!$E$10:$X$629,AE$9,0)</f>
        <v>432</v>
      </c>
      <c r="AF285">
        <f>VLOOKUP($E285,[1]Sheet1!$E$10:$X$629,AF$9,0)</f>
        <v>576</v>
      </c>
      <c r="AG285">
        <f>VLOOKUP($E285,[1]Sheet1!$E$10:$X$629,AG$9,0)</f>
        <v>432</v>
      </c>
      <c r="AH285">
        <f>VLOOKUP($E285,[1]Sheet1!$E$10:$X$629,AH$9,0)</f>
        <v>144</v>
      </c>
      <c r="AJ285">
        <f t="shared" si="16"/>
        <v>2592</v>
      </c>
      <c r="AK285">
        <f t="shared" si="17"/>
        <v>3024</v>
      </c>
      <c r="AL285">
        <f t="shared" si="18"/>
        <v>-432</v>
      </c>
    </row>
    <row r="286" spans="1:38" ht="39.6" x14ac:dyDescent="0.3">
      <c r="A286" s="4" t="s">
        <v>832</v>
      </c>
      <c r="B286" s="5" t="s">
        <v>833</v>
      </c>
      <c r="C286" s="21" t="s">
        <v>834</v>
      </c>
      <c r="D286" s="20"/>
      <c r="E286" s="4">
        <v>1002276</v>
      </c>
      <c r="F286" s="4" t="s">
        <v>44</v>
      </c>
      <c r="G286" s="4" t="s">
        <v>45</v>
      </c>
      <c r="H286" s="4" t="s">
        <v>61</v>
      </c>
      <c r="I286" s="4" t="s">
        <v>57</v>
      </c>
      <c r="J286" s="4" t="s">
        <v>47</v>
      </c>
      <c r="K286" s="4">
        <v>7.5</v>
      </c>
      <c r="L286" s="4">
        <v>15</v>
      </c>
      <c r="M286" s="5">
        <v>576</v>
      </c>
      <c r="N286" s="5">
        <v>1008</v>
      </c>
      <c r="O286" s="5">
        <v>1296</v>
      </c>
      <c r="P286" s="5">
        <v>864</v>
      </c>
      <c r="Q286" s="5">
        <v>864</v>
      </c>
      <c r="R286" s="5">
        <v>1008</v>
      </c>
      <c r="S286" s="5">
        <v>1296</v>
      </c>
      <c r="T286" s="5">
        <v>1008</v>
      </c>
      <c r="U286" s="5">
        <v>1152</v>
      </c>
      <c r="V286" s="5">
        <v>1296</v>
      </c>
      <c r="W286" s="5">
        <v>1008</v>
      </c>
      <c r="X286" s="5">
        <v>1152</v>
      </c>
      <c r="Z286" t="e">
        <f>VLOOKUP(E286,Sheet2!$A$1:$A$39,1,0)</f>
        <v>#N/A</v>
      </c>
      <c r="AA286">
        <f>VLOOKUP($E286,[1]Sheet1!$E$10:$X$629,AA$9,0)</f>
        <v>1296</v>
      </c>
      <c r="AB286">
        <f>VLOOKUP($E286,[1]Sheet1!$E$10:$X$629,AB$9,0)</f>
        <v>1008</v>
      </c>
      <c r="AC286">
        <f>VLOOKUP($E286,[1]Sheet1!$E$10:$X$629,AC$9,0)</f>
        <v>1728</v>
      </c>
      <c r="AD286">
        <f>VLOOKUP($E286,[1]Sheet1!$E$10:$X$629,AD$9,0)</f>
        <v>1152</v>
      </c>
      <c r="AE286">
        <f>VLOOKUP($E286,[1]Sheet1!$E$10:$X$629,AE$9,0)</f>
        <v>1296</v>
      </c>
      <c r="AF286">
        <f>VLOOKUP($E286,[1]Sheet1!$E$10:$X$629,AF$9,0)</f>
        <v>1584</v>
      </c>
      <c r="AG286">
        <f>VLOOKUP($E286,[1]Sheet1!$E$10:$X$629,AG$9,0)</f>
        <v>1584</v>
      </c>
      <c r="AH286">
        <f>VLOOKUP($E286,[1]Sheet1!$E$10:$X$629,AH$9,0)</f>
        <v>576</v>
      </c>
      <c r="AJ286">
        <f t="shared" si="16"/>
        <v>7920</v>
      </c>
      <c r="AK286">
        <f t="shared" si="17"/>
        <v>10224</v>
      </c>
      <c r="AL286">
        <f t="shared" si="18"/>
        <v>-2304</v>
      </c>
    </row>
    <row r="287" spans="1:38" ht="39.6" x14ac:dyDescent="0.3">
      <c r="A287" s="4" t="s">
        <v>835</v>
      </c>
      <c r="B287" s="5" t="s">
        <v>836</v>
      </c>
      <c r="C287" s="21" t="s">
        <v>837</v>
      </c>
      <c r="D287" s="20"/>
      <c r="E287" s="4">
        <v>1002278</v>
      </c>
      <c r="F287" s="4" t="s">
        <v>44</v>
      </c>
      <c r="G287" s="4" t="s">
        <v>45</v>
      </c>
      <c r="H287" s="4" t="s">
        <v>61</v>
      </c>
      <c r="I287" s="4" t="s">
        <v>57</v>
      </c>
      <c r="J287" s="4" t="s">
        <v>47</v>
      </c>
      <c r="K287" s="4">
        <v>7.5</v>
      </c>
      <c r="L287" s="4">
        <v>15</v>
      </c>
      <c r="M287" s="5">
        <v>288</v>
      </c>
      <c r="N287" s="5">
        <v>432</v>
      </c>
      <c r="O287" s="5">
        <v>432</v>
      </c>
      <c r="P287" s="5">
        <v>432</v>
      </c>
      <c r="Q287" s="5">
        <v>432</v>
      </c>
      <c r="R287" s="5">
        <v>576</v>
      </c>
      <c r="S287" s="5">
        <v>144</v>
      </c>
      <c r="T287" s="5">
        <v>576</v>
      </c>
      <c r="U287" s="5">
        <v>576</v>
      </c>
      <c r="V287" s="5">
        <v>576</v>
      </c>
      <c r="W287" s="5">
        <v>432</v>
      </c>
      <c r="X287" s="5">
        <v>720</v>
      </c>
      <c r="Z287" t="e">
        <f>VLOOKUP(E287,Sheet2!$A$1:$A$39,1,0)</f>
        <v>#N/A</v>
      </c>
      <c r="AA287">
        <f>VLOOKUP($E287,[1]Sheet1!$E$10:$X$629,AA$9,0)</f>
        <v>432</v>
      </c>
      <c r="AB287">
        <f>VLOOKUP($E287,[1]Sheet1!$E$10:$X$629,AB$9,0)</f>
        <v>576</v>
      </c>
      <c r="AC287">
        <f>VLOOKUP($E287,[1]Sheet1!$E$10:$X$629,AC$9,0)</f>
        <v>1008</v>
      </c>
      <c r="AD287">
        <f>VLOOKUP($E287,[1]Sheet1!$E$10:$X$629,AD$9,0)</f>
        <v>432</v>
      </c>
      <c r="AE287">
        <f>VLOOKUP($E287,[1]Sheet1!$E$10:$X$629,AE$9,0)</f>
        <v>720</v>
      </c>
      <c r="AF287">
        <f>VLOOKUP($E287,[1]Sheet1!$E$10:$X$629,AF$9,0)</f>
        <v>720</v>
      </c>
      <c r="AG287">
        <f>VLOOKUP($E287,[1]Sheet1!$E$10:$X$629,AG$9,0)</f>
        <v>720</v>
      </c>
      <c r="AH287">
        <f>VLOOKUP($E287,[1]Sheet1!$E$10:$X$629,AH$9,0)</f>
        <v>288</v>
      </c>
      <c r="AJ287">
        <f t="shared" si="16"/>
        <v>3312</v>
      </c>
      <c r="AK287">
        <f t="shared" si="17"/>
        <v>4896</v>
      </c>
      <c r="AL287">
        <f t="shared" si="18"/>
        <v>-1584</v>
      </c>
    </row>
    <row r="288" spans="1:38" ht="39.6" x14ac:dyDescent="0.3">
      <c r="A288" s="4" t="s">
        <v>838</v>
      </c>
      <c r="B288" s="5" t="s">
        <v>839</v>
      </c>
      <c r="C288" s="21" t="s">
        <v>840</v>
      </c>
      <c r="D288" s="20"/>
      <c r="E288" s="4">
        <v>1002155</v>
      </c>
      <c r="F288" s="4" t="s">
        <v>44</v>
      </c>
      <c r="G288" s="4" t="s">
        <v>45</v>
      </c>
      <c r="H288" s="4" t="s">
        <v>61</v>
      </c>
      <c r="I288" s="4" t="s">
        <v>52</v>
      </c>
      <c r="J288" s="4" t="s">
        <v>47</v>
      </c>
      <c r="K288" s="4">
        <v>7</v>
      </c>
      <c r="L288" s="4">
        <v>1.4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Z288" t="e">
        <f>VLOOKUP(E288,Sheet2!$A$1:$A$39,1,0)</f>
        <v>#N/A</v>
      </c>
      <c r="AA288">
        <f>VLOOKUP($E288,[1]Sheet1!$E$10:$X$629,AA$9,0)</f>
        <v>0</v>
      </c>
      <c r="AB288">
        <f>VLOOKUP($E288,[1]Sheet1!$E$10:$X$629,AB$9,0)</f>
        <v>0</v>
      </c>
      <c r="AC288">
        <f>VLOOKUP($E288,[1]Sheet1!$E$10:$X$629,AC$9,0)</f>
        <v>0</v>
      </c>
      <c r="AD288">
        <f>VLOOKUP($E288,[1]Sheet1!$E$10:$X$629,AD$9,0)</f>
        <v>0</v>
      </c>
      <c r="AE288">
        <f>VLOOKUP($E288,[1]Sheet1!$E$10:$X$629,AE$9,0)</f>
        <v>0</v>
      </c>
      <c r="AF288">
        <f>VLOOKUP($E288,[1]Sheet1!$E$10:$X$629,AF$9,0)</f>
        <v>0</v>
      </c>
      <c r="AG288">
        <f>VLOOKUP($E288,[1]Sheet1!$E$10:$X$629,AG$9,0)</f>
        <v>0</v>
      </c>
      <c r="AH288">
        <f>VLOOKUP($E288,[1]Sheet1!$E$10:$X$629,AH$9,0)</f>
        <v>0</v>
      </c>
      <c r="AJ288">
        <f t="shared" si="16"/>
        <v>0</v>
      </c>
      <c r="AK288">
        <f t="shared" si="17"/>
        <v>0</v>
      </c>
      <c r="AL288">
        <f t="shared" si="18"/>
        <v>0</v>
      </c>
    </row>
    <row r="289" spans="1:38" ht="39.6" x14ac:dyDescent="0.3">
      <c r="A289" s="4" t="s">
        <v>841</v>
      </c>
      <c r="B289" s="5" t="s">
        <v>842</v>
      </c>
      <c r="C289" s="21" t="s">
        <v>843</v>
      </c>
      <c r="D289" s="20"/>
      <c r="E289" s="4">
        <v>1002154</v>
      </c>
      <c r="F289" s="4" t="s">
        <v>44</v>
      </c>
      <c r="G289" s="4" t="s">
        <v>45</v>
      </c>
      <c r="H289" s="4" t="s">
        <v>615</v>
      </c>
      <c r="I289" s="4" t="s">
        <v>46</v>
      </c>
      <c r="J289" s="4" t="s">
        <v>47</v>
      </c>
      <c r="K289" s="4">
        <v>7</v>
      </c>
      <c r="L289" s="4">
        <v>1.4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Z289" t="e">
        <f>VLOOKUP(E289,Sheet2!$A$1:$A$39,1,0)</f>
        <v>#N/A</v>
      </c>
      <c r="AA289">
        <f>VLOOKUP($E289,[1]Sheet1!$E$10:$X$629,AA$9,0)</f>
        <v>0</v>
      </c>
      <c r="AB289">
        <f>VLOOKUP($E289,[1]Sheet1!$E$10:$X$629,AB$9,0)</f>
        <v>0</v>
      </c>
      <c r="AC289">
        <f>VLOOKUP($E289,[1]Sheet1!$E$10:$X$629,AC$9,0)</f>
        <v>0</v>
      </c>
      <c r="AD289">
        <f>VLOOKUP($E289,[1]Sheet1!$E$10:$X$629,AD$9,0)</f>
        <v>0</v>
      </c>
      <c r="AE289">
        <f>VLOOKUP($E289,[1]Sheet1!$E$10:$X$629,AE$9,0)</f>
        <v>0</v>
      </c>
      <c r="AF289">
        <f>VLOOKUP($E289,[1]Sheet1!$E$10:$X$629,AF$9,0)</f>
        <v>0</v>
      </c>
      <c r="AG289">
        <f>VLOOKUP($E289,[1]Sheet1!$E$10:$X$629,AG$9,0)</f>
        <v>0</v>
      </c>
      <c r="AH289">
        <f>VLOOKUP($E289,[1]Sheet1!$E$10:$X$629,AH$9,0)</f>
        <v>0</v>
      </c>
      <c r="AJ289">
        <f t="shared" si="16"/>
        <v>0</v>
      </c>
      <c r="AK289">
        <f t="shared" si="17"/>
        <v>0</v>
      </c>
      <c r="AL289">
        <f t="shared" si="18"/>
        <v>0</v>
      </c>
    </row>
    <row r="290" spans="1:38" ht="39.6" x14ac:dyDescent="0.3">
      <c r="A290" s="4" t="s">
        <v>844</v>
      </c>
      <c r="B290" s="5" t="s">
        <v>845</v>
      </c>
      <c r="C290" s="21" t="s">
        <v>846</v>
      </c>
      <c r="D290" s="20"/>
      <c r="E290" s="4">
        <v>1002327</v>
      </c>
      <c r="F290" s="4" t="s">
        <v>44</v>
      </c>
      <c r="G290" s="4" t="s">
        <v>45</v>
      </c>
      <c r="H290" s="4" t="s">
        <v>61</v>
      </c>
      <c r="I290" s="4" t="s">
        <v>46</v>
      </c>
      <c r="J290" s="4" t="s">
        <v>47</v>
      </c>
      <c r="K290" s="4">
        <v>7</v>
      </c>
      <c r="L290" s="4">
        <v>1.4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Z290" t="e">
        <f>VLOOKUP(E290,Sheet2!$A$1:$A$39,1,0)</f>
        <v>#N/A</v>
      </c>
      <c r="AA290">
        <f>VLOOKUP($E290,[1]Sheet1!$E$10:$X$629,AA$9,0)</f>
        <v>0</v>
      </c>
      <c r="AB290">
        <f>VLOOKUP($E290,[1]Sheet1!$E$10:$X$629,AB$9,0)</f>
        <v>0</v>
      </c>
      <c r="AC290">
        <f>VLOOKUP($E290,[1]Sheet1!$E$10:$X$629,AC$9,0)</f>
        <v>0</v>
      </c>
      <c r="AD290">
        <f>VLOOKUP($E290,[1]Sheet1!$E$10:$X$629,AD$9,0)</f>
        <v>0</v>
      </c>
      <c r="AE290">
        <f>VLOOKUP($E290,[1]Sheet1!$E$10:$X$629,AE$9,0)</f>
        <v>0</v>
      </c>
      <c r="AF290">
        <f>VLOOKUP($E290,[1]Sheet1!$E$10:$X$629,AF$9,0)</f>
        <v>0</v>
      </c>
      <c r="AG290">
        <f>VLOOKUP($E290,[1]Sheet1!$E$10:$X$629,AG$9,0)</f>
        <v>0</v>
      </c>
      <c r="AH290">
        <f>VLOOKUP($E290,[1]Sheet1!$E$10:$X$629,AH$9,0)</f>
        <v>0</v>
      </c>
      <c r="AJ290">
        <f t="shared" si="16"/>
        <v>0</v>
      </c>
      <c r="AK290">
        <f t="shared" si="17"/>
        <v>0</v>
      </c>
      <c r="AL290">
        <f t="shared" si="18"/>
        <v>0</v>
      </c>
    </row>
    <row r="291" spans="1:38" ht="39.6" x14ac:dyDescent="0.3">
      <c r="A291" s="4" t="s">
        <v>847</v>
      </c>
      <c r="B291" s="5" t="s">
        <v>848</v>
      </c>
      <c r="C291" s="21" t="s">
        <v>849</v>
      </c>
      <c r="D291" s="20"/>
      <c r="E291" s="4">
        <v>1002156</v>
      </c>
      <c r="F291" s="4" t="s">
        <v>44</v>
      </c>
      <c r="G291" s="4" t="s">
        <v>45</v>
      </c>
      <c r="H291" s="4" t="s">
        <v>51</v>
      </c>
      <c r="I291" s="4" t="s">
        <v>46</v>
      </c>
      <c r="J291" s="4" t="s">
        <v>47</v>
      </c>
      <c r="K291" s="4">
        <v>7.5</v>
      </c>
      <c r="L291" s="4">
        <v>1.5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Z291" t="e">
        <f>VLOOKUP(E291,Sheet2!$A$1:$A$39,1,0)</f>
        <v>#N/A</v>
      </c>
      <c r="AA291">
        <f>VLOOKUP($E291,[1]Sheet1!$E$10:$X$629,AA$9,0)</f>
        <v>0</v>
      </c>
      <c r="AB291">
        <f>VLOOKUP($E291,[1]Sheet1!$E$10:$X$629,AB$9,0)</f>
        <v>0</v>
      </c>
      <c r="AC291">
        <f>VLOOKUP($E291,[1]Sheet1!$E$10:$X$629,AC$9,0)</f>
        <v>0</v>
      </c>
      <c r="AD291">
        <f>VLOOKUP($E291,[1]Sheet1!$E$10:$X$629,AD$9,0)</f>
        <v>0</v>
      </c>
      <c r="AE291">
        <f>VLOOKUP($E291,[1]Sheet1!$E$10:$X$629,AE$9,0)</f>
        <v>0</v>
      </c>
      <c r="AF291">
        <f>VLOOKUP($E291,[1]Sheet1!$E$10:$X$629,AF$9,0)</f>
        <v>0</v>
      </c>
      <c r="AG291">
        <f>VLOOKUP($E291,[1]Sheet1!$E$10:$X$629,AG$9,0)</f>
        <v>0</v>
      </c>
      <c r="AH291">
        <f>VLOOKUP($E291,[1]Sheet1!$E$10:$X$629,AH$9,0)</f>
        <v>0</v>
      </c>
      <c r="AJ291">
        <f t="shared" si="16"/>
        <v>0</v>
      </c>
      <c r="AK291">
        <f t="shared" si="17"/>
        <v>0</v>
      </c>
      <c r="AL291">
        <f t="shared" si="18"/>
        <v>0</v>
      </c>
    </row>
    <row r="292" spans="1:38" ht="39.6" x14ac:dyDescent="0.3">
      <c r="A292" s="4" t="s">
        <v>850</v>
      </c>
      <c r="B292" s="5" t="s">
        <v>851</v>
      </c>
      <c r="C292" s="21" t="s">
        <v>849</v>
      </c>
      <c r="D292" s="20"/>
      <c r="E292" s="4">
        <v>1002158</v>
      </c>
      <c r="F292" s="4" t="s">
        <v>44</v>
      </c>
      <c r="G292" s="4" t="s">
        <v>45</v>
      </c>
      <c r="H292" s="4" t="s">
        <v>51</v>
      </c>
      <c r="I292" s="4" t="s">
        <v>52</v>
      </c>
      <c r="J292" s="4" t="s">
        <v>47</v>
      </c>
      <c r="K292" s="4">
        <v>7.5</v>
      </c>
      <c r="L292" s="4">
        <v>1.5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Z292" t="e">
        <f>VLOOKUP(E292,Sheet2!$A$1:$A$39,1,0)</f>
        <v>#N/A</v>
      </c>
      <c r="AA292">
        <f>VLOOKUP($E292,[1]Sheet1!$E$10:$X$629,AA$9,0)</f>
        <v>0</v>
      </c>
      <c r="AB292">
        <f>VLOOKUP($E292,[1]Sheet1!$E$10:$X$629,AB$9,0)</f>
        <v>0</v>
      </c>
      <c r="AC292">
        <f>VLOOKUP($E292,[1]Sheet1!$E$10:$X$629,AC$9,0)</f>
        <v>0</v>
      </c>
      <c r="AD292">
        <f>VLOOKUP($E292,[1]Sheet1!$E$10:$X$629,AD$9,0)</f>
        <v>0</v>
      </c>
      <c r="AE292">
        <f>VLOOKUP($E292,[1]Sheet1!$E$10:$X$629,AE$9,0)</f>
        <v>0</v>
      </c>
      <c r="AF292">
        <f>VLOOKUP($E292,[1]Sheet1!$E$10:$X$629,AF$9,0)</f>
        <v>0</v>
      </c>
      <c r="AG292">
        <f>VLOOKUP($E292,[1]Sheet1!$E$10:$X$629,AG$9,0)</f>
        <v>0</v>
      </c>
      <c r="AH292">
        <f>VLOOKUP($E292,[1]Sheet1!$E$10:$X$629,AH$9,0)</f>
        <v>0</v>
      </c>
      <c r="AJ292">
        <f t="shared" si="16"/>
        <v>0</v>
      </c>
      <c r="AK292">
        <f t="shared" si="17"/>
        <v>0</v>
      </c>
      <c r="AL292">
        <f t="shared" si="18"/>
        <v>0</v>
      </c>
    </row>
    <row r="293" spans="1:38" ht="39.6" x14ac:dyDescent="0.3">
      <c r="A293" s="4" t="s">
        <v>852</v>
      </c>
      <c r="B293" s="5" t="s">
        <v>853</v>
      </c>
      <c r="C293" s="21" t="s">
        <v>849</v>
      </c>
      <c r="D293" s="20"/>
      <c r="E293" s="4">
        <v>1002159</v>
      </c>
      <c r="F293" s="4" t="s">
        <v>44</v>
      </c>
      <c r="G293" s="4" t="s">
        <v>45</v>
      </c>
      <c r="H293" s="4" t="s">
        <v>51</v>
      </c>
      <c r="I293" s="4" t="s">
        <v>52</v>
      </c>
      <c r="J293" s="4" t="s">
        <v>47</v>
      </c>
      <c r="K293" s="4">
        <v>7.5</v>
      </c>
      <c r="L293" s="4">
        <v>1.5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Z293" t="e">
        <f>VLOOKUP(E293,Sheet2!$A$1:$A$39,1,0)</f>
        <v>#N/A</v>
      </c>
      <c r="AA293">
        <f>VLOOKUP($E293,[1]Sheet1!$E$10:$X$629,AA$9,0)</f>
        <v>0</v>
      </c>
      <c r="AB293">
        <f>VLOOKUP($E293,[1]Sheet1!$E$10:$X$629,AB$9,0)</f>
        <v>0</v>
      </c>
      <c r="AC293">
        <f>VLOOKUP($E293,[1]Sheet1!$E$10:$X$629,AC$9,0)</f>
        <v>0</v>
      </c>
      <c r="AD293">
        <f>VLOOKUP($E293,[1]Sheet1!$E$10:$X$629,AD$9,0)</f>
        <v>0</v>
      </c>
      <c r="AE293">
        <f>VLOOKUP($E293,[1]Sheet1!$E$10:$X$629,AE$9,0)</f>
        <v>0</v>
      </c>
      <c r="AF293">
        <f>VLOOKUP($E293,[1]Sheet1!$E$10:$X$629,AF$9,0)</f>
        <v>0</v>
      </c>
      <c r="AG293">
        <f>VLOOKUP($E293,[1]Sheet1!$E$10:$X$629,AG$9,0)</f>
        <v>0</v>
      </c>
      <c r="AH293">
        <f>VLOOKUP($E293,[1]Sheet1!$E$10:$X$629,AH$9,0)</f>
        <v>0</v>
      </c>
      <c r="AJ293">
        <f t="shared" si="16"/>
        <v>0</v>
      </c>
      <c r="AK293">
        <f t="shared" si="17"/>
        <v>0</v>
      </c>
      <c r="AL293">
        <f t="shared" si="18"/>
        <v>0</v>
      </c>
    </row>
    <row r="294" spans="1:38" ht="39.6" x14ac:dyDescent="0.3">
      <c r="A294" s="4" t="s">
        <v>854</v>
      </c>
      <c r="B294" s="5" t="s">
        <v>855</v>
      </c>
      <c r="C294" s="21" t="s">
        <v>849</v>
      </c>
      <c r="D294" s="20"/>
      <c r="E294" s="4">
        <v>1002160</v>
      </c>
      <c r="F294" s="4" t="s">
        <v>44</v>
      </c>
      <c r="G294" s="4" t="s">
        <v>45</v>
      </c>
      <c r="H294" s="4" t="s">
        <v>51</v>
      </c>
      <c r="I294" s="4" t="s">
        <v>52</v>
      </c>
      <c r="J294" s="4" t="s">
        <v>47</v>
      </c>
      <c r="K294" s="4">
        <v>7.5</v>
      </c>
      <c r="L294" s="4">
        <v>1.5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Z294" t="e">
        <f>VLOOKUP(E294,Sheet2!$A$1:$A$39,1,0)</f>
        <v>#N/A</v>
      </c>
      <c r="AA294">
        <f>VLOOKUP($E294,[1]Sheet1!$E$10:$X$629,AA$9,0)</f>
        <v>0</v>
      </c>
      <c r="AB294">
        <f>VLOOKUP($E294,[1]Sheet1!$E$10:$X$629,AB$9,0)</f>
        <v>0</v>
      </c>
      <c r="AC294">
        <f>VLOOKUP($E294,[1]Sheet1!$E$10:$X$629,AC$9,0)</f>
        <v>0</v>
      </c>
      <c r="AD294">
        <f>VLOOKUP($E294,[1]Sheet1!$E$10:$X$629,AD$9,0)</f>
        <v>0</v>
      </c>
      <c r="AE294">
        <f>VLOOKUP($E294,[1]Sheet1!$E$10:$X$629,AE$9,0)</f>
        <v>0</v>
      </c>
      <c r="AF294">
        <f>VLOOKUP($E294,[1]Sheet1!$E$10:$X$629,AF$9,0)</f>
        <v>0</v>
      </c>
      <c r="AG294">
        <f>VLOOKUP($E294,[1]Sheet1!$E$10:$X$629,AG$9,0)</f>
        <v>0</v>
      </c>
      <c r="AH294">
        <f>VLOOKUP($E294,[1]Sheet1!$E$10:$X$629,AH$9,0)</f>
        <v>0</v>
      </c>
      <c r="AJ294">
        <f t="shared" si="16"/>
        <v>0</v>
      </c>
      <c r="AK294">
        <f t="shared" si="17"/>
        <v>0</v>
      </c>
      <c r="AL294">
        <f t="shared" si="18"/>
        <v>0</v>
      </c>
    </row>
    <row r="295" spans="1:38" ht="39.6" x14ac:dyDescent="0.3">
      <c r="A295" s="4" t="s">
        <v>856</v>
      </c>
      <c r="B295" s="5" t="s">
        <v>857</v>
      </c>
      <c r="C295" s="21" t="s">
        <v>849</v>
      </c>
      <c r="D295" s="20"/>
      <c r="E295" s="4">
        <v>1002161</v>
      </c>
      <c r="F295" s="4" t="s">
        <v>44</v>
      </c>
      <c r="G295" s="4" t="s">
        <v>45</v>
      </c>
      <c r="H295" s="4" t="s">
        <v>51</v>
      </c>
      <c r="I295" s="4" t="s">
        <v>52</v>
      </c>
      <c r="J295" s="4" t="s">
        <v>47</v>
      </c>
      <c r="K295" s="4">
        <v>7.5</v>
      </c>
      <c r="L295" s="4">
        <v>1.5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Z295" t="e">
        <f>VLOOKUP(E295,Sheet2!$A$1:$A$39,1,0)</f>
        <v>#N/A</v>
      </c>
      <c r="AA295">
        <f>VLOOKUP($E295,[1]Sheet1!$E$10:$X$629,AA$9,0)</f>
        <v>0</v>
      </c>
      <c r="AB295">
        <f>VLOOKUP($E295,[1]Sheet1!$E$10:$X$629,AB$9,0)</f>
        <v>0</v>
      </c>
      <c r="AC295">
        <f>VLOOKUP($E295,[1]Sheet1!$E$10:$X$629,AC$9,0)</f>
        <v>0</v>
      </c>
      <c r="AD295">
        <f>VLOOKUP($E295,[1]Sheet1!$E$10:$X$629,AD$9,0)</f>
        <v>0</v>
      </c>
      <c r="AE295">
        <f>VLOOKUP($E295,[1]Sheet1!$E$10:$X$629,AE$9,0)</f>
        <v>0</v>
      </c>
      <c r="AF295">
        <f>VLOOKUP($E295,[1]Sheet1!$E$10:$X$629,AF$9,0)</f>
        <v>0</v>
      </c>
      <c r="AG295">
        <f>VLOOKUP($E295,[1]Sheet1!$E$10:$X$629,AG$9,0)</f>
        <v>0</v>
      </c>
      <c r="AH295">
        <f>VLOOKUP($E295,[1]Sheet1!$E$10:$X$629,AH$9,0)</f>
        <v>0</v>
      </c>
      <c r="AJ295">
        <f t="shared" si="16"/>
        <v>0</v>
      </c>
      <c r="AK295">
        <f t="shared" si="17"/>
        <v>0</v>
      </c>
      <c r="AL295">
        <f t="shared" si="18"/>
        <v>0</v>
      </c>
    </row>
    <row r="296" spans="1:38" ht="39.6" x14ac:dyDescent="0.3">
      <c r="A296" s="4" t="s">
        <v>858</v>
      </c>
      <c r="B296" s="5" t="s">
        <v>859</v>
      </c>
      <c r="C296" s="21" t="s">
        <v>849</v>
      </c>
      <c r="D296" s="20"/>
      <c r="E296" s="4">
        <v>1002162</v>
      </c>
      <c r="F296" s="4" t="s">
        <v>44</v>
      </c>
      <c r="G296" s="4" t="s">
        <v>45</v>
      </c>
      <c r="H296" s="4" t="s">
        <v>51</v>
      </c>
      <c r="I296" s="4" t="s">
        <v>46</v>
      </c>
      <c r="J296" s="4" t="s">
        <v>47</v>
      </c>
      <c r="K296" s="4">
        <v>7.5</v>
      </c>
      <c r="L296" s="4">
        <v>1.5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Z296" t="e">
        <f>VLOOKUP(E296,Sheet2!$A$1:$A$39,1,0)</f>
        <v>#N/A</v>
      </c>
      <c r="AA296">
        <f>VLOOKUP($E296,[1]Sheet1!$E$10:$X$629,AA$9,0)</f>
        <v>0</v>
      </c>
      <c r="AB296">
        <f>VLOOKUP($E296,[1]Sheet1!$E$10:$X$629,AB$9,0)</f>
        <v>0</v>
      </c>
      <c r="AC296">
        <f>VLOOKUP($E296,[1]Sheet1!$E$10:$X$629,AC$9,0)</f>
        <v>0</v>
      </c>
      <c r="AD296">
        <f>VLOOKUP($E296,[1]Sheet1!$E$10:$X$629,AD$9,0)</f>
        <v>0</v>
      </c>
      <c r="AE296">
        <f>VLOOKUP($E296,[1]Sheet1!$E$10:$X$629,AE$9,0)</f>
        <v>0</v>
      </c>
      <c r="AF296">
        <f>VLOOKUP($E296,[1]Sheet1!$E$10:$X$629,AF$9,0)</f>
        <v>0</v>
      </c>
      <c r="AG296">
        <f>VLOOKUP($E296,[1]Sheet1!$E$10:$X$629,AG$9,0)</f>
        <v>0</v>
      </c>
      <c r="AH296">
        <f>VLOOKUP($E296,[1]Sheet1!$E$10:$X$629,AH$9,0)</f>
        <v>0</v>
      </c>
      <c r="AJ296">
        <f t="shared" si="16"/>
        <v>0</v>
      </c>
      <c r="AK296">
        <f t="shared" si="17"/>
        <v>0</v>
      </c>
      <c r="AL296">
        <f t="shared" si="18"/>
        <v>0</v>
      </c>
    </row>
    <row r="297" spans="1:38" ht="39.6" x14ac:dyDescent="0.3">
      <c r="A297" s="4" t="s">
        <v>860</v>
      </c>
      <c r="B297" s="5" t="s">
        <v>861</v>
      </c>
      <c r="C297" s="21" t="s">
        <v>849</v>
      </c>
      <c r="D297" s="20"/>
      <c r="E297" s="4">
        <v>1002164</v>
      </c>
      <c r="F297" s="4" t="s">
        <v>44</v>
      </c>
      <c r="G297" s="4" t="s">
        <v>45</v>
      </c>
      <c r="H297" s="4" t="s">
        <v>51</v>
      </c>
      <c r="I297" s="4" t="s">
        <v>52</v>
      </c>
      <c r="J297" s="4" t="s">
        <v>47</v>
      </c>
      <c r="K297" s="4">
        <v>7.5</v>
      </c>
      <c r="L297" s="4">
        <v>1.5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Z297" t="e">
        <f>VLOOKUP(E297,Sheet2!$A$1:$A$39,1,0)</f>
        <v>#N/A</v>
      </c>
      <c r="AA297">
        <f>VLOOKUP($E297,[1]Sheet1!$E$10:$X$629,AA$9,0)</f>
        <v>0</v>
      </c>
      <c r="AB297">
        <f>VLOOKUP($E297,[1]Sheet1!$E$10:$X$629,AB$9,0)</f>
        <v>0</v>
      </c>
      <c r="AC297">
        <f>VLOOKUP($E297,[1]Sheet1!$E$10:$X$629,AC$9,0)</f>
        <v>0</v>
      </c>
      <c r="AD297">
        <f>VLOOKUP($E297,[1]Sheet1!$E$10:$X$629,AD$9,0)</f>
        <v>0</v>
      </c>
      <c r="AE297">
        <f>VLOOKUP($E297,[1]Sheet1!$E$10:$X$629,AE$9,0)</f>
        <v>0</v>
      </c>
      <c r="AF297">
        <f>VLOOKUP($E297,[1]Sheet1!$E$10:$X$629,AF$9,0)</f>
        <v>0</v>
      </c>
      <c r="AG297">
        <f>VLOOKUP($E297,[1]Sheet1!$E$10:$X$629,AG$9,0)</f>
        <v>0</v>
      </c>
      <c r="AH297">
        <f>VLOOKUP($E297,[1]Sheet1!$E$10:$X$629,AH$9,0)</f>
        <v>0</v>
      </c>
      <c r="AJ297">
        <f t="shared" si="16"/>
        <v>0</v>
      </c>
      <c r="AK297">
        <f t="shared" si="17"/>
        <v>0</v>
      </c>
      <c r="AL297">
        <f t="shared" si="18"/>
        <v>0</v>
      </c>
    </row>
    <row r="298" spans="1:38" ht="39.6" x14ac:dyDescent="0.3">
      <c r="A298" s="4" t="s">
        <v>862</v>
      </c>
      <c r="B298" s="5" t="s">
        <v>863</v>
      </c>
      <c r="C298" s="21" t="s">
        <v>849</v>
      </c>
      <c r="D298" s="20"/>
      <c r="E298" s="4">
        <v>1002165</v>
      </c>
      <c r="F298" s="4" t="s">
        <v>44</v>
      </c>
      <c r="G298" s="4" t="s">
        <v>45</v>
      </c>
      <c r="H298" s="4" t="s">
        <v>51</v>
      </c>
      <c r="I298" s="4" t="s">
        <v>52</v>
      </c>
      <c r="J298" s="4" t="s">
        <v>47</v>
      </c>
      <c r="K298" s="4">
        <v>7.5</v>
      </c>
      <c r="L298" s="4">
        <v>1.5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Z298" t="e">
        <f>VLOOKUP(E298,Sheet2!$A$1:$A$39,1,0)</f>
        <v>#N/A</v>
      </c>
      <c r="AA298">
        <f>VLOOKUP($E298,[1]Sheet1!$E$10:$X$629,AA$9,0)</f>
        <v>0</v>
      </c>
      <c r="AB298">
        <f>VLOOKUP($E298,[1]Sheet1!$E$10:$X$629,AB$9,0)</f>
        <v>0</v>
      </c>
      <c r="AC298">
        <f>VLOOKUP($E298,[1]Sheet1!$E$10:$X$629,AC$9,0)</f>
        <v>0</v>
      </c>
      <c r="AD298">
        <f>VLOOKUP($E298,[1]Sheet1!$E$10:$X$629,AD$9,0)</f>
        <v>0</v>
      </c>
      <c r="AE298">
        <f>VLOOKUP($E298,[1]Sheet1!$E$10:$X$629,AE$9,0)</f>
        <v>0</v>
      </c>
      <c r="AF298">
        <f>VLOOKUP($E298,[1]Sheet1!$E$10:$X$629,AF$9,0)</f>
        <v>0</v>
      </c>
      <c r="AG298">
        <f>VLOOKUP($E298,[1]Sheet1!$E$10:$X$629,AG$9,0)</f>
        <v>0</v>
      </c>
      <c r="AH298">
        <f>VLOOKUP($E298,[1]Sheet1!$E$10:$X$629,AH$9,0)</f>
        <v>0</v>
      </c>
      <c r="AJ298">
        <f t="shared" si="16"/>
        <v>0</v>
      </c>
      <c r="AK298">
        <f t="shared" si="17"/>
        <v>0</v>
      </c>
      <c r="AL298">
        <f t="shared" si="18"/>
        <v>0</v>
      </c>
    </row>
    <row r="299" spans="1:38" ht="39.6" x14ac:dyDescent="0.3">
      <c r="A299" s="4" t="s">
        <v>864</v>
      </c>
      <c r="B299" s="5" t="s">
        <v>865</v>
      </c>
      <c r="C299" s="21" t="s">
        <v>849</v>
      </c>
      <c r="D299" s="20"/>
      <c r="E299" s="4">
        <v>1002166</v>
      </c>
      <c r="F299" s="4" t="s">
        <v>44</v>
      </c>
      <c r="G299" s="4" t="s">
        <v>45</v>
      </c>
      <c r="H299" s="4" t="s">
        <v>51</v>
      </c>
      <c r="I299" s="4" t="s">
        <v>46</v>
      </c>
      <c r="J299" s="4" t="s">
        <v>47</v>
      </c>
      <c r="K299" s="4">
        <v>7.5</v>
      </c>
      <c r="L299" s="4">
        <v>1.5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Z299" t="e">
        <f>VLOOKUP(E299,Sheet2!$A$1:$A$39,1,0)</f>
        <v>#N/A</v>
      </c>
      <c r="AA299">
        <f>VLOOKUP($E299,[1]Sheet1!$E$10:$X$629,AA$9,0)</f>
        <v>0</v>
      </c>
      <c r="AB299">
        <f>VLOOKUP($E299,[1]Sheet1!$E$10:$X$629,AB$9,0)</f>
        <v>0</v>
      </c>
      <c r="AC299">
        <f>VLOOKUP($E299,[1]Sheet1!$E$10:$X$629,AC$9,0)</f>
        <v>0</v>
      </c>
      <c r="AD299">
        <f>VLOOKUP($E299,[1]Sheet1!$E$10:$X$629,AD$9,0)</f>
        <v>0</v>
      </c>
      <c r="AE299">
        <f>VLOOKUP($E299,[1]Sheet1!$E$10:$X$629,AE$9,0)</f>
        <v>0</v>
      </c>
      <c r="AF299">
        <f>VLOOKUP($E299,[1]Sheet1!$E$10:$X$629,AF$9,0)</f>
        <v>0</v>
      </c>
      <c r="AG299">
        <f>VLOOKUP($E299,[1]Sheet1!$E$10:$X$629,AG$9,0)</f>
        <v>0</v>
      </c>
      <c r="AH299">
        <f>VLOOKUP($E299,[1]Sheet1!$E$10:$X$629,AH$9,0)</f>
        <v>0</v>
      </c>
      <c r="AJ299">
        <f t="shared" si="16"/>
        <v>0</v>
      </c>
      <c r="AK299">
        <f t="shared" si="17"/>
        <v>0</v>
      </c>
      <c r="AL299">
        <f t="shared" si="18"/>
        <v>0</v>
      </c>
    </row>
    <row r="300" spans="1:38" ht="39.6" x14ac:dyDescent="0.3">
      <c r="A300" s="4" t="s">
        <v>866</v>
      </c>
      <c r="B300" s="5" t="s">
        <v>867</v>
      </c>
      <c r="C300" s="21" t="s">
        <v>849</v>
      </c>
      <c r="D300" s="20"/>
      <c r="E300" s="4">
        <v>1002167</v>
      </c>
      <c r="F300" s="4" t="s">
        <v>44</v>
      </c>
      <c r="G300" s="4" t="s">
        <v>45</v>
      </c>
      <c r="H300" s="4" t="s">
        <v>51</v>
      </c>
      <c r="I300" s="4" t="s">
        <v>46</v>
      </c>
      <c r="J300" s="4" t="s">
        <v>47</v>
      </c>
      <c r="K300" s="4">
        <v>7.5</v>
      </c>
      <c r="L300" s="4">
        <v>1.5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Z300" t="e">
        <f>VLOOKUP(E300,Sheet2!$A$1:$A$39,1,0)</f>
        <v>#N/A</v>
      </c>
      <c r="AA300">
        <f>VLOOKUP($E300,[1]Sheet1!$E$10:$X$629,AA$9,0)</f>
        <v>0</v>
      </c>
      <c r="AB300">
        <f>VLOOKUP($E300,[1]Sheet1!$E$10:$X$629,AB$9,0)</f>
        <v>0</v>
      </c>
      <c r="AC300">
        <f>VLOOKUP($E300,[1]Sheet1!$E$10:$X$629,AC$9,0)</f>
        <v>0</v>
      </c>
      <c r="AD300">
        <f>VLOOKUP($E300,[1]Sheet1!$E$10:$X$629,AD$9,0)</f>
        <v>0</v>
      </c>
      <c r="AE300">
        <f>VLOOKUP($E300,[1]Sheet1!$E$10:$X$629,AE$9,0)</f>
        <v>0</v>
      </c>
      <c r="AF300">
        <f>VLOOKUP($E300,[1]Sheet1!$E$10:$X$629,AF$9,0)</f>
        <v>0</v>
      </c>
      <c r="AG300">
        <f>VLOOKUP($E300,[1]Sheet1!$E$10:$X$629,AG$9,0)</f>
        <v>0</v>
      </c>
      <c r="AH300">
        <f>VLOOKUP($E300,[1]Sheet1!$E$10:$X$629,AH$9,0)</f>
        <v>0</v>
      </c>
      <c r="AJ300">
        <f t="shared" si="16"/>
        <v>0</v>
      </c>
      <c r="AK300">
        <f t="shared" si="17"/>
        <v>0</v>
      </c>
      <c r="AL300">
        <f t="shared" si="18"/>
        <v>0</v>
      </c>
    </row>
    <row r="301" spans="1:38" ht="39.6" x14ac:dyDescent="0.3">
      <c r="A301" s="4" t="s">
        <v>868</v>
      </c>
      <c r="B301" s="5" t="s">
        <v>869</v>
      </c>
      <c r="C301" s="21" t="s">
        <v>870</v>
      </c>
      <c r="D301" s="20"/>
      <c r="E301" s="4">
        <v>1002168</v>
      </c>
      <c r="F301" s="4" t="s">
        <v>44</v>
      </c>
      <c r="G301" s="4" t="s">
        <v>45</v>
      </c>
      <c r="H301" s="4" t="s">
        <v>56</v>
      </c>
      <c r="I301" s="4" t="s">
        <v>52</v>
      </c>
      <c r="J301" s="4" t="s">
        <v>47</v>
      </c>
      <c r="K301" s="4">
        <v>12.5</v>
      </c>
      <c r="L301" s="4">
        <v>25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Z301" t="e">
        <f>VLOOKUP(E301,Sheet2!$A$1:$A$39,1,0)</f>
        <v>#N/A</v>
      </c>
      <c r="AA301">
        <f>VLOOKUP($E301,[1]Sheet1!$E$10:$X$629,AA$9,0)</f>
        <v>0</v>
      </c>
      <c r="AB301">
        <f>VLOOKUP($E301,[1]Sheet1!$E$10:$X$629,AB$9,0)</f>
        <v>0</v>
      </c>
      <c r="AC301">
        <f>VLOOKUP($E301,[1]Sheet1!$E$10:$X$629,AC$9,0)</f>
        <v>0</v>
      </c>
      <c r="AD301">
        <f>VLOOKUP($E301,[1]Sheet1!$E$10:$X$629,AD$9,0)</f>
        <v>0</v>
      </c>
      <c r="AE301">
        <f>VLOOKUP($E301,[1]Sheet1!$E$10:$X$629,AE$9,0)</f>
        <v>0</v>
      </c>
      <c r="AF301">
        <f>VLOOKUP($E301,[1]Sheet1!$E$10:$X$629,AF$9,0)</f>
        <v>0</v>
      </c>
      <c r="AG301">
        <f>VLOOKUP($E301,[1]Sheet1!$E$10:$X$629,AG$9,0)</f>
        <v>0</v>
      </c>
      <c r="AH301">
        <f>VLOOKUP($E301,[1]Sheet1!$E$10:$X$629,AH$9,0)</f>
        <v>0</v>
      </c>
      <c r="AJ301">
        <f t="shared" si="16"/>
        <v>0</v>
      </c>
      <c r="AK301">
        <f t="shared" si="17"/>
        <v>0</v>
      </c>
      <c r="AL301">
        <f t="shared" si="18"/>
        <v>0</v>
      </c>
    </row>
    <row r="302" spans="1:38" ht="39.6" x14ac:dyDescent="0.3">
      <c r="A302" s="4" t="s">
        <v>871</v>
      </c>
      <c r="B302" s="5" t="s">
        <v>872</v>
      </c>
      <c r="C302" s="21" t="s">
        <v>873</v>
      </c>
      <c r="D302" s="20"/>
      <c r="E302" s="4">
        <v>1001002</v>
      </c>
      <c r="F302" s="4" t="s">
        <v>44</v>
      </c>
      <c r="G302" s="4" t="s">
        <v>45</v>
      </c>
      <c r="H302" s="4" t="s">
        <v>51</v>
      </c>
      <c r="I302" s="4" t="s">
        <v>52</v>
      </c>
      <c r="J302" s="4" t="s">
        <v>47</v>
      </c>
      <c r="K302" s="4">
        <v>7.5</v>
      </c>
      <c r="L302" s="4">
        <v>3.75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Z302" t="e">
        <f>VLOOKUP(E302,Sheet2!$A$1:$A$39,1,0)</f>
        <v>#N/A</v>
      </c>
      <c r="AA302">
        <f>VLOOKUP($E302,[1]Sheet1!$E$10:$X$629,AA$9,0)</f>
        <v>0</v>
      </c>
      <c r="AB302">
        <f>VLOOKUP($E302,[1]Sheet1!$E$10:$X$629,AB$9,0)</f>
        <v>0</v>
      </c>
      <c r="AC302">
        <f>VLOOKUP($E302,[1]Sheet1!$E$10:$X$629,AC$9,0)</f>
        <v>0</v>
      </c>
      <c r="AD302">
        <f>VLOOKUP($E302,[1]Sheet1!$E$10:$X$629,AD$9,0)</f>
        <v>0</v>
      </c>
      <c r="AE302">
        <f>VLOOKUP($E302,[1]Sheet1!$E$10:$X$629,AE$9,0)</f>
        <v>0</v>
      </c>
      <c r="AF302">
        <f>VLOOKUP($E302,[1]Sheet1!$E$10:$X$629,AF$9,0)</f>
        <v>0</v>
      </c>
      <c r="AG302">
        <f>VLOOKUP($E302,[1]Sheet1!$E$10:$X$629,AG$9,0)</f>
        <v>0</v>
      </c>
      <c r="AH302">
        <f>VLOOKUP($E302,[1]Sheet1!$E$10:$X$629,AH$9,0)</f>
        <v>0</v>
      </c>
      <c r="AJ302">
        <f t="shared" si="16"/>
        <v>0</v>
      </c>
      <c r="AK302">
        <f t="shared" si="17"/>
        <v>0</v>
      </c>
      <c r="AL302">
        <f t="shared" si="18"/>
        <v>0</v>
      </c>
    </row>
    <row r="303" spans="1:38" ht="39.6" x14ac:dyDescent="0.3">
      <c r="A303" s="4" t="s">
        <v>874</v>
      </c>
      <c r="B303" s="5" t="s">
        <v>875</v>
      </c>
      <c r="C303" s="21" t="s">
        <v>876</v>
      </c>
      <c r="D303" s="20"/>
      <c r="E303" s="4">
        <v>1000987</v>
      </c>
      <c r="F303" s="4" t="s">
        <v>44</v>
      </c>
      <c r="G303" s="4" t="s">
        <v>45</v>
      </c>
      <c r="H303" s="4" t="s">
        <v>56</v>
      </c>
      <c r="I303" s="4" t="s">
        <v>46</v>
      </c>
      <c r="J303" s="4" t="s">
        <v>47</v>
      </c>
      <c r="K303" s="4">
        <v>7.5</v>
      </c>
      <c r="L303" s="4">
        <v>3.75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Z303" t="e">
        <f>VLOOKUP(E303,Sheet2!$A$1:$A$39,1,0)</f>
        <v>#N/A</v>
      </c>
      <c r="AA303">
        <f>VLOOKUP($E303,[1]Sheet1!$E$10:$X$629,AA$9,0)</f>
        <v>0</v>
      </c>
      <c r="AB303">
        <f>VLOOKUP($E303,[1]Sheet1!$E$10:$X$629,AB$9,0)</f>
        <v>0</v>
      </c>
      <c r="AC303">
        <f>VLOOKUP($E303,[1]Sheet1!$E$10:$X$629,AC$9,0)</f>
        <v>0</v>
      </c>
      <c r="AD303">
        <f>VLOOKUP($E303,[1]Sheet1!$E$10:$X$629,AD$9,0)</f>
        <v>0</v>
      </c>
      <c r="AE303">
        <f>VLOOKUP($E303,[1]Sheet1!$E$10:$X$629,AE$9,0)</f>
        <v>0</v>
      </c>
      <c r="AF303">
        <f>VLOOKUP($E303,[1]Sheet1!$E$10:$X$629,AF$9,0)</f>
        <v>0</v>
      </c>
      <c r="AG303">
        <f>VLOOKUP($E303,[1]Sheet1!$E$10:$X$629,AG$9,0)</f>
        <v>0</v>
      </c>
      <c r="AH303">
        <f>VLOOKUP($E303,[1]Sheet1!$E$10:$X$629,AH$9,0)</f>
        <v>0</v>
      </c>
      <c r="AJ303">
        <f t="shared" si="16"/>
        <v>0</v>
      </c>
      <c r="AK303">
        <f t="shared" si="17"/>
        <v>0</v>
      </c>
      <c r="AL303">
        <f t="shared" si="18"/>
        <v>0</v>
      </c>
    </row>
    <row r="304" spans="1:38" ht="39.6" x14ac:dyDescent="0.3">
      <c r="A304" s="4" t="s">
        <v>877</v>
      </c>
      <c r="B304" s="5" t="s">
        <v>878</v>
      </c>
      <c r="C304" s="21" t="s">
        <v>879</v>
      </c>
      <c r="D304" s="20"/>
      <c r="E304" s="4">
        <v>1002331</v>
      </c>
      <c r="F304" s="4" t="s">
        <v>44</v>
      </c>
      <c r="G304" s="4" t="s">
        <v>45</v>
      </c>
      <c r="H304" s="4" t="s">
        <v>56</v>
      </c>
      <c r="I304" s="4" t="s">
        <v>57</v>
      </c>
      <c r="J304" s="4" t="s">
        <v>47</v>
      </c>
      <c r="K304" s="4">
        <v>10</v>
      </c>
      <c r="L304" s="4">
        <v>20</v>
      </c>
      <c r="M304" s="5">
        <v>1200</v>
      </c>
      <c r="N304" s="5">
        <v>1440</v>
      </c>
      <c r="O304" s="5">
        <v>1080</v>
      </c>
      <c r="P304" s="5">
        <v>1440</v>
      </c>
      <c r="Q304" s="5">
        <v>1440</v>
      </c>
      <c r="R304" s="5">
        <v>1200</v>
      </c>
      <c r="S304" s="5">
        <v>1200</v>
      </c>
      <c r="T304" s="5">
        <v>960</v>
      </c>
      <c r="U304" s="5">
        <v>1080</v>
      </c>
      <c r="V304" s="5">
        <v>2400</v>
      </c>
      <c r="W304" s="5">
        <v>480</v>
      </c>
      <c r="X304" s="5">
        <v>2400</v>
      </c>
      <c r="Z304" t="e">
        <f>VLOOKUP(E304,Sheet2!$A$1:$A$39,1,0)</f>
        <v>#N/A</v>
      </c>
      <c r="AA304">
        <f>VLOOKUP($E304,[1]Sheet1!$E$10:$X$629,AA$9,0)</f>
        <v>840</v>
      </c>
      <c r="AB304">
        <f>VLOOKUP($E304,[1]Sheet1!$E$10:$X$629,AB$9,0)</f>
        <v>720</v>
      </c>
      <c r="AC304">
        <f>VLOOKUP($E304,[1]Sheet1!$E$10:$X$629,AC$9,0)</f>
        <v>1080</v>
      </c>
      <c r="AD304">
        <f>VLOOKUP($E304,[1]Sheet1!$E$10:$X$629,AD$9,0)</f>
        <v>960</v>
      </c>
      <c r="AE304">
        <f>VLOOKUP($E304,[1]Sheet1!$E$10:$X$629,AE$9,0)</f>
        <v>1080</v>
      </c>
      <c r="AF304">
        <f>VLOOKUP($E304,[1]Sheet1!$E$10:$X$629,AF$9,0)</f>
        <v>840</v>
      </c>
      <c r="AG304">
        <f>VLOOKUP($E304,[1]Sheet1!$E$10:$X$629,AG$9,0)</f>
        <v>840</v>
      </c>
      <c r="AH304">
        <f>VLOOKUP($E304,[1]Sheet1!$E$10:$X$629,AH$9,0)</f>
        <v>360</v>
      </c>
      <c r="AJ304">
        <f t="shared" si="16"/>
        <v>9960</v>
      </c>
      <c r="AK304">
        <f t="shared" si="17"/>
        <v>6720</v>
      </c>
      <c r="AL304">
        <f t="shared" si="18"/>
        <v>3240</v>
      </c>
    </row>
    <row r="305" spans="1:38" ht="39.6" x14ac:dyDescent="0.3">
      <c r="A305" s="4" t="s">
        <v>880</v>
      </c>
      <c r="B305" s="5" t="s">
        <v>881</v>
      </c>
      <c r="C305" s="21" t="s">
        <v>882</v>
      </c>
      <c r="D305" s="20"/>
      <c r="E305" s="4">
        <v>1002329</v>
      </c>
      <c r="F305" s="4" t="s">
        <v>44</v>
      </c>
      <c r="G305" s="4" t="s">
        <v>45</v>
      </c>
      <c r="H305" s="4" t="s">
        <v>57</v>
      </c>
      <c r="I305" s="4" t="s">
        <v>57</v>
      </c>
      <c r="J305" s="4" t="s">
        <v>47</v>
      </c>
      <c r="K305" s="4">
        <v>10</v>
      </c>
      <c r="L305" s="4">
        <v>20</v>
      </c>
      <c r="M305" s="5">
        <v>19080</v>
      </c>
      <c r="N305" s="5">
        <v>16320</v>
      </c>
      <c r="O305" s="5">
        <v>16560</v>
      </c>
      <c r="P305" s="5">
        <v>14400</v>
      </c>
      <c r="Q305" s="5">
        <v>14520</v>
      </c>
      <c r="R305" s="5">
        <v>14640</v>
      </c>
      <c r="S305" s="5">
        <v>13920</v>
      </c>
      <c r="T305" s="5">
        <v>12360</v>
      </c>
      <c r="U305" s="5">
        <v>19560</v>
      </c>
      <c r="V305" s="5">
        <v>24600</v>
      </c>
      <c r="W305" s="5">
        <v>13680</v>
      </c>
      <c r="X305" s="5">
        <v>25080</v>
      </c>
      <c r="Z305" t="e">
        <f>VLOOKUP(E305,Sheet2!$A$1:$A$39,1,0)</f>
        <v>#N/A</v>
      </c>
      <c r="AA305">
        <f>VLOOKUP($E305,[1]Sheet1!$E$10:$X$629,AA$9,0)</f>
        <v>13200</v>
      </c>
      <c r="AB305">
        <f>VLOOKUP($E305,[1]Sheet1!$E$10:$X$629,AB$9,0)</f>
        <v>12960</v>
      </c>
      <c r="AC305">
        <f>VLOOKUP($E305,[1]Sheet1!$E$10:$X$629,AC$9,0)</f>
        <v>15480</v>
      </c>
      <c r="AD305">
        <f>VLOOKUP($E305,[1]Sheet1!$E$10:$X$629,AD$9,0)</f>
        <v>13200</v>
      </c>
      <c r="AE305">
        <f>VLOOKUP($E305,[1]Sheet1!$E$10:$X$629,AE$9,0)</f>
        <v>11880</v>
      </c>
      <c r="AF305">
        <f>VLOOKUP($E305,[1]Sheet1!$E$10:$X$629,AF$9,0)</f>
        <v>13080</v>
      </c>
      <c r="AG305">
        <f>VLOOKUP($E305,[1]Sheet1!$E$10:$X$629,AG$9,0)</f>
        <v>12840</v>
      </c>
      <c r="AH305">
        <f>VLOOKUP($E305,[1]Sheet1!$E$10:$X$629,AH$9,0)</f>
        <v>5160</v>
      </c>
      <c r="AJ305">
        <f t="shared" si="16"/>
        <v>121800</v>
      </c>
      <c r="AK305">
        <f t="shared" si="17"/>
        <v>97800</v>
      </c>
      <c r="AL305">
        <f t="shared" si="18"/>
        <v>24000</v>
      </c>
    </row>
    <row r="306" spans="1:38" ht="39.6" x14ac:dyDescent="0.3">
      <c r="A306" s="4" t="s">
        <v>883</v>
      </c>
      <c r="B306" s="5" t="s">
        <v>884</v>
      </c>
      <c r="C306" s="21" t="s">
        <v>885</v>
      </c>
      <c r="D306" s="20"/>
      <c r="E306" s="4">
        <v>1002330</v>
      </c>
      <c r="F306" s="4" t="s">
        <v>44</v>
      </c>
      <c r="G306" s="4" t="s">
        <v>45</v>
      </c>
      <c r="H306" s="4" t="s">
        <v>615</v>
      </c>
      <c r="I306" s="4" t="s">
        <v>57</v>
      </c>
      <c r="J306" s="4" t="s">
        <v>47</v>
      </c>
      <c r="K306" s="4">
        <v>10</v>
      </c>
      <c r="L306" s="4">
        <v>20</v>
      </c>
      <c r="M306" s="5">
        <v>7320</v>
      </c>
      <c r="N306" s="5">
        <v>6720</v>
      </c>
      <c r="O306" s="5">
        <v>5880</v>
      </c>
      <c r="P306" s="5">
        <v>6000</v>
      </c>
      <c r="Q306" s="5">
        <v>6120</v>
      </c>
      <c r="R306" s="5">
        <v>5400</v>
      </c>
      <c r="S306" s="5">
        <v>5280</v>
      </c>
      <c r="T306" s="5">
        <v>4800</v>
      </c>
      <c r="U306" s="5">
        <v>6960</v>
      </c>
      <c r="V306" s="5">
        <v>10680</v>
      </c>
      <c r="W306" s="5">
        <v>5160</v>
      </c>
      <c r="X306" s="5">
        <v>10920</v>
      </c>
      <c r="Z306" t="e">
        <f>VLOOKUP(E306,Sheet2!$A$1:$A$39,1,0)</f>
        <v>#N/A</v>
      </c>
      <c r="AA306">
        <f>VLOOKUP($E306,[1]Sheet1!$E$10:$X$629,AA$9,0)</f>
        <v>6960</v>
      </c>
      <c r="AB306">
        <f>VLOOKUP($E306,[1]Sheet1!$E$10:$X$629,AB$9,0)</f>
        <v>6840</v>
      </c>
      <c r="AC306">
        <f>VLOOKUP($E306,[1]Sheet1!$E$10:$X$629,AC$9,0)</f>
        <v>8040</v>
      </c>
      <c r="AD306">
        <f>VLOOKUP($E306,[1]Sheet1!$E$10:$X$629,AD$9,0)</f>
        <v>7080</v>
      </c>
      <c r="AE306">
        <f>VLOOKUP($E306,[1]Sheet1!$E$10:$X$629,AE$9,0)</f>
        <v>6120</v>
      </c>
      <c r="AF306">
        <f>VLOOKUP($E306,[1]Sheet1!$E$10:$X$629,AF$9,0)</f>
        <v>6480</v>
      </c>
      <c r="AG306">
        <f>VLOOKUP($E306,[1]Sheet1!$E$10:$X$629,AG$9,0)</f>
        <v>6360</v>
      </c>
      <c r="AH306">
        <f>VLOOKUP($E306,[1]Sheet1!$E$10:$X$629,AH$9,0)</f>
        <v>2640</v>
      </c>
      <c r="AJ306">
        <f t="shared" si="16"/>
        <v>47520</v>
      </c>
      <c r="AK306">
        <f t="shared" si="17"/>
        <v>50520</v>
      </c>
      <c r="AL306">
        <f t="shared" si="18"/>
        <v>-3000</v>
      </c>
    </row>
    <row r="307" spans="1:38" ht="39.6" x14ac:dyDescent="0.3">
      <c r="A307" s="4" t="s">
        <v>886</v>
      </c>
      <c r="B307" s="5" t="s">
        <v>887</v>
      </c>
      <c r="C307" s="21" t="s">
        <v>888</v>
      </c>
      <c r="D307" s="20"/>
      <c r="E307" s="4">
        <v>1002272</v>
      </c>
      <c r="F307" s="4" t="s">
        <v>44</v>
      </c>
      <c r="G307" s="4" t="s">
        <v>45</v>
      </c>
      <c r="H307" s="4"/>
      <c r="I307" s="4" t="s">
        <v>57</v>
      </c>
      <c r="J307" s="4" t="s">
        <v>47</v>
      </c>
      <c r="K307" s="4">
        <v>7.5</v>
      </c>
      <c r="L307" s="4">
        <v>15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144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Z307" t="e">
        <f>VLOOKUP(E307,Sheet2!$A$1:$A$39,1,0)</f>
        <v>#N/A</v>
      </c>
      <c r="AA307">
        <f>VLOOKUP($E307,[1]Sheet1!$E$10:$X$629,AA$9,0)</f>
        <v>0</v>
      </c>
      <c r="AB307">
        <f>VLOOKUP($E307,[1]Sheet1!$E$10:$X$629,AB$9,0)</f>
        <v>144</v>
      </c>
      <c r="AC307">
        <f>VLOOKUP($E307,[1]Sheet1!$E$10:$X$629,AC$9,0)</f>
        <v>0</v>
      </c>
      <c r="AD307">
        <f>VLOOKUP($E307,[1]Sheet1!$E$10:$X$629,AD$9,0)</f>
        <v>0</v>
      </c>
      <c r="AE307">
        <f>VLOOKUP($E307,[1]Sheet1!$E$10:$X$629,AE$9,0)</f>
        <v>0</v>
      </c>
      <c r="AF307">
        <f>VLOOKUP($E307,[1]Sheet1!$E$10:$X$629,AF$9,0)</f>
        <v>0</v>
      </c>
      <c r="AG307">
        <f>VLOOKUP($E307,[1]Sheet1!$E$10:$X$629,AG$9,0)</f>
        <v>0</v>
      </c>
      <c r="AH307">
        <f>VLOOKUP($E307,[1]Sheet1!$E$10:$X$629,AH$9,0)</f>
        <v>0</v>
      </c>
      <c r="AJ307">
        <f t="shared" si="16"/>
        <v>144</v>
      </c>
      <c r="AK307">
        <f t="shared" si="17"/>
        <v>144</v>
      </c>
      <c r="AL307">
        <f t="shared" si="18"/>
        <v>0</v>
      </c>
    </row>
    <row r="308" spans="1:38" ht="39.6" x14ac:dyDescent="0.3">
      <c r="A308" s="4" t="s">
        <v>889</v>
      </c>
      <c r="B308" s="5" t="s">
        <v>890</v>
      </c>
      <c r="C308" s="21" t="s">
        <v>891</v>
      </c>
      <c r="D308" s="20"/>
      <c r="E308" s="4">
        <v>1002405</v>
      </c>
      <c r="F308" s="4" t="s">
        <v>44</v>
      </c>
      <c r="G308" s="4" t="s">
        <v>45</v>
      </c>
      <c r="H308" s="4" t="s">
        <v>269</v>
      </c>
      <c r="I308" s="4" t="s">
        <v>57</v>
      </c>
      <c r="J308" s="4" t="s">
        <v>47</v>
      </c>
      <c r="K308" s="4">
        <v>6.5</v>
      </c>
      <c r="L308" s="4">
        <v>13</v>
      </c>
      <c r="M308" s="5">
        <v>3024</v>
      </c>
      <c r="N308" s="5">
        <v>3744</v>
      </c>
      <c r="O308" s="5">
        <v>4752</v>
      </c>
      <c r="P308" s="5">
        <v>3744</v>
      </c>
      <c r="Q308" s="5">
        <v>3312</v>
      </c>
      <c r="R308" s="5">
        <v>4896</v>
      </c>
      <c r="S308" s="5">
        <v>3600</v>
      </c>
      <c r="T308" s="5">
        <v>3600</v>
      </c>
      <c r="U308" s="5">
        <v>5328</v>
      </c>
      <c r="V308" s="5">
        <v>5328</v>
      </c>
      <c r="W308" s="5">
        <v>3744</v>
      </c>
      <c r="X308" s="5">
        <v>4896</v>
      </c>
      <c r="Z308" t="e">
        <f>VLOOKUP(E308,Sheet2!$A$1:$A$39,1,0)</f>
        <v>#N/A</v>
      </c>
      <c r="AA308">
        <f>VLOOKUP($E308,[1]Sheet1!$E$10:$X$629,AA$9,0)</f>
        <v>3744</v>
      </c>
      <c r="AB308">
        <f>VLOOKUP($E308,[1]Sheet1!$E$10:$X$629,AB$9,0)</f>
        <v>4032</v>
      </c>
      <c r="AC308">
        <f>VLOOKUP($E308,[1]Sheet1!$E$10:$X$629,AC$9,0)</f>
        <v>5184</v>
      </c>
      <c r="AD308">
        <f>VLOOKUP($E308,[1]Sheet1!$E$10:$X$629,AD$9,0)</f>
        <v>4320</v>
      </c>
      <c r="AE308">
        <f>VLOOKUP($E308,[1]Sheet1!$E$10:$X$629,AE$9,0)</f>
        <v>4032</v>
      </c>
      <c r="AF308">
        <f>VLOOKUP($E308,[1]Sheet1!$E$10:$X$629,AF$9,0)</f>
        <v>5616</v>
      </c>
      <c r="AG308">
        <f>VLOOKUP($E308,[1]Sheet1!$E$10:$X$629,AG$9,0)</f>
        <v>4464</v>
      </c>
      <c r="AH308">
        <f>VLOOKUP($E308,[1]Sheet1!$E$10:$X$629,AH$9,0)</f>
        <v>2160</v>
      </c>
      <c r="AJ308">
        <f t="shared" si="16"/>
        <v>30672</v>
      </c>
      <c r="AK308">
        <f t="shared" si="17"/>
        <v>33552</v>
      </c>
      <c r="AL308">
        <f t="shared" si="18"/>
        <v>-2880</v>
      </c>
    </row>
    <row r="309" spans="1:38" ht="39.6" x14ac:dyDescent="0.3">
      <c r="A309" s="4" t="s">
        <v>892</v>
      </c>
      <c r="B309" s="5" t="s">
        <v>893</v>
      </c>
      <c r="C309" s="21" t="s">
        <v>894</v>
      </c>
      <c r="D309" s="20"/>
      <c r="E309" s="4">
        <v>1002404</v>
      </c>
      <c r="F309" s="4" t="s">
        <v>44</v>
      </c>
      <c r="G309" s="4" t="s">
        <v>45</v>
      </c>
      <c r="H309" s="4" t="s">
        <v>61</v>
      </c>
      <c r="I309" s="4" t="s">
        <v>57</v>
      </c>
      <c r="J309" s="4" t="s">
        <v>47</v>
      </c>
      <c r="K309" s="4">
        <v>6.5</v>
      </c>
      <c r="L309" s="4">
        <v>13</v>
      </c>
      <c r="M309" s="5">
        <v>1440</v>
      </c>
      <c r="N309" s="5">
        <v>1440</v>
      </c>
      <c r="O309" s="5">
        <v>1872</v>
      </c>
      <c r="P309" s="5">
        <v>1584</v>
      </c>
      <c r="Q309" s="5">
        <v>1728</v>
      </c>
      <c r="R309" s="5">
        <v>2304</v>
      </c>
      <c r="S309" s="5">
        <v>1728</v>
      </c>
      <c r="T309" s="5">
        <v>1440</v>
      </c>
      <c r="U309" s="5">
        <v>2304</v>
      </c>
      <c r="V309" s="5">
        <v>2592</v>
      </c>
      <c r="W309" s="5">
        <v>1872</v>
      </c>
      <c r="X309" s="5">
        <v>1872</v>
      </c>
      <c r="Z309" t="e">
        <f>VLOOKUP(E309,Sheet2!$A$1:$A$39,1,0)</f>
        <v>#N/A</v>
      </c>
      <c r="AA309">
        <f>VLOOKUP($E309,[1]Sheet1!$E$10:$X$629,AA$9,0)</f>
        <v>1872</v>
      </c>
      <c r="AB309">
        <f>VLOOKUP($E309,[1]Sheet1!$E$10:$X$629,AB$9,0)</f>
        <v>2016</v>
      </c>
      <c r="AC309">
        <f>VLOOKUP($E309,[1]Sheet1!$E$10:$X$629,AC$9,0)</f>
        <v>2448</v>
      </c>
      <c r="AD309">
        <f>VLOOKUP($E309,[1]Sheet1!$E$10:$X$629,AD$9,0)</f>
        <v>2304</v>
      </c>
      <c r="AE309">
        <f>VLOOKUP($E309,[1]Sheet1!$E$10:$X$629,AE$9,0)</f>
        <v>2304</v>
      </c>
      <c r="AF309">
        <f>VLOOKUP($E309,[1]Sheet1!$E$10:$X$629,AF$9,0)</f>
        <v>3168</v>
      </c>
      <c r="AG309">
        <f>VLOOKUP($E309,[1]Sheet1!$E$10:$X$629,AG$9,0)</f>
        <v>2448</v>
      </c>
      <c r="AH309">
        <f>VLOOKUP($E309,[1]Sheet1!$E$10:$X$629,AH$9,0)</f>
        <v>1152</v>
      </c>
      <c r="AJ309">
        <f t="shared" si="16"/>
        <v>13536</v>
      </c>
      <c r="AK309">
        <f t="shared" si="17"/>
        <v>17712</v>
      </c>
      <c r="AL309">
        <f t="shared" si="18"/>
        <v>-4176</v>
      </c>
    </row>
    <row r="310" spans="1:38" ht="39.6" x14ac:dyDescent="0.3">
      <c r="A310" s="4" t="s">
        <v>895</v>
      </c>
      <c r="B310" s="5" t="s">
        <v>896</v>
      </c>
      <c r="C310" s="21" t="s">
        <v>897</v>
      </c>
      <c r="D310" s="20"/>
      <c r="E310" s="4">
        <v>1002403</v>
      </c>
      <c r="F310" s="4" t="s">
        <v>44</v>
      </c>
      <c r="G310" s="4" t="s">
        <v>45</v>
      </c>
      <c r="H310" s="4" t="s">
        <v>61</v>
      </c>
      <c r="I310" s="4" t="s">
        <v>57</v>
      </c>
      <c r="J310" s="4" t="s">
        <v>47</v>
      </c>
      <c r="K310" s="4">
        <v>6.5</v>
      </c>
      <c r="L310" s="4">
        <v>13</v>
      </c>
      <c r="M310" s="5">
        <v>1152</v>
      </c>
      <c r="N310" s="5">
        <v>1440</v>
      </c>
      <c r="O310" s="5">
        <v>1584</v>
      </c>
      <c r="P310" s="5">
        <v>1296</v>
      </c>
      <c r="Q310" s="5">
        <v>1440</v>
      </c>
      <c r="R310" s="5">
        <v>1728</v>
      </c>
      <c r="S310" s="5">
        <v>1440</v>
      </c>
      <c r="T310" s="5">
        <v>1584</v>
      </c>
      <c r="U310" s="5">
        <v>1872</v>
      </c>
      <c r="V310" s="5">
        <v>2160</v>
      </c>
      <c r="W310" s="5">
        <v>1728</v>
      </c>
      <c r="X310" s="5">
        <v>1584</v>
      </c>
      <c r="Z310" t="e">
        <f>VLOOKUP(E310,Sheet2!$A$1:$A$39,1,0)</f>
        <v>#N/A</v>
      </c>
      <c r="AA310">
        <f>VLOOKUP($E310,[1]Sheet1!$E$10:$X$629,AA$9,0)</f>
        <v>1584</v>
      </c>
      <c r="AB310">
        <f>VLOOKUP($E310,[1]Sheet1!$E$10:$X$629,AB$9,0)</f>
        <v>1440</v>
      </c>
      <c r="AC310">
        <f>VLOOKUP($E310,[1]Sheet1!$E$10:$X$629,AC$9,0)</f>
        <v>2160</v>
      </c>
      <c r="AD310">
        <f>VLOOKUP($E310,[1]Sheet1!$E$10:$X$629,AD$9,0)</f>
        <v>1728</v>
      </c>
      <c r="AE310">
        <f>VLOOKUP($E310,[1]Sheet1!$E$10:$X$629,AE$9,0)</f>
        <v>1728</v>
      </c>
      <c r="AF310">
        <f>VLOOKUP($E310,[1]Sheet1!$E$10:$X$629,AF$9,0)</f>
        <v>2304</v>
      </c>
      <c r="AG310">
        <f>VLOOKUP($E310,[1]Sheet1!$E$10:$X$629,AG$9,0)</f>
        <v>2016</v>
      </c>
      <c r="AH310">
        <f>VLOOKUP($E310,[1]Sheet1!$E$10:$X$629,AH$9,0)</f>
        <v>864</v>
      </c>
      <c r="AJ310">
        <f t="shared" si="16"/>
        <v>11664</v>
      </c>
      <c r="AK310">
        <f t="shared" si="17"/>
        <v>13824</v>
      </c>
      <c r="AL310">
        <f t="shared" si="18"/>
        <v>-2160</v>
      </c>
    </row>
    <row r="311" spans="1:38" ht="39.6" x14ac:dyDescent="0.3">
      <c r="A311" s="4" t="s">
        <v>898</v>
      </c>
      <c r="B311" s="5" t="s">
        <v>899</v>
      </c>
      <c r="C311" s="21" t="s">
        <v>900</v>
      </c>
      <c r="D311" s="20"/>
      <c r="E311" s="4">
        <v>1002397</v>
      </c>
      <c r="F311" s="4" t="s">
        <v>44</v>
      </c>
      <c r="G311" s="4" t="s">
        <v>45</v>
      </c>
      <c r="H311" s="4" t="s">
        <v>61</v>
      </c>
      <c r="I311" s="4" t="s">
        <v>57</v>
      </c>
      <c r="J311" s="4" t="s">
        <v>47</v>
      </c>
      <c r="K311" s="4">
        <v>7.5</v>
      </c>
      <c r="L311" s="4">
        <v>15</v>
      </c>
      <c r="M311" s="5">
        <v>0</v>
      </c>
      <c r="N311" s="5">
        <v>288</v>
      </c>
      <c r="O311" s="5">
        <v>0</v>
      </c>
      <c r="P311" s="5">
        <v>288</v>
      </c>
      <c r="Q311" s="5">
        <v>144</v>
      </c>
      <c r="R311" s="5">
        <v>0</v>
      </c>
      <c r="S311" s="5">
        <v>288</v>
      </c>
      <c r="T311" s="5">
        <v>288</v>
      </c>
      <c r="U311" s="5">
        <v>0</v>
      </c>
      <c r="V311" s="5">
        <v>144</v>
      </c>
      <c r="W311" s="5">
        <v>0</v>
      </c>
      <c r="X311" s="5">
        <v>576</v>
      </c>
      <c r="Z311" t="e">
        <f>VLOOKUP(E311,Sheet2!$A$1:$A$39,1,0)</f>
        <v>#N/A</v>
      </c>
      <c r="AA311">
        <f>VLOOKUP($E311,[1]Sheet1!$E$10:$X$629,AA$9,0)</f>
        <v>432</v>
      </c>
      <c r="AB311">
        <f>VLOOKUP($E311,[1]Sheet1!$E$10:$X$629,AB$9,0)</f>
        <v>0</v>
      </c>
      <c r="AC311">
        <f>VLOOKUP($E311,[1]Sheet1!$E$10:$X$629,AC$9,0)</f>
        <v>432</v>
      </c>
      <c r="AD311">
        <f>VLOOKUP($E311,[1]Sheet1!$E$10:$X$629,AD$9,0)</f>
        <v>144</v>
      </c>
      <c r="AE311">
        <f>VLOOKUP($E311,[1]Sheet1!$E$10:$X$629,AE$9,0)</f>
        <v>144</v>
      </c>
      <c r="AF311">
        <f>VLOOKUP($E311,[1]Sheet1!$E$10:$X$629,AF$9,0)</f>
        <v>576</v>
      </c>
      <c r="AG311">
        <f>VLOOKUP($E311,[1]Sheet1!$E$10:$X$629,AG$9,0)</f>
        <v>144</v>
      </c>
      <c r="AH311">
        <f>VLOOKUP($E311,[1]Sheet1!$E$10:$X$629,AH$9,0)</f>
        <v>288</v>
      </c>
      <c r="AJ311">
        <f t="shared" si="16"/>
        <v>1296</v>
      </c>
      <c r="AK311">
        <f t="shared" si="17"/>
        <v>2160</v>
      </c>
      <c r="AL311">
        <f t="shared" si="18"/>
        <v>-864</v>
      </c>
    </row>
    <row r="312" spans="1:38" ht="39.6" x14ac:dyDescent="0.3">
      <c r="A312" s="4" t="s">
        <v>901</v>
      </c>
      <c r="B312" s="5" t="s">
        <v>902</v>
      </c>
      <c r="C312" s="21" t="s">
        <v>903</v>
      </c>
      <c r="D312" s="20"/>
      <c r="E312" s="4">
        <v>1002398</v>
      </c>
      <c r="F312" s="4" t="s">
        <v>44</v>
      </c>
      <c r="G312" s="4" t="s">
        <v>45</v>
      </c>
      <c r="H312" s="4" t="s">
        <v>61</v>
      </c>
      <c r="I312" s="4" t="s">
        <v>57</v>
      </c>
      <c r="J312" s="4" t="s">
        <v>47</v>
      </c>
      <c r="K312" s="4">
        <v>7.5</v>
      </c>
      <c r="L312" s="4">
        <v>15</v>
      </c>
      <c r="M312" s="5">
        <v>144</v>
      </c>
      <c r="N312" s="5">
        <v>432</v>
      </c>
      <c r="O312" s="5">
        <v>144</v>
      </c>
      <c r="P312" s="5">
        <v>288</v>
      </c>
      <c r="Q312" s="5">
        <v>144</v>
      </c>
      <c r="R312" s="5">
        <v>576</v>
      </c>
      <c r="S312" s="5">
        <v>0</v>
      </c>
      <c r="T312" s="5">
        <v>432</v>
      </c>
      <c r="U312" s="5">
        <v>288</v>
      </c>
      <c r="V312" s="5">
        <v>0</v>
      </c>
      <c r="W312" s="5">
        <v>576</v>
      </c>
      <c r="X312" s="5">
        <v>144</v>
      </c>
      <c r="Z312" t="e">
        <f>VLOOKUP(E312,Sheet2!$A$1:$A$39,1,0)</f>
        <v>#N/A</v>
      </c>
      <c r="AA312">
        <f>VLOOKUP($E312,[1]Sheet1!$E$10:$X$629,AA$9,0)</f>
        <v>144</v>
      </c>
      <c r="AB312">
        <f>VLOOKUP($E312,[1]Sheet1!$E$10:$X$629,AB$9,0)</f>
        <v>288</v>
      </c>
      <c r="AC312">
        <f>VLOOKUP($E312,[1]Sheet1!$E$10:$X$629,AC$9,0)</f>
        <v>288</v>
      </c>
      <c r="AD312">
        <f>VLOOKUP($E312,[1]Sheet1!$E$10:$X$629,AD$9,0)</f>
        <v>144</v>
      </c>
      <c r="AE312">
        <f>VLOOKUP($E312,[1]Sheet1!$E$10:$X$629,AE$9,0)</f>
        <v>432</v>
      </c>
      <c r="AF312">
        <f>VLOOKUP($E312,[1]Sheet1!$E$10:$X$629,AF$9,0)</f>
        <v>432</v>
      </c>
      <c r="AG312">
        <f>VLOOKUP($E312,[1]Sheet1!$E$10:$X$629,AG$9,0)</f>
        <v>432</v>
      </c>
      <c r="AH312">
        <f>VLOOKUP($E312,[1]Sheet1!$E$10:$X$629,AH$9,0)</f>
        <v>288</v>
      </c>
      <c r="AJ312">
        <f t="shared" si="16"/>
        <v>2160</v>
      </c>
      <c r="AK312">
        <f t="shared" si="17"/>
        <v>2448</v>
      </c>
      <c r="AL312">
        <f t="shared" si="18"/>
        <v>-288</v>
      </c>
    </row>
    <row r="313" spans="1:38" ht="39.6" x14ac:dyDescent="0.3">
      <c r="A313" s="4" t="s">
        <v>904</v>
      </c>
      <c r="B313" s="5" t="s">
        <v>905</v>
      </c>
      <c r="C313" s="21" t="s">
        <v>903</v>
      </c>
      <c r="D313" s="20"/>
      <c r="E313" s="4">
        <v>1002399</v>
      </c>
      <c r="F313" s="4" t="s">
        <v>44</v>
      </c>
      <c r="G313" s="4" t="s">
        <v>45</v>
      </c>
      <c r="H313" s="4" t="s">
        <v>61</v>
      </c>
      <c r="I313" s="4" t="s">
        <v>57</v>
      </c>
      <c r="J313" s="4" t="s">
        <v>47</v>
      </c>
      <c r="K313" s="4">
        <v>7.5</v>
      </c>
      <c r="L313" s="4">
        <v>15</v>
      </c>
      <c r="M313" s="5">
        <v>288</v>
      </c>
      <c r="N313" s="5">
        <v>288</v>
      </c>
      <c r="O313" s="5">
        <v>576</v>
      </c>
      <c r="P313" s="5">
        <v>288</v>
      </c>
      <c r="Q313" s="5">
        <v>288</v>
      </c>
      <c r="R313" s="5">
        <v>576</v>
      </c>
      <c r="S313" s="5">
        <v>576</v>
      </c>
      <c r="T313" s="5">
        <v>0</v>
      </c>
      <c r="U313" s="5">
        <v>720</v>
      </c>
      <c r="V313" s="5">
        <v>576</v>
      </c>
      <c r="W313" s="5">
        <v>432</v>
      </c>
      <c r="X313" s="5">
        <v>576</v>
      </c>
      <c r="Z313" t="e">
        <f>VLOOKUP(E313,Sheet2!$A$1:$A$39,1,0)</f>
        <v>#N/A</v>
      </c>
      <c r="AA313">
        <f>VLOOKUP($E313,[1]Sheet1!$E$10:$X$629,AA$9,0)</f>
        <v>0</v>
      </c>
      <c r="AB313">
        <f>VLOOKUP($E313,[1]Sheet1!$E$10:$X$629,AB$9,0)</f>
        <v>576</v>
      </c>
      <c r="AC313">
        <f>VLOOKUP($E313,[1]Sheet1!$E$10:$X$629,AC$9,0)</f>
        <v>576</v>
      </c>
      <c r="AD313">
        <f>VLOOKUP($E313,[1]Sheet1!$E$10:$X$629,AD$9,0)</f>
        <v>144</v>
      </c>
      <c r="AE313">
        <f>VLOOKUP($E313,[1]Sheet1!$E$10:$X$629,AE$9,0)</f>
        <v>576</v>
      </c>
      <c r="AF313">
        <f>VLOOKUP($E313,[1]Sheet1!$E$10:$X$629,AF$9,0)</f>
        <v>432</v>
      </c>
      <c r="AG313">
        <f>VLOOKUP($E313,[1]Sheet1!$E$10:$X$629,AG$9,0)</f>
        <v>576</v>
      </c>
      <c r="AH313">
        <f>VLOOKUP($E313,[1]Sheet1!$E$10:$X$629,AH$9,0)</f>
        <v>144</v>
      </c>
      <c r="AJ313">
        <f t="shared" si="16"/>
        <v>2880</v>
      </c>
      <c r="AK313">
        <f t="shared" si="17"/>
        <v>3024</v>
      </c>
      <c r="AL313">
        <f t="shared" si="18"/>
        <v>-144</v>
      </c>
    </row>
    <row r="314" spans="1:38" ht="39.6" x14ac:dyDescent="0.3">
      <c r="A314" s="4" t="s">
        <v>906</v>
      </c>
      <c r="B314" s="5" t="s">
        <v>907</v>
      </c>
      <c r="C314" s="21" t="s">
        <v>908</v>
      </c>
      <c r="D314" s="20"/>
      <c r="E314" s="4">
        <v>1002400</v>
      </c>
      <c r="F314" s="4" t="s">
        <v>44</v>
      </c>
      <c r="G314" s="4" t="s">
        <v>45</v>
      </c>
      <c r="H314" s="4" t="s">
        <v>61</v>
      </c>
      <c r="I314" s="4" t="s">
        <v>57</v>
      </c>
      <c r="J314" s="4" t="s">
        <v>47</v>
      </c>
      <c r="K314" s="4">
        <v>7.5</v>
      </c>
      <c r="L314" s="4">
        <v>15</v>
      </c>
      <c r="M314" s="5">
        <v>288</v>
      </c>
      <c r="N314" s="5">
        <v>432</v>
      </c>
      <c r="O314" s="5">
        <v>144</v>
      </c>
      <c r="P314" s="5">
        <v>432</v>
      </c>
      <c r="Q314" s="5">
        <v>288</v>
      </c>
      <c r="R314" s="5">
        <v>432</v>
      </c>
      <c r="S314" s="5">
        <v>576</v>
      </c>
      <c r="T314" s="5">
        <v>144</v>
      </c>
      <c r="U314" s="5">
        <v>576</v>
      </c>
      <c r="V314" s="5">
        <v>720</v>
      </c>
      <c r="W314" s="5">
        <v>288</v>
      </c>
      <c r="X314" s="5">
        <v>576</v>
      </c>
      <c r="Z314" t="e">
        <f>VLOOKUP(E314,Sheet2!$A$1:$A$39,1,0)</f>
        <v>#N/A</v>
      </c>
      <c r="AA314">
        <f>VLOOKUP($E314,[1]Sheet1!$E$10:$X$629,AA$9,0)</f>
        <v>288</v>
      </c>
      <c r="AB314">
        <f>VLOOKUP($E314,[1]Sheet1!$E$10:$X$629,AB$9,0)</f>
        <v>432</v>
      </c>
      <c r="AC314">
        <f>VLOOKUP($E314,[1]Sheet1!$E$10:$X$629,AC$9,0)</f>
        <v>432</v>
      </c>
      <c r="AD314">
        <f>VLOOKUP($E314,[1]Sheet1!$E$10:$X$629,AD$9,0)</f>
        <v>288</v>
      </c>
      <c r="AE314">
        <f>VLOOKUP($E314,[1]Sheet1!$E$10:$X$629,AE$9,0)</f>
        <v>576</v>
      </c>
      <c r="AF314">
        <f>VLOOKUP($E314,[1]Sheet1!$E$10:$X$629,AF$9,0)</f>
        <v>576</v>
      </c>
      <c r="AG314">
        <f>VLOOKUP($E314,[1]Sheet1!$E$10:$X$629,AG$9,0)</f>
        <v>432</v>
      </c>
      <c r="AH314">
        <f>VLOOKUP($E314,[1]Sheet1!$E$10:$X$629,AH$9,0)</f>
        <v>144</v>
      </c>
      <c r="AJ314">
        <f t="shared" si="16"/>
        <v>2736</v>
      </c>
      <c r="AK314">
        <f t="shared" si="17"/>
        <v>3168</v>
      </c>
      <c r="AL314">
        <f t="shared" si="18"/>
        <v>-432</v>
      </c>
    </row>
    <row r="315" spans="1:38" ht="39.6" x14ac:dyDescent="0.3">
      <c r="A315" s="4" t="s">
        <v>909</v>
      </c>
      <c r="B315" s="5" t="s">
        <v>910</v>
      </c>
      <c r="C315" s="21" t="s">
        <v>911</v>
      </c>
      <c r="D315" s="20"/>
      <c r="E315" s="4">
        <v>1002402</v>
      </c>
      <c r="F315" s="4" t="s">
        <v>44</v>
      </c>
      <c r="G315" s="4" t="s">
        <v>45</v>
      </c>
      <c r="H315" s="4" t="s">
        <v>61</v>
      </c>
      <c r="I315" s="4" t="s">
        <v>57</v>
      </c>
      <c r="J315" s="4" t="s">
        <v>47</v>
      </c>
      <c r="K315" s="4">
        <v>7.5</v>
      </c>
      <c r="L315" s="4">
        <v>15</v>
      </c>
      <c r="M315" s="5">
        <v>144</v>
      </c>
      <c r="N315" s="5">
        <v>432</v>
      </c>
      <c r="O315" s="5">
        <v>288</v>
      </c>
      <c r="P315" s="5">
        <v>576</v>
      </c>
      <c r="Q315" s="5">
        <v>288</v>
      </c>
      <c r="R315" s="5">
        <v>720</v>
      </c>
      <c r="S315" s="5">
        <v>288</v>
      </c>
      <c r="T315" s="5">
        <v>432</v>
      </c>
      <c r="U315" s="5">
        <v>576</v>
      </c>
      <c r="V315" s="5">
        <v>432</v>
      </c>
      <c r="W315" s="5">
        <v>720</v>
      </c>
      <c r="X315" s="5">
        <v>432</v>
      </c>
      <c r="Z315" t="e">
        <f>VLOOKUP(E315,Sheet2!$A$1:$A$39,1,0)</f>
        <v>#N/A</v>
      </c>
      <c r="AA315">
        <f>VLOOKUP($E315,[1]Sheet1!$E$10:$X$629,AA$9,0)</f>
        <v>288</v>
      </c>
      <c r="AB315">
        <f>VLOOKUP($E315,[1]Sheet1!$E$10:$X$629,AB$9,0)</f>
        <v>432</v>
      </c>
      <c r="AC315">
        <f>VLOOKUP($E315,[1]Sheet1!$E$10:$X$629,AC$9,0)</f>
        <v>288</v>
      </c>
      <c r="AD315">
        <f>VLOOKUP($E315,[1]Sheet1!$E$10:$X$629,AD$9,0)</f>
        <v>576</v>
      </c>
      <c r="AE315">
        <f>VLOOKUP($E315,[1]Sheet1!$E$10:$X$629,AE$9,0)</f>
        <v>288</v>
      </c>
      <c r="AF315">
        <f>VLOOKUP($E315,[1]Sheet1!$E$10:$X$629,AF$9,0)</f>
        <v>576</v>
      </c>
      <c r="AG315">
        <f>VLOOKUP($E315,[1]Sheet1!$E$10:$X$629,AG$9,0)</f>
        <v>576</v>
      </c>
      <c r="AH315">
        <f>VLOOKUP($E315,[1]Sheet1!$E$10:$X$629,AH$9,0)</f>
        <v>288</v>
      </c>
      <c r="AJ315">
        <f t="shared" si="16"/>
        <v>3168</v>
      </c>
      <c r="AK315">
        <f t="shared" si="17"/>
        <v>3312</v>
      </c>
      <c r="AL315">
        <f t="shared" si="18"/>
        <v>-144</v>
      </c>
    </row>
    <row r="316" spans="1:38" ht="39.6" x14ac:dyDescent="0.3">
      <c r="A316" s="4" t="s">
        <v>912</v>
      </c>
      <c r="B316" s="5" t="s">
        <v>913</v>
      </c>
      <c r="C316" s="21" t="s">
        <v>914</v>
      </c>
      <c r="D316" s="20"/>
      <c r="E316" s="4">
        <v>1002385</v>
      </c>
      <c r="F316" s="4" t="s">
        <v>44</v>
      </c>
      <c r="G316" s="4" t="s">
        <v>45</v>
      </c>
      <c r="H316" s="4" t="s">
        <v>61</v>
      </c>
      <c r="I316" s="4" t="s">
        <v>57</v>
      </c>
      <c r="J316" s="4" t="s">
        <v>47</v>
      </c>
      <c r="K316" s="4">
        <v>7.5</v>
      </c>
      <c r="L316" s="4">
        <v>15</v>
      </c>
      <c r="M316" s="5">
        <v>0</v>
      </c>
      <c r="N316" s="5">
        <v>144</v>
      </c>
      <c r="O316" s="5">
        <v>0</v>
      </c>
      <c r="P316" s="5">
        <v>144</v>
      </c>
      <c r="Q316" s="5">
        <v>144</v>
      </c>
      <c r="R316" s="5">
        <v>0</v>
      </c>
      <c r="S316" s="5">
        <v>432</v>
      </c>
      <c r="T316" s="5">
        <v>144</v>
      </c>
      <c r="U316" s="5">
        <v>0</v>
      </c>
      <c r="V316" s="5">
        <v>432</v>
      </c>
      <c r="W316" s="5">
        <v>144</v>
      </c>
      <c r="X316" s="5">
        <v>288</v>
      </c>
      <c r="Z316" t="e">
        <f>VLOOKUP(E316,Sheet2!$A$1:$A$39,1,0)</f>
        <v>#N/A</v>
      </c>
      <c r="AA316">
        <f>VLOOKUP($E316,[1]Sheet1!$E$10:$X$629,AA$9,0)</f>
        <v>288</v>
      </c>
      <c r="AB316">
        <f>VLOOKUP($E316,[1]Sheet1!$E$10:$X$629,AB$9,0)</f>
        <v>144</v>
      </c>
      <c r="AC316">
        <f>VLOOKUP($E316,[1]Sheet1!$E$10:$X$629,AC$9,0)</f>
        <v>144</v>
      </c>
      <c r="AD316">
        <f>VLOOKUP($E316,[1]Sheet1!$E$10:$X$629,AD$9,0)</f>
        <v>288</v>
      </c>
      <c r="AE316">
        <f>VLOOKUP($E316,[1]Sheet1!$E$10:$X$629,AE$9,0)</f>
        <v>576</v>
      </c>
      <c r="AF316">
        <f>VLOOKUP($E316,[1]Sheet1!$E$10:$X$629,AF$9,0)</f>
        <v>432</v>
      </c>
      <c r="AG316">
        <f>VLOOKUP($E316,[1]Sheet1!$E$10:$X$629,AG$9,0)</f>
        <v>288</v>
      </c>
      <c r="AH316">
        <f>VLOOKUP($E316,[1]Sheet1!$E$10:$X$629,AH$9,0)</f>
        <v>288</v>
      </c>
      <c r="AJ316">
        <f t="shared" si="16"/>
        <v>1008</v>
      </c>
      <c r="AK316">
        <f t="shared" si="17"/>
        <v>2448</v>
      </c>
      <c r="AL316">
        <f t="shared" si="18"/>
        <v>-1440</v>
      </c>
    </row>
    <row r="317" spans="1:38" ht="39.6" x14ac:dyDescent="0.3">
      <c r="A317" s="4" t="s">
        <v>915</v>
      </c>
      <c r="B317" s="5" t="s">
        <v>916</v>
      </c>
      <c r="C317" s="21" t="s">
        <v>917</v>
      </c>
      <c r="D317" s="20"/>
      <c r="E317" s="4">
        <v>1002386</v>
      </c>
      <c r="F317" s="4" t="s">
        <v>44</v>
      </c>
      <c r="G317" s="4" t="s">
        <v>45</v>
      </c>
      <c r="H317" s="4" t="s">
        <v>61</v>
      </c>
      <c r="I317" s="4" t="s">
        <v>57</v>
      </c>
      <c r="J317" s="4" t="s">
        <v>47</v>
      </c>
      <c r="K317" s="4">
        <v>7.5</v>
      </c>
      <c r="L317" s="4">
        <v>15</v>
      </c>
      <c r="M317" s="5">
        <v>144</v>
      </c>
      <c r="N317" s="5">
        <v>0</v>
      </c>
      <c r="O317" s="5">
        <v>288</v>
      </c>
      <c r="P317" s="5">
        <v>144</v>
      </c>
      <c r="Q317" s="5">
        <v>144</v>
      </c>
      <c r="R317" s="5">
        <v>0</v>
      </c>
      <c r="S317" s="5">
        <v>288</v>
      </c>
      <c r="T317" s="5">
        <v>288</v>
      </c>
      <c r="U317" s="5">
        <v>144</v>
      </c>
      <c r="V317" s="5">
        <v>144</v>
      </c>
      <c r="W317" s="5">
        <v>432</v>
      </c>
      <c r="X317" s="5">
        <v>0</v>
      </c>
      <c r="Z317" t="e">
        <f>VLOOKUP(E317,Sheet2!$A$1:$A$39,1,0)</f>
        <v>#N/A</v>
      </c>
      <c r="AA317">
        <f>VLOOKUP($E317,[1]Sheet1!$E$10:$X$629,AA$9,0)</f>
        <v>432</v>
      </c>
      <c r="AB317">
        <f>VLOOKUP($E317,[1]Sheet1!$E$10:$X$629,AB$9,0)</f>
        <v>144</v>
      </c>
      <c r="AC317">
        <f>VLOOKUP($E317,[1]Sheet1!$E$10:$X$629,AC$9,0)</f>
        <v>288</v>
      </c>
      <c r="AD317">
        <f>VLOOKUP($E317,[1]Sheet1!$E$10:$X$629,AD$9,0)</f>
        <v>432</v>
      </c>
      <c r="AE317">
        <f>VLOOKUP($E317,[1]Sheet1!$E$10:$X$629,AE$9,0)</f>
        <v>288</v>
      </c>
      <c r="AF317">
        <f>VLOOKUP($E317,[1]Sheet1!$E$10:$X$629,AF$9,0)</f>
        <v>432</v>
      </c>
      <c r="AG317">
        <f>VLOOKUP($E317,[1]Sheet1!$E$10:$X$629,AG$9,0)</f>
        <v>576</v>
      </c>
      <c r="AH317">
        <f>VLOOKUP($E317,[1]Sheet1!$E$10:$X$629,AH$9,0)</f>
        <v>144</v>
      </c>
      <c r="AJ317">
        <f t="shared" si="16"/>
        <v>1296</v>
      </c>
      <c r="AK317">
        <f t="shared" si="17"/>
        <v>2736</v>
      </c>
      <c r="AL317">
        <f t="shared" si="18"/>
        <v>-1440</v>
      </c>
    </row>
    <row r="318" spans="1:38" ht="39.6" x14ac:dyDescent="0.3">
      <c r="A318" s="4" t="s">
        <v>918</v>
      </c>
      <c r="B318" s="5" t="s">
        <v>919</v>
      </c>
      <c r="C318" s="21" t="s">
        <v>920</v>
      </c>
      <c r="D318" s="20"/>
      <c r="E318" s="4">
        <v>1002387</v>
      </c>
      <c r="F318" s="4" t="s">
        <v>44</v>
      </c>
      <c r="G318" s="4" t="s">
        <v>45</v>
      </c>
      <c r="H318" s="4" t="s">
        <v>61</v>
      </c>
      <c r="I318" s="4" t="s">
        <v>57</v>
      </c>
      <c r="J318" s="4" t="s">
        <v>47</v>
      </c>
      <c r="K318" s="4">
        <v>7.5</v>
      </c>
      <c r="L318" s="4">
        <v>15</v>
      </c>
      <c r="M318" s="5">
        <v>288</v>
      </c>
      <c r="N318" s="5">
        <v>432</v>
      </c>
      <c r="O318" s="5">
        <v>576</v>
      </c>
      <c r="P318" s="5">
        <v>144</v>
      </c>
      <c r="Q318" s="5">
        <v>720</v>
      </c>
      <c r="R318" s="5">
        <v>864</v>
      </c>
      <c r="S318" s="5">
        <v>576</v>
      </c>
      <c r="T318" s="5">
        <v>576</v>
      </c>
      <c r="U318" s="5">
        <v>864</v>
      </c>
      <c r="V318" s="5">
        <v>720</v>
      </c>
      <c r="W318" s="5">
        <v>720</v>
      </c>
      <c r="X318" s="5">
        <v>432</v>
      </c>
      <c r="Z318" t="e">
        <f>VLOOKUP(E318,Sheet2!$A$1:$A$39,1,0)</f>
        <v>#N/A</v>
      </c>
      <c r="AA318">
        <f>VLOOKUP($E318,[1]Sheet1!$E$10:$X$629,AA$9,0)</f>
        <v>432</v>
      </c>
      <c r="AB318">
        <f>VLOOKUP($E318,[1]Sheet1!$E$10:$X$629,AB$9,0)</f>
        <v>432</v>
      </c>
      <c r="AC318">
        <f>VLOOKUP($E318,[1]Sheet1!$E$10:$X$629,AC$9,0)</f>
        <v>432</v>
      </c>
      <c r="AD318">
        <f>VLOOKUP($E318,[1]Sheet1!$E$10:$X$629,AD$9,0)</f>
        <v>432</v>
      </c>
      <c r="AE318">
        <f>VLOOKUP($E318,[1]Sheet1!$E$10:$X$629,AE$9,0)</f>
        <v>576</v>
      </c>
      <c r="AF318">
        <f>VLOOKUP($E318,[1]Sheet1!$E$10:$X$629,AF$9,0)</f>
        <v>576</v>
      </c>
      <c r="AG318">
        <f>VLOOKUP($E318,[1]Sheet1!$E$10:$X$629,AG$9,0)</f>
        <v>720</v>
      </c>
      <c r="AH318">
        <f>VLOOKUP($E318,[1]Sheet1!$E$10:$X$629,AH$9,0)</f>
        <v>144</v>
      </c>
      <c r="AJ318">
        <f t="shared" si="16"/>
        <v>4176</v>
      </c>
      <c r="AK318">
        <f t="shared" si="17"/>
        <v>3744</v>
      </c>
      <c r="AL318">
        <f t="shared" si="18"/>
        <v>432</v>
      </c>
    </row>
    <row r="319" spans="1:38" ht="39.6" x14ac:dyDescent="0.3">
      <c r="A319" s="4" t="s">
        <v>921</v>
      </c>
      <c r="B319" s="5" t="s">
        <v>922</v>
      </c>
      <c r="C319" s="21" t="s">
        <v>923</v>
      </c>
      <c r="D319" s="20"/>
      <c r="E319" s="4">
        <v>1002388</v>
      </c>
      <c r="F319" s="4" t="s">
        <v>44</v>
      </c>
      <c r="G319" s="4" t="s">
        <v>45</v>
      </c>
      <c r="H319" s="4" t="s">
        <v>61</v>
      </c>
      <c r="I319" s="4" t="s">
        <v>57</v>
      </c>
      <c r="J319" s="4" t="s">
        <v>47</v>
      </c>
      <c r="K319" s="4">
        <v>7.5</v>
      </c>
      <c r="L319" s="4">
        <v>15</v>
      </c>
      <c r="M319" s="5">
        <v>144</v>
      </c>
      <c r="N319" s="5">
        <v>432</v>
      </c>
      <c r="O319" s="5">
        <v>432</v>
      </c>
      <c r="P319" s="5">
        <v>144</v>
      </c>
      <c r="Q319" s="5">
        <v>288</v>
      </c>
      <c r="R319" s="5">
        <v>720</v>
      </c>
      <c r="S319" s="5">
        <v>432</v>
      </c>
      <c r="T319" s="5">
        <v>576</v>
      </c>
      <c r="U319" s="5">
        <v>288</v>
      </c>
      <c r="V319" s="5">
        <v>576</v>
      </c>
      <c r="W319" s="5">
        <v>432</v>
      </c>
      <c r="X319" s="5">
        <v>432</v>
      </c>
      <c r="Z319" t="e">
        <f>VLOOKUP(E319,Sheet2!$A$1:$A$39,1,0)</f>
        <v>#N/A</v>
      </c>
      <c r="AA319">
        <f>VLOOKUP($E319,[1]Sheet1!$E$10:$X$629,AA$9,0)</f>
        <v>576</v>
      </c>
      <c r="AB319">
        <f>VLOOKUP($E319,[1]Sheet1!$E$10:$X$629,AB$9,0)</f>
        <v>288</v>
      </c>
      <c r="AC319">
        <f>VLOOKUP($E319,[1]Sheet1!$E$10:$X$629,AC$9,0)</f>
        <v>432</v>
      </c>
      <c r="AD319">
        <f>VLOOKUP($E319,[1]Sheet1!$E$10:$X$629,AD$9,0)</f>
        <v>576</v>
      </c>
      <c r="AE319">
        <f>VLOOKUP($E319,[1]Sheet1!$E$10:$X$629,AE$9,0)</f>
        <v>288</v>
      </c>
      <c r="AF319">
        <f>VLOOKUP($E319,[1]Sheet1!$E$10:$X$629,AF$9,0)</f>
        <v>864</v>
      </c>
      <c r="AG319">
        <f>VLOOKUP($E319,[1]Sheet1!$E$10:$X$629,AG$9,0)</f>
        <v>576</v>
      </c>
      <c r="AH319">
        <f>VLOOKUP($E319,[1]Sheet1!$E$10:$X$629,AH$9,0)</f>
        <v>432</v>
      </c>
      <c r="AJ319">
        <f t="shared" si="16"/>
        <v>3168</v>
      </c>
      <c r="AK319">
        <f t="shared" si="17"/>
        <v>4032</v>
      </c>
      <c r="AL319">
        <f t="shared" si="18"/>
        <v>-864</v>
      </c>
    </row>
    <row r="320" spans="1:38" ht="39.6" x14ac:dyDescent="0.3">
      <c r="A320" s="4" t="s">
        <v>924</v>
      </c>
      <c r="B320" s="5" t="s">
        <v>925</v>
      </c>
      <c r="C320" s="21" t="s">
        <v>926</v>
      </c>
      <c r="D320" s="20"/>
      <c r="E320" s="4">
        <v>1002389</v>
      </c>
      <c r="F320" s="4" t="s">
        <v>44</v>
      </c>
      <c r="G320" s="4" t="s">
        <v>45</v>
      </c>
      <c r="H320" s="4" t="s">
        <v>61</v>
      </c>
      <c r="I320" s="4" t="s">
        <v>57</v>
      </c>
      <c r="J320" s="4" t="s">
        <v>47</v>
      </c>
      <c r="K320" s="4">
        <v>7.5</v>
      </c>
      <c r="L320" s="4">
        <v>15</v>
      </c>
      <c r="M320" s="5">
        <v>0</v>
      </c>
      <c r="N320" s="5">
        <v>0</v>
      </c>
      <c r="O320" s="5">
        <v>576</v>
      </c>
      <c r="P320" s="5">
        <v>0</v>
      </c>
      <c r="Q320" s="5">
        <v>288</v>
      </c>
      <c r="R320" s="5">
        <v>432</v>
      </c>
      <c r="S320" s="5">
        <v>432</v>
      </c>
      <c r="T320" s="5">
        <v>0</v>
      </c>
      <c r="U320" s="5">
        <v>576</v>
      </c>
      <c r="V320" s="5">
        <v>288</v>
      </c>
      <c r="W320" s="5">
        <v>432</v>
      </c>
      <c r="X320" s="5">
        <v>288</v>
      </c>
      <c r="Z320" t="e">
        <f>VLOOKUP(E320,Sheet2!$A$1:$A$39,1,0)</f>
        <v>#N/A</v>
      </c>
      <c r="AA320">
        <f>VLOOKUP($E320,[1]Sheet1!$E$10:$X$629,AA$9,0)</f>
        <v>144</v>
      </c>
      <c r="AB320">
        <f>VLOOKUP($E320,[1]Sheet1!$E$10:$X$629,AB$9,0)</f>
        <v>432</v>
      </c>
      <c r="AC320">
        <f>VLOOKUP($E320,[1]Sheet1!$E$10:$X$629,AC$9,0)</f>
        <v>288</v>
      </c>
      <c r="AD320">
        <f>VLOOKUP($E320,[1]Sheet1!$E$10:$X$629,AD$9,0)</f>
        <v>288</v>
      </c>
      <c r="AE320">
        <f>VLOOKUP($E320,[1]Sheet1!$E$10:$X$629,AE$9,0)</f>
        <v>432</v>
      </c>
      <c r="AF320">
        <f>VLOOKUP($E320,[1]Sheet1!$E$10:$X$629,AF$9,0)</f>
        <v>720</v>
      </c>
      <c r="AG320">
        <f>VLOOKUP($E320,[1]Sheet1!$E$10:$X$629,AG$9,0)</f>
        <v>720</v>
      </c>
      <c r="AH320">
        <f>VLOOKUP($E320,[1]Sheet1!$E$10:$X$629,AH$9,0)</f>
        <v>288</v>
      </c>
      <c r="AJ320">
        <f t="shared" si="16"/>
        <v>1728</v>
      </c>
      <c r="AK320">
        <f t="shared" si="17"/>
        <v>3312</v>
      </c>
      <c r="AL320">
        <f t="shared" si="18"/>
        <v>-1584</v>
      </c>
    </row>
    <row r="321" spans="1:38" ht="39.6" x14ac:dyDescent="0.3">
      <c r="A321" s="4" t="s">
        <v>927</v>
      </c>
      <c r="B321" s="5" t="s">
        <v>928</v>
      </c>
      <c r="C321" s="21" t="s">
        <v>929</v>
      </c>
      <c r="D321" s="20"/>
      <c r="E321" s="4">
        <v>1002390</v>
      </c>
      <c r="F321" s="4" t="s">
        <v>44</v>
      </c>
      <c r="G321" s="4" t="s">
        <v>45</v>
      </c>
      <c r="H321" s="4" t="s">
        <v>61</v>
      </c>
      <c r="I321" s="4" t="s">
        <v>57</v>
      </c>
      <c r="J321" s="4" t="s">
        <v>47</v>
      </c>
      <c r="K321" s="4">
        <v>7.5</v>
      </c>
      <c r="L321" s="4">
        <v>15</v>
      </c>
      <c r="M321" s="5">
        <v>144</v>
      </c>
      <c r="N321" s="5">
        <v>144</v>
      </c>
      <c r="O321" s="5">
        <v>144</v>
      </c>
      <c r="P321" s="5">
        <v>144</v>
      </c>
      <c r="Q321" s="5">
        <v>144</v>
      </c>
      <c r="R321" s="5">
        <v>432</v>
      </c>
      <c r="S321" s="5">
        <v>0</v>
      </c>
      <c r="T321" s="5">
        <v>432</v>
      </c>
      <c r="U321" s="5">
        <v>144</v>
      </c>
      <c r="V321" s="5">
        <v>288</v>
      </c>
      <c r="W321" s="5">
        <v>432</v>
      </c>
      <c r="X321" s="5">
        <v>0</v>
      </c>
      <c r="Z321" t="e">
        <f>VLOOKUP(E321,Sheet2!$A$1:$A$39,1,0)</f>
        <v>#N/A</v>
      </c>
      <c r="AA321">
        <f>VLOOKUP($E321,[1]Sheet1!$E$10:$X$629,AA$9,0)</f>
        <v>288</v>
      </c>
      <c r="AB321">
        <f>VLOOKUP($E321,[1]Sheet1!$E$10:$X$629,AB$9,0)</f>
        <v>432</v>
      </c>
      <c r="AC321">
        <f>VLOOKUP($E321,[1]Sheet1!$E$10:$X$629,AC$9,0)</f>
        <v>144</v>
      </c>
      <c r="AD321">
        <f>VLOOKUP($E321,[1]Sheet1!$E$10:$X$629,AD$9,0)</f>
        <v>576</v>
      </c>
      <c r="AE321">
        <f>VLOOKUP($E321,[1]Sheet1!$E$10:$X$629,AE$9,0)</f>
        <v>144</v>
      </c>
      <c r="AF321">
        <f>VLOOKUP($E321,[1]Sheet1!$E$10:$X$629,AF$9,0)</f>
        <v>720</v>
      </c>
      <c r="AG321">
        <f>VLOOKUP($E321,[1]Sheet1!$E$10:$X$629,AG$9,0)</f>
        <v>576</v>
      </c>
      <c r="AH321">
        <f>VLOOKUP($E321,[1]Sheet1!$E$10:$X$629,AH$9,0)</f>
        <v>288</v>
      </c>
      <c r="AJ321">
        <f t="shared" si="16"/>
        <v>1584</v>
      </c>
      <c r="AK321">
        <f t="shared" si="17"/>
        <v>3168</v>
      </c>
      <c r="AL321">
        <f t="shared" si="18"/>
        <v>-1584</v>
      </c>
    </row>
    <row r="322" spans="1:38" ht="39.6" x14ac:dyDescent="0.3">
      <c r="A322" s="4" t="s">
        <v>930</v>
      </c>
      <c r="B322" s="5" t="s">
        <v>931</v>
      </c>
      <c r="C322" s="21" t="s">
        <v>932</v>
      </c>
      <c r="D322" s="20"/>
      <c r="E322" s="4">
        <v>1002391</v>
      </c>
      <c r="F322" s="4" t="s">
        <v>44</v>
      </c>
      <c r="G322" s="4" t="s">
        <v>45</v>
      </c>
      <c r="H322" s="4" t="s">
        <v>61</v>
      </c>
      <c r="I322" s="4" t="s">
        <v>57</v>
      </c>
      <c r="J322" s="4" t="s">
        <v>47</v>
      </c>
      <c r="K322" s="4">
        <v>7.5</v>
      </c>
      <c r="L322" s="4">
        <v>15</v>
      </c>
      <c r="M322" s="5">
        <v>0</v>
      </c>
      <c r="N322" s="5">
        <v>432</v>
      </c>
      <c r="O322" s="5">
        <v>432</v>
      </c>
      <c r="P322" s="5">
        <v>288</v>
      </c>
      <c r="Q322" s="5">
        <v>288</v>
      </c>
      <c r="R322" s="5">
        <v>576</v>
      </c>
      <c r="S322" s="5">
        <v>288</v>
      </c>
      <c r="T322" s="5">
        <v>432</v>
      </c>
      <c r="U322" s="5">
        <v>576</v>
      </c>
      <c r="V322" s="5">
        <v>576</v>
      </c>
      <c r="W322" s="5">
        <v>576</v>
      </c>
      <c r="X322" s="5">
        <v>288</v>
      </c>
      <c r="Z322" t="e">
        <f>VLOOKUP(E322,Sheet2!$A$1:$A$39,1,0)</f>
        <v>#N/A</v>
      </c>
      <c r="AA322">
        <f>VLOOKUP($E322,[1]Sheet1!$E$10:$X$629,AA$9,0)</f>
        <v>288</v>
      </c>
      <c r="AB322">
        <f>VLOOKUP($E322,[1]Sheet1!$E$10:$X$629,AB$9,0)</f>
        <v>576</v>
      </c>
      <c r="AC322">
        <f>VLOOKUP($E322,[1]Sheet1!$E$10:$X$629,AC$9,0)</f>
        <v>432</v>
      </c>
      <c r="AD322">
        <f>VLOOKUP($E322,[1]Sheet1!$E$10:$X$629,AD$9,0)</f>
        <v>576</v>
      </c>
      <c r="AE322">
        <f>VLOOKUP($E322,[1]Sheet1!$E$10:$X$629,AE$9,0)</f>
        <v>576</v>
      </c>
      <c r="AF322">
        <f>VLOOKUP($E322,[1]Sheet1!$E$10:$X$629,AF$9,0)</f>
        <v>720</v>
      </c>
      <c r="AG322">
        <f>VLOOKUP($E322,[1]Sheet1!$E$10:$X$629,AG$9,0)</f>
        <v>864</v>
      </c>
      <c r="AH322">
        <f>VLOOKUP($E322,[1]Sheet1!$E$10:$X$629,AH$9,0)</f>
        <v>288</v>
      </c>
      <c r="AJ322">
        <f t="shared" si="16"/>
        <v>2736</v>
      </c>
      <c r="AK322">
        <f t="shared" si="17"/>
        <v>4320</v>
      </c>
      <c r="AL322">
        <f t="shared" si="18"/>
        <v>-1584</v>
      </c>
    </row>
    <row r="323" spans="1:38" ht="39.6" x14ac:dyDescent="0.3">
      <c r="A323" s="4" t="s">
        <v>933</v>
      </c>
      <c r="B323" s="5" t="s">
        <v>934</v>
      </c>
      <c r="C323" s="21" t="s">
        <v>935</v>
      </c>
      <c r="D323" s="20"/>
      <c r="E323" s="4">
        <v>1002392</v>
      </c>
      <c r="F323" s="4" t="s">
        <v>44</v>
      </c>
      <c r="G323" s="4" t="s">
        <v>45</v>
      </c>
      <c r="H323" s="4" t="s">
        <v>61</v>
      </c>
      <c r="I323" s="4" t="s">
        <v>57</v>
      </c>
      <c r="J323" s="4" t="s">
        <v>47</v>
      </c>
      <c r="K323" s="4">
        <v>7.5</v>
      </c>
      <c r="L323" s="4">
        <v>15</v>
      </c>
      <c r="M323" s="5">
        <v>0</v>
      </c>
      <c r="N323" s="5">
        <v>144</v>
      </c>
      <c r="O323" s="5">
        <v>144</v>
      </c>
      <c r="P323" s="5">
        <v>0</v>
      </c>
      <c r="Q323" s="5">
        <v>288</v>
      </c>
      <c r="R323" s="5">
        <v>144</v>
      </c>
      <c r="S323" s="5">
        <v>144</v>
      </c>
      <c r="T323" s="5">
        <v>144</v>
      </c>
      <c r="U323" s="5">
        <v>288</v>
      </c>
      <c r="V323" s="5">
        <v>288</v>
      </c>
      <c r="W323" s="5">
        <v>144</v>
      </c>
      <c r="X323" s="5">
        <v>288</v>
      </c>
      <c r="Z323" t="e">
        <f>VLOOKUP(E323,Sheet2!$A$1:$A$39,1,0)</f>
        <v>#N/A</v>
      </c>
      <c r="AA323">
        <f>VLOOKUP($E323,[1]Sheet1!$E$10:$X$629,AA$9,0)</f>
        <v>144</v>
      </c>
      <c r="AB323">
        <f>VLOOKUP($E323,[1]Sheet1!$E$10:$X$629,AB$9,0)</f>
        <v>288</v>
      </c>
      <c r="AC323">
        <f>VLOOKUP($E323,[1]Sheet1!$E$10:$X$629,AC$9,0)</f>
        <v>288</v>
      </c>
      <c r="AD323">
        <f>VLOOKUP($E323,[1]Sheet1!$E$10:$X$629,AD$9,0)</f>
        <v>0</v>
      </c>
      <c r="AE323">
        <f>VLOOKUP($E323,[1]Sheet1!$E$10:$X$629,AE$9,0)</f>
        <v>432</v>
      </c>
      <c r="AF323">
        <f>VLOOKUP($E323,[1]Sheet1!$E$10:$X$629,AF$9,0)</f>
        <v>144</v>
      </c>
      <c r="AG323">
        <f>VLOOKUP($E323,[1]Sheet1!$E$10:$X$629,AG$9,0)</f>
        <v>432</v>
      </c>
      <c r="AH323">
        <f>VLOOKUP($E323,[1]Sheet1!$E$10:$X$629,AH$9,0)</f>
        <v>144</v>
      </c>
      <c r="AJ323">
        <f t="shared" si="16"/>
        <v>1008</v>
      </c>
      <c r="AK323">
        <f t="shared" si="17"/>
        <v>1872</v>
      </c>
      <c r="AL323">
        <f t="shared" si="18"/>
        <v>-864</v>
      </c>
    </row>
    <row r="324" spans="1:38" ht="39.6" x14ac:dyDescent="0.3">
      <c r="A324" s="4" t="s">
        <v>936</v>
      </c>
      <c r="B324" s="5" t="s">
        <v>937</v>
      </c>
      <c r="C324" s="21" t="s">
        <v>938</v>
      </c>
      <c r="D324" s="20"/>
      <c r="E324" s="4">
        <v>1002393</v>
      </c>
      <c r="F324" s="4" t="s">
        <v>44</v>
      </c>
      <c r="G324" s="4" t="s">
        <v>45</v>
      </c>
      <c r="H324" s="4" t="s">
        <v>61</v>
      </c>
      <c r="I324" s="4" t="s">
        <v>57</v>
      </c>
      <c r="J324" s="4" t="s">
        <v>47</v>
      </c>
      <c r="K324" s="4">
        <v>7.5</v>
      </c>
      <c r="L324" s="4">
        <v>15</v>
      </c>
      <c r="M324" s="5">
        <v>144</v>
      </c>
      <c r="N324" s="5">
        <v>576</v>
      </c>
      <c r="O324" s="5">
        <v>720</v>
      </c>
      <c r="P324" s="5">
        <v>432</v>
      </c>
      <c r="Q324" s="5">
        <v>432</v>
      </c>
      <c r="R324" s="5">
        <v>1008</v>
      </c>
      <c r="S324" s="5">
        <v>576</v>
      </c>
      <c r="T324" s="5">
        <v>576</v>
      </c>
      <c r="U324" s="5">
        <v>576</v>
      </c>
      <c r="V324" s="5">
        <v>864</v>
      </c>
      <c r="W324" s="5">
        <v>720</v>
      </c>
      <c r="X324" s="5">
        <v>720</v>
      </c>
      <c r="Z324" t="e">
        <f>VLOOKUP(E324,Sheet2!$A$1:$A$39,1,0)</f>
        <v>#N/A</v>
      </c>
      <c r="AA324">
        <f>VLOOKUP($E324,[1]Sheet1!$E$10:$X$629,AA$9,0)</f>
        <v>288</v>
      </c>
      <c r="AB324">
        <f>VLOOKUP($E324,[1]Sheet1!$E$10:$X$629,AB$9,0)</f>
        <v>720</v>
      </c>
      <c r="AC324">
        <f>VLOOKUP($E324,[1]Sheet1!$E$10:$X$629,AC$9,0)</f>
        <v>576</v>
      </c>
      <c r="AD324">
        <f>VLOOKUP($E324,[1]Sheet1!$E$10:$X$629,AD$9,0)</f>
        <v>720</v>
      </c>
      <c r="AE324">
        <f>VLOOKUP($E324,[1]Sheet1!$E$10:$X$629,AE$9,0)</f>
        <v>576</v>
      </c>
      <c r="AF324">
        <f>VLOOKUP($E324,[1]Sheet1!$E$10:$X$629,AF$9,0)</f>
        <v>864</v>
      </c>
      <c r="AG324">
        <f>VLOOKUP($E324,[1]Sheet1!$E$10:$X$629,AG$9,0)</f>
        <v>576</v>
      </c>
      <c r="AH324">
        <f>VLOOKUP($E324,[1]Sheet1!$E$10:$X$629,AH$9,0)</f>
        <v>576</v>
      </c>
      <c r="AJ324">
        <f t="shared" si="16"/>
        <v>4464</v>
      </c>
      <c r="AK324">
        <f t="shared" si="17"/>
        <v>4896</v>
      </c>
      <c r="AL324">
        <f t="shared" si="18"/>
        <v>-432</v>
      </c>
    </row>
    <row r="325" spans="1:38" ht="39.6" x14ac:dyDescent="0.3">
      <c r="A325" s="4" t="s">
        <v>939</v>
      </c>
      <c r="B325" s="5" t="s">
        <v>940</v>
      </c>
      <c r="C325" s="21" t="s">
        <v>941</v>
      </c>
      <c r="D325" s="20"/>
      <c r="E325" s="4">
        <v>1002394</v>
      </c>
      <c r="F325" s="4" t="s">
        <v>44</v>
      </c>
      <c r="G325" s="4" t="s">
        <v>45</v>
      </c>
      <c r="H325" s="4" t="s">
        <v>61</v>
      </c>
      <c r="I325" s="4" t="s">
        <v>57</v>
      </c>
      <c r="J325" s="4" t="s">
        <v>47</v>
      </c>
      <c r="K325" s="4">
        <v>7.5</v>
      </c>
      <c r="L325" s="4">
        <v>15</v>
      </c>
      <c r="M325" s="5">
        <v>0</v>
      </c>
      <c r="N325" s="5">
        <v>0</v>
      </c>
      <c r="O325" s="5">
        <v>144</v>
      </c>
      <c r="P325" s="5">
        <v>0</v>
      </c>
      <c r="Q325" s="5">
        <v>0</v>
      </c>
      <c r="R325" s="5">
        <v>288</v>
      </c>
      <c r="S325" s="5">
        <v>0</v>
      </c>
      <c r="T325" s="5">
        <v>432</v>
      </c>
      <c r="U325" s="5">
        <v>0</v>
      </c>
      <c r="V325" s="5">
        <v>0</v>
      </c>
      <c r="W325" s="5">
        <v>288</v>
      </c>
      <c r="X325" s="5">
        <v>288</v>
      </c>
      <c r="Z325" t="e">
        <f>VLOOKUP(E325,Sheet2!$A$1:$A$39,1,0)</f>
        <v>#N/A</v>
      </c>
      <c r="AA325">
        <f>VLOOKUP($E325,[1]Sheet1!$E$10:$X$629,AA$9,0)</f>
        <v>0</v>
      </c>
      <c r="AB325">
        <f>VLOOKUP($E325,[1]Sheet1!$E$10:$X$629,AB$9,0)</f>
        <v>144</v>
      </c>
      <c r="AC325">
        <f>VLOOKUP($E325,[1]Sheet1!$E$10:$X$629,AC$9,0)</f>
        <v>0</v>
      </c>
      <c r="AD325">
        <f>VLOOKUP($E325,[1]Sheet1!$E$10:$X$629,AD$9,0)</f>
        <v>0</v>
      </c>
      <c r="AE325">
        <f>VLOOKUP($E325,[1]Sheet1!$E$10:$X$629,AE$9,0)</f>
        <v>432</v>
      </c>
      <c r="AF325">
        <f>VLOOKUP($E325,[1]Sheet1!$E$10:$X$629,AF$9,0)</f>
        <v>144</v>
      </c>
      <c r="AG325">
        <f>VLOOKUP($E325,[1]Sheet1!$E$10:$X$629,AG$9,0)</f>
        <v>288</v>
      </c>
      <c r="AH325">
        <f>VLOOKUP($E325,[1]Sheet1!$E$10:$X$629,AH$9,0)</f>
        <v>144</v>
      </c>
      <c r="AJ325">
        <f t="shared" si="16"/>
        <v>864</v>
      </c>
      <c r="AK325">
        <f t="shared" si="17"/>
        <v>1152</v>
      </c>
      <c r="AL325">
        <f t="shared" si="18"/>
        <v>-288</v>
      </c>
    </row>
    <row r="326" spans="1:38" ht="39.6" x14ac:dyDescent="0.3">
      <c r="A326" s="4" t="s">
        <v>942</v>
      </c>
      <c r="B326" s="5" t="s">
        <v>943</v>
      </c>
      <c r="C326" s="21" t="s">
        <v>944</v>
      </c>
      <c r="D326" s="20"/>
      <c r="E326" s="4">
        <v>1002395</v>
      </c>
      <c r="F326" s="4" t="s">
        <v>44</v>
      </c>
      <c r="G326" s="4" t="s">
        <v>45</v>
      </c>
      <c r="H326" s="4" t="s">
        <v>61</v>
      </c>
      <c r="I326" s="4" t="s">
        <v>57</v>
      </c>
      <c r="J326" s="4" t="s">
        <v>47</v>
      </c>
      <c r="K326" s="4">
        <v>7.5</v>
      </c>
      <c r="L326" s="4">
        <v>15</v>
      </c>
      <c r="M326" s="5">
        <v>288</v>
      </c>
      <c r="N326" s="5">
        <v>144</v>
      </c>
      <c r="O326" s="5">
        <v>288</v>
      </c>
      <c r="P326" s="5">
        <v>576</v>
      </c>
      <c r="Q326" s="5">
        <v>144</v>
      </c>
      <c r="R326" s="5">
        <v>576</v>
      </c>
      <c r="S326" s="5">
        <v>432</v>
      </c>
      <c r="T326" s="5">
        <v>432</v>
      </c>
      <c r="U326" s="5">
        <v>576</v>
      </c>
      <c r="V326" s="5">
        <v>432</v>
      </c>
      <c r="W326" s="5">
        <v>288</v>
      </c>
      <c r="X326" s="5">
        <v>576</v>
      </c>
      <c r="Z326" t="e">
        <f>VLOOKUP(E326,Sheet2!$A$1:$A$39,1,0)</f>
        <v>#N/A</v>
      </c>
      <c r="AA326">
        <f>VLOOKUP($E326,[1]Sheet1!$E$10:$X$629,AA$9,0)</f>
        <v>432</v>
      </c>
      <c r="AB326">
        <f>VLOOKUP($E326,[1]Sheet1!$E$10:$X$629,AB$9,0)</f>
        <v>288</v>
      </c>
      <c r="AC326">
        <f>VLOOKUP($E326,[1]Sheet1!$E$10:$X$629,AC$9,0)</f>
        <v>576</v>
      </c>
      <c r="AD326">
        <f>VLOOKUP($E326,[1]Sheet1!$E$10:$X$629,AD$9,0)</f>
        <v>720</v>
      </c>
      <c r="AE326">
        <f>VLOOKUP($E326,[1]Sheet1!$E$10:$X$629,AE$9,0)</f>
        <v>288</v>
      </c>
      <c r="AF326">
        <f>VLOOKUP($E326,[1]Sheet1!$E$10:$X$629,AF$9,0)</f>
        <v>720</v>
      </c>
      <c r="AG326">
        <f>VLOOKUP($E326,[1]Sheet1!$E$10:$X$629,AG$9,0)</f>
        <v>576</v>
      </c>
      <c r="AH326">
        <f>VLOOKUP($E326,[1]Sheet1!$E$10:$X$629,AH$9,0)</f>
        <v>576</v>
      </c>
      <c r="AJ326">
        <f t="shared" si="16"/>
        <v>2880</v>
      </c>
      <c r="AK326">
        <f t="shared" si="17"/>
        <v>4176</v>
      </c>
      <c r="AL326">
        <f t="shared" si="18"/>
        <v>-1296</v>
      </c>
    </row>
    <row r="327" spans="1:38" ht="39.6" x14ac:dyDescent="0.3">
      <c r="A327" s="4" t="s">
        <v>945</v>
      </c>
      <c r="B327" s="5" t="s">
        <v>946</v>
      </c>
      <c r="C327" s="21" t="s">
        <v>947</v>
      </c>
      <c r="D327" s="20"/>
      <c r="E327" s="4">
        <v>1002396</v>
      </c>
      <c r="F327" s="4" t="s">
        <v>44</v>
      </c>
      <c r="G327" s="4" t="s">
        <v>45</v>
      </c>
      <c r="H327" s="4" t="s">
        <v>61</v>
      </c>
      <c r="I327" s="4" t="s">
        <v>57</v>
      </c>
      <c r="J327" s="4" t="s">
        <v>47</v>
      </c>
      <c r="K327" s="4">
        <v>7.5</v>
      </c>
      <c r="L327" s="4">
        <v>15</v>
      </c>
      <c r="M327" s="5">
        <v>0</v>
      </c>
      <c r="N327" s="5">
        <v>0</v>
      </c>
      <c r="O327" s="5">
        <v>0</v>
      </c>
      <c r="P327" s="5">
        <v>144</v>
      </c>
      <c r="Q327" s="5">
        <v>0</v>
      </c>
      <c r="R327" s="5">
        <v>0</v>
      </c>
      <c r="S327" s="5">
        <v>144</v>
      </c>
      <c r="T327" s="5">
        <v>0</v>
      </c>
      <c r="U327" s="5">
        <v>144</v>
      </c>
      <c r="V327" s="5">
        <v>144</v>
      </c>
      <c r="W327" s="5">
        <v>0</v>
      </c>
      <c r="X327" s="5">
        <v>144</v>
      </c>
      <c r="Z327" t="e">
        <f>VLOOKUP(E327,Sheet2!$A$1:$A$39,1,0)</f>
        <v>#N/A</v>
      </c>
      <c r="AA327">
        <f>VLOOKUP($E327,[1]Sheet1!$E$10:$X$629,AA$9,0)</f>
        <v>144</v>
      </c>
      <c r="AB327">
        <f>VLOOKUP($E327,[1]Sheet1!$E$10:$X$629,AB$9,0)</f>
        <v>0</v>
      </c>
      <c r="AC327">
        <f>VLOOKUP($E327,[1]Sheet1!$E$10:$X$629,AC$9,0)</f>
        <v>0</v>
      </c>
      <c r="AD327">
        <f>VLOOKUP($E327,[1]Sheet1!$E$10:$X$629,AD$9,0)</f>
        <v>144</v>
      </c>
      <c r="AE327">
        <f>VLOOKUP($E327,[1]Sheet1!$E$10:$X$629,AE$9,0)</f>
        <v>144</v>
      </c>
      <c r="AF327">
        <f>VLOOKUP($E327,[1]Sheet1!$E$10:$X$629,AF$9,0)</f>
        <v>144</v>
      </c>
      <c r="AG327">
        <f>VLOOKUP($E327,[1]Sheet1!$E$10:$X$629,AG$9,0)</f>
        <v>288</v>
      </c>
      <c r="AH327">
        <f>VLOOKUP($E327,[1]Sheet1!$E$10:$X$629,AH$9,0)</f>
        <v>0</v>
      </c>
      <c r="AJ327">
        <f t="shared" si="16"/>
        <v>288</v>
      </c>
      <c r="AK327">
        <f t="shared" si="17"/>
        <v>864</v>
      </c>
      <c r="AL327">
        <f t="shared" si="18"/>
        <v>-576</v>
      </c>
    </row>
    <row r="328" spans="1:38" ht="39.6" x14ac:dyDescent="0.3">
      <c r="A328" s="4" t="s">
        <v>948</v>
      </c>
      <c r="B328" s="5" t="s">
        <v>949</v>
      </c>
      <c r="C328" s="21" t="s">
        <v>950</v>
      </c>
      <c r="D328" s="20"/>
      <c r="E328" s="4">
        <v>1002322</v>
      </c>
      <c r="F328" s="4" t="s">
        <v>44</v>
      </c>
      <c r="G328" s="4" t="s">
        <v>45</v>
      </c>
      <c r="H328" s="4" t="s">
        <v>61</v>
      </c>
      <c r="I328" s="4" t="s">
        <v>57</v>
      </c>
      <c r="J328" s="4" t="s">
        <v>47</v>
      </c>
      <c r="K328" s="4">
        <v>12</v>
      </c>
      <c r="L328" s="4">
        <v>20</v>
      </c>
      <c r="M328" s="5">
        <v>0</v>
      </c>
      <c r="N328" s="5">
        <v>72</v>
      </c>
      <c r="O328" s="5">
        <v>144</v>
      </c>
      <c r="P328" s="5">
        <v>0</v>
      </c>
      <c r="Q328" s="5">
        <v>0</v>
      </c>
      <c r="R328" s="5">
        <v>144</v>
      </c>
      <c r="S328" s="5">
        <v>0</v>
      </c>
      <c r="T328" s="5">
        <v>72</v>
      </c>
      <c r="U328" s="5">
        <v>144</v>
      </c>
      <c r="V328" s="5">
        <v>72</v>
      </c>
      <c r="W328" s="5">
        <v>144</v>
      </c>
      <c r="X328" s="5">
        <v>72</v>
      </c>
      <c r="Z328" t="e">
        <f>VLOOKUP(E328,Sheet2!$A$1:$A$39,1,0)</f>
        <v>#N/A</v>
      </c>
      <c r="AA328">
        <f>VLOOKUP($E328,[1]Sheet1!$E$10:$X$629,AA$9,0)</f>
        <v>72</v>
      </c>
      <c r="AB328">
        <f>VLOOKUP($E328,[1]Sheet1!$E$10:$X$629,AB$9,0)</f>
        <v>72</v>
      </c>
      <c r="AC328">
        <f>VLOOKUP($E328,[1]Sheet1!$E$10:$X$629,AC$9,0)</f>
        <v>216</v>
      </c>
      <c r="AD328">
        <f>VLOOKUP($E328,[1]Sheet1!$E$10:$X$629,AD$9,0)</f>
        <v>72</v>
      </c>
      <c r="AE328">
        <f>VLOOKUP($E328,[1]Sheet1!$E$10:$X$629,AE$9,0)</f>
        <v>216</v>
      </c>
      <c r="AF328">
        <f>VLOOKUP($E328,[1]Sheet1!$E$10:$X$629,AF$9,0)</f>
        <v>0</v>
      </c>
      <c r="AG328">
        <f>VLOOKUP($E328,[1]Sheet1!$E$10:$X$629,AG$9,0)</f>
        <v>216</v>
      </c>
      <c r="AH328">
        <f>VLOOKUP($E328,[1]Sheet1!$E$10:$X$629,AH$9,0)</f>
        <v>0</v>
      </c>
      <c r="AJ328">
        <f t="shared" si="16"/>
        <v>432</v>
      </c>
      <c r="AK328">
        <f t="shared" si="17"/>
        <v>864</v>
      </c>
      <c r="AL328">
        <f t="shared" si="18"/>
        <v>-432</v>
      </c>
    </row>
    <row r="329" spans="1:38" ht="39.6" x14ac:dyDescent="0.3">
      <c r="A329" s="4" t="s">
        <v>951</v>
      </c>
      <c r="B329" s="5" t="s">
        <v>952</v>
      </c>
      <c r="C329" s="21" t="s">
        <v>953</v>
      </c>
      <c r="D329" s="20"/>
      <c r="E329" s="4">
        <v>1002321</v>
      </c>
      <c r="F329" s="4" t="s">
        <v>44</v>
      </c>
      <c r="G329" s="4" t="s">
        <v>45</v>
      </c>
      <c r="H329" s="4" t="s">
        <v>61</v>
      </c>
      <c r="I329" s="4" t="s">
        <v>57</v>
      </c>
      <c r="J329" s="4" t="s">
        <v>47</v>
      </c>
      <c r="K329" s="4">
        <v>12</v>
      </c>
      <c r="L329" s="4">
        <v>20</v>
      </c>
      <c r="M329" s="5">
        <v>144</v>
      </c>
      <c r="N329" s="5">
        <v>72</v>
      </c>
      <c r="O329" s="5">
        <v>72</v>
      </c>
      <c r="P329" s="5">
        <v>0</v>
      </c>
      <c r="Q329" s="5">
        <v>288</v>
      </c>
      <c r="R329" s="5">
        <v>72</v>
      </c>
      <c r="S329" s="5">
        <v>72</v>
      </c>
      <c r="T329" s="5">
        <v>144</v>
      </c>
      <c r="U329" s="5">
        <v>144</v>
      </c>
      <c r="V329" s="5">
        <v>72</v>
      </c>
      <c r="W329" s="5">
        <v>144</v>
      </c>
      <c r="X329" s="5">
        <v>216</v>
      </c>
      <c r="Z329" t="e">
        <f>VLOOKUP(E329,Sheet2!$A$1:$A$39,1,0)</f>
        <v>#N/A</v>
      </c>
      <c r="AA329">
        <f>VLOOKUP($E329,[1]Sheet1!$E$10:$X$629,AA$9,0)</f>
        <v>144</v>
      </c>
      <c r="AB329">
        <f>VLOOKUP($E329,[1]Sheet1!$E$10:$X$629,AB$9,0)</f>
        <v>144</v>
      </c>
      <c r="AC329">
        <f>VLOOKUP($E329,[1]Sheet1!$E$10:$X$629,AC$9,0)</f>
        <v>216</v>
      </c>
      <c r="AD329">
        <f>VLOOKUP($E329,[1]Sheet1!$E$10:$X$629,AD$9,0)</f>
        <v>72</v>
      </c>
      <c r="AE329">
        <f>VLOOKUP($E329,[1]Sheet1!$E$10:$X$629,AE$9,0)</f>
        <v>144</v>
      </c>
      <c r="AF329">
        <f>VLOOKUP($E329,[1]Sheet1!$E$10:$X$629,AF$9,0)</f>
        <v>216</v>
      </c>
      <c r="AG329">
        <f>VLOOKUP($E329,[1]Sheet1!$E$10:$X$629,AG$9,0)</f>
        <v>216</v>
      </c>
      <c r="AH329">
        <f>VLOOKUP($E329,[1]Sheet1!$E$10:$X$629,AH$9,0)</f>
        <v>0</v>
      </c>
      <c r="AJ329">
        <f t="shared" si="16"/>
        <v>864</v>
      </c>
      <c r="AK329">
        <f t="shared" si="17"/>
        <v>1152</v>
      </c>
      <c r="AL329">
        <f t="shared" si="18"/>
        <v>-288</v>
      </c>
    </row>
    <row r="330" spans="1:38" ht="39.6" x14ac:dyDescent="0.3">
      <c r="A330" s="4" t="s">
        <v>954</v>
      </c>
      <c r="B330" s="5" t="s">
        <v>955</v>
      </c>
      <c r="C330" s="21" t="s">
        <v>956</v>
      </c>
      <c r="D330" s="20"/>
      <c r="E330" s="4">
        <v>1002320</v>
      </c>
      <c r="F330" s="4" t="s">
        <v>44</v>
      </c>
      <c r="G330" s="4" t="s">
        <v>45</v>
      </c>
      <c r="H330" s="4" t="s">
        <v>61</v>
      </c>
      <c r="I330" s="4" t="s">
        <v>57</v>
      </c>
      <c r="J330" s="4" t="s">
        <v>47</v>
      </c>
      <c r="K330" s="4">
        <v>12</v>
      </c>
      <c r="L330" s="4">
        <v>20</v>
      </c>
      <c r="M330" s="5">
        <v>216</v>
      </c>
      <c r="N330" s="5">
        <v>216</v>
      </c>
      <c r="O330" s="5">
        <v>288</v>
      </c>
      <c r="P330" s="5">
        <v>144</v>
      </c>
      <c r="Q330" s="5">
        <v>216</v>
      </c>
      <c r="R330" s="5">
        <v>216</v>
      </c>
      <c r="S330" s="5">
        <v>216</v>
      </c>
      <c r="T330" s="5">
        <v>144</v>
      </c>
      <c r="U330" s="5">
        <v>288</v>
      </c>
      <c r="V330" s="5">
        <v>144</v>
      </c>
      <c r="W330" s="5">
        <v>360</v>
      </c>
      <c r="X330" s="5">
        <v>144</v>
      </c>
      <c r="Z330" t="e">
        <f>VLOOKUP(E330,Sheet2!$A$1:$A$39,1,0)</f>
        <v>#N/A</v>
      </c>
      <c r="AA330">
        <f>VLOOKUP($E330,[1]Sheet1!$E$10:$X$629,AA$9,0)</f>
        <v>288</v>
      </c>
      <c r="AB330">
        <f>VLOOKUP($E330,[1]Sheet1!$E$10:$X$629,AB$9,0)</f>
        <v>72</v>
      </c>
      <c r="AC330">
        <f>VLOOKUP($E330,[1]Sheet1!$E$10:$X$629,AC$9,0)</f>
        <v>360</v>
      </c>
      <c r="AD330">
        <f>VLOOKUP($E330,[1]Sheet1!$E$10:$X$629,AD$9,0)</f>
        <v>144</v>
      </c>
      <c r="AE330">
        <f>VLOOKUP($E330,[1]Sheet1!$E$10:$X$629,AE$9,0)</f>
        <v>216</v>
      </c>
      <c r="AF330">
        <f>VLOOKUP($E330,[1]Sheet1!$E$10:$X$629,AF$9,0)</f>
        <v>360</v>
      </c>
      <c r="AG330">
        <f>VLOOKUP($E330,[1]Sheet1!$E$10:$X$629,AG$9,0)</f>
        <v>144</v>
      </c>
      <c r="AH330">
        <f>VLOOKUP($E330,[1]Sheet1!$E$10:$X$629,AH$9,0)</f>
        <v>216</v>
      </c>
      <c r="AJ330">
        <f t="shared" si="16"/>
        <v>1656</v>
      </c>
      <c r="AK330">
        <f t="shared" si="17"/>
        <v>1800</v>
      </c>
      <c r="AL330">
        <f t="shared" si="18"/>
        <v>-144</v>
      </c>
    </row>
    <row r="331" spans="1:38" ht="39.6" x14ac:dyDescent="0.3">
      <c r="A331" s="4" t="s">
        <v>957</v>
      </c>
      <c r="B331" s="5" t="s">
        <v>958</v>
      </c>
      <c r="C331" s="21" t="s">
        <v>959</v>
      </c>
      <c r="D331" s="20"/>
      <c r="E331" s="4">
        <v>1002319</v>
      </c>
      <c r="F331" s="4" t="s">
        <v>44</v>
      </c>
      <c r="G331" s="4" t="s">
        <v>45</v>
      </c>
      <c r="H331" s="4" t="s">
        <v>61</v>
      </c>
      <c r="I331" s="4" t="s">
        <v>57</v>
      </c>
      <c r="J331" s="4" t="s">
        <v>47</v>
      </c>
      <c r="K331" s="4">
        <v>12</v>
      </c>
      <c r="L331" s="4">
        <v>20</v>
      </c>
      <c r="M331" s="5">
        <v>288</v>
      </c>
      <c r="N331" s="5">
        <v>360</v>
      </c>
      <c r="O331" s="5">
        <v>216</v>
      </c>
      <c r="P331" s="5">
        <v>360</v>
      </c>
      <c r="Q331" s="5">
        <v>216</v>
      </c>
      <c r="R331" s="5">
        <v>288</v>
      </c>
      <c r="S331" s="5">
        <v>288</v>
      </c>
      <c r="T331" s="5">
        <v>360</v>
      </c>
      <c r="U331" s="5">
        <v>288</v>
      </c>
      <c r="V331" s="5">
        <v>288</v>
      </c>
      <c r="W331" s="5">
        <v>288</v>
      </c>
      <c r="X331" s="5">
        <v>360</v>
      </c>
      <c r="Z331" t="e">
        <f>VLOOKUP(E331,Sheet2!$A$1:$A$39,1,0)</f>
        <v>#N/A</v>
      </c>
      <c r="AA331">
        <f>VLOOKUP($E331,[1]Sheet1!$E$10:$X$629,AA$9,0)</f>
        <v>288</v>
      </c>
      <c r="AB331">
        <f>VLOOKUP($E331,[1]Sheet1!$E$10:$X$629,AB$9,0)</f>
        <v>360</v>
      </c>
      <c r="AC331">
        <f>VLOOKUP($E331,[1]Sheet1!$E$10:$X$629,AC$9,0)</f>
        <v>360</v>
      </c>
      <c r="AD331">
        <f>VLOOKUP($E331,[1]Sheet1!$E$10:$X$629,AD$9,0)</f>
        <v>216</v>
      </c>
      <c r="AE331">
        <f>VLOOKUP($E331,[1]Sheet1!$E$10:$X$629,AE$9,0)</f>
        <v>360</v>
      </c>
      <c r="AF331">
        <f>VLOOKUP($E331,[1]Sheet1!$E$10:$X$629,AF$9,0)</f>
        <v>360</v>
      </c>
      <c r="AG331">
        <f>VLOOKUP($E331,[1]Sheet1!$E$10:$X$629,AG$9,0)</f>
        <v>360</v>
      </c>
      <c r="AH331">
        <f>VLOOKUP($E331,[1]Sheet1!$E$10:$X$629,AH$9,0)</f>
        <v>288</v>
      </c>
      <c r="AJ331">
        <f t="shared" ref="AJ331:AJ394" si="19">SUM(M331:T331)</f>
        <v>2376</v>
      </c>
      <c r="AK331">
        <f t="shared" ref="AK331:AK394" si="20">SUM(AA331:AH331)</f>
        <v>2592</v>
      </c>
      <c r="AL331">
        <f t="shared" ref="AL331:AL394" si="21">IFERROR(AJ331-AK331,0)</f>
        <v>-216</v>
      </c>
    </row>
    <row r="332" spans="1:38" ht="39.6" x14ac:dyDescent="0.3">
      <c r="A332" s="4" t="s">
        <v>960</v>
      </c>
      <c r="B332" s="5" t="s">
        <v>961</v>
      </c>
      <c r="C332" s="21" t="s">
        <v>962</v>
      </c>
      <c r="D332" s="20"/>
      <c r="E332" s="4">
        <v>1002318</v>
      </c>
      <c r="F332" s="4" t="s">
        <v>44</v>
      </c>
      <c r="G332" s="4" t="s">
        <v>45</v>
      </c>
      <c r="H332" s="4" t="s">
        <v>61</v>
      </c>
      <c r="I332" s="4" t="s">
        <v>57</v>
      </c>
      <c r="J332" s="4" t="s">
        <v>47</v>
      </c>
      <c r="K332" s="4">
        <v>12</v>
      </c>
      <c r="L332" s="4">
        <v>20</v>
      </c>
      <c r="M332" s="5">
        <v>144</v>
      </c>
      <c r="N332" s="5">
        <v>432</v>
      </c>
      <c r="O332" s="5">
        <v>216</v>
      </c>
      <c r="P332" s="5">
        <v>216</v>
      </c>
      <c r="Q332" s="5">
        <v>288</v>
      </c>
      <c r="R332" s="5">
        <v>288</v>
      </c>
      <c r="S332" s="5">
        <v>288</v>
      </c>
      <c r="T332" s="5">
        <v>216</v>
      </c>
      <c r="U332" s="5">
        <v>360</v>
      </c>
      <c r="V332" s="5">
        <v>288</v>
      </c>
      <c r="W332" s="5">
        <v>288</v>
      </c>
      <c r="X332" s="5">
        <v>288</v>
      </c>
      <c r="Z332" t="e">
        <f>VLOOKUP(E332,Sheet2!$A$1:$A$39,1,0)</f>
        <v>#N/A</v>
      </c>
      <c r="AA332">
        <f>VLOOKUP($E332,[1]Sheet1!$E$10:$X$629,AA$9,0)</f>
        <v>144</v>
      </c>
      <c r="AB332">
        <f>VLOOKUP($E332,[1]Sheet1!$E$10:$X$629,AB$9,0)</f>
        <v>360</v>
      </c>
      <c r="AC332">
        <f>VLOOKUP($E332,[1]Sheet1!$E$10:$X$629,AC$9,0)</f>
        <v>360</v>
      </c>
      <c r="AD332">
        <f>VLOOKUP($E332,[1]Sheet1!$E$10:$X$629,AD$9,0)</f>
        <v>144</v>
      </c>
      <c r="AE332">
        <f>VLOOKUP($E332,[1]Sheet1!$E$10:$X$629,AE$9,0)</f>
        <v>360</v>
      </c>
      <c r="AF332">
        <f>VLOOKUP($E332,[1]Sheet1!$E$10:$X$629,AF$9,0)</f>
        <v>288</v>
      </c>
      <c r="AG332">
        <f>VLOOKUP($E332,[1]Sheet1!$E$10:$X$629,AG$9,0)</f>
        <v>360</v>
      </c>
      <c r="AH332">
        <f>VLOOKUP($E332,[1]Sheet1!$E$10:$X$629,AH$9,0)</f>
        <v>144</v>
      </c>
      <c r="AJ332">
        <f t="shared" si="19"/>
        <v>2088</v>
      </c>
      <c r="AK332">
        <f t="shared" si="20"/>
        <v>2160</v>
      </c>
      <c r="AL332">
        <f t="shared" si="21"/>
        <v>-72</v>
      </c>
    </row>
    <row r="333" spans="1:38" ht="39.6" x14ac:dyDescent="0.3">
      <c r="A333" s="4" t="s">
        <v>963</v>
      </c>
      <c r="B333" s="5" t="s">
        <v>964</v>
      </c>
      <c r="C333" s="21" t="s">
        <v>965</v>
      </c>
      <c r="D333" s="20"/>
      <c r="E333" s="4">
        <v>1002317</v>
      </c>
      <c r="F333" s="4" t="s">
        <v>44</v>
      </c>
      <c r="G333" s="4" t="s">
        <v>45</v>
      </c>
      <c r="H333" s="4" t="s">
        <v>61</v>
      </c>
      <c r="I333" s="4" t="s">
        <v>57</v>
      </c>
      <c r="J333" s="4" t="s">
        <v>47</v>
      </c>
      <c r="K333" s="4">
        <v>12</v>
      </c>
      <c r="L333" s="4">
        <v>20</v>
      </c>
      <c r="M333" s="5">
        <v>144</v>
      </c>
      <c r="N333" s="5">
        <v>288</v>
      </c>
      <c r="O333" s="5">
        <v>216</v>
      </c>
      <c r="P333" s="5">
        <v>216</v>
      </c>
      <c r="Q333" s="5">
        <v>288</v>
      </c>
      <c r="R333" s="5">
        <v>216</v>
      </c>
      <c r="S333" s="5">
        <v>216</v>
      </c>
      <c r="T333" s="5">
        <v>216</v>
      </c>
      <c r="U333" s="5">
        <v>360</v>
      </c>
      <c r="V333" s="5">
        <v>288</v>
      </c>
      <c r="W333" s="5">
        <v>216</v>
      </c>
      <c r="X333" s="5">
        <v>216</v>
      </c>
      <c r="Z333" t="e">
        <f>VLOOKUP(E333,Sheet2!$A$1:$A$39,1,0)</f>
        <v>#N/A</v>
      </c>
      <c r="AA333">
        <f>VLOOKUP($E333,[1]Sheet1!$E$10:$X$629,AA$9,0)</f>
        <v>288</v>
      </c>
      <c r="AB333">
        <f>VLOOKUP($E333,[1]Sheet1!$E$10:$X$629,AB$9,0)</f>
        <v>216</v>
      </c>
      <c r="AC333">
        <f>VLOOKUP($E333,[1]Sheet1!$E$10:$X$629,AC$9,0)</f>
        <v>288</v>
      </c>
      <c r="AD333">
        <f>VLOOKUP($E333,[1]Sheet1!$E$10:$X$629,AD$9,0)</f>
        <v>288</v>
      </c>
      <c r="AE333">
        <f>VLOOKUP($E333,[1]Sheet1!$E$10:$X$629,AE$9,0)</f>
        <v>216</v>
      </c>
      <c r="AF333">
        <f>VLOOKUP($E333,[1]Sheet1!$E$10:$X$629,AF$9,0)</f>
        <v>288</v>
      </c>
      <c r="AG333">
        <f>VLOOKUP($E333,[1]Sheet1!$E$10:$X$629,AG$9,0)</f>
        <v>288</v>
      </c>
      <c r="AH333">
        <f>VLOOKUP($E333,[1]Sheet1!$E$10:$X$629,AH$9,0)</f>
        <v>144</v>
      </c>
      <c r="AJ333">
        <f t="shared" si="19"/>
        <v>1800</v>
      </c>
      <c r="AK333">
        <f t="shared" si="20"/>
        <v>2016</v>
      </c>
      <c r="AL333">
        <f t="shared" si="21"/>
        <v>-216</v>
      </c>
    </row>
    <row r="334" spans="1:38" ht="39.6" x14ac:dyDescent="0.3">
      <c r="A334" s="4" t="s">
        <v>966</v>
      </c>
      <c r="B334" s="5" t="s">
        <v>967</v>
      </c>
      <c r="C334" s="21" t="s">
        <v>968</v>
      </c>
      <c r="D334" s="20"/>
      <c r="E334" s="4">
        <v>1002316</v>
      </c>
      <c r="F334" s="4" t="s">
        <v>44</v>
      </c>
      <c r="G334" s="4" t="s">
        <v>45</v>
      </c>
      <c r="H334" s="4" t="s">
        <v>56</v>
      </c>
      <c r="I334" s="4" t="s">
        <v>52</v>
      </c>
      <c r="J334" s="4" t="s">
        <v>47</v>
      </c>
      <c r="K334" s="4">
        <v>12</v>
      </c>
      <c r="L334" s="4">
        <v>20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Z334" t="e">
        <f>VLOOKUP(E334,Sheet2!$A$1:$A$39,1,0)</f>
        <v>#N/A</v>
      </c>
      <c r="AA334">
        <f>VLOOKUP($E334,[1]Sheet1!$E$10:$X$629,AA$9,0)</f>
        <v>0</v>
      </c>
      <c r="AB334">
        <f>VLOOKUP($E334,[1]Sheet1!$E$10:$X$629,AB$9,0)</f>
        <v>0</v>
      </c>
      <c r="AC334">
        <f>VLOOKUP($E334,[1]Sheet1!$E$10:$X$629,AC$9,0)</f>
        <v>0</v>
      </c>
      <c r="AD334">
        <f>VLOOKUP($E334,[1]Sheet1!$E$10:$X$629,AD$9,0)</f>
        <v>0</v>
      </c>
      <c r="AE334">
        <f>VLOOKUP($E334,[1]Sheet1!$E$10:$X$629,AE$9,0)</f>
        <v>0</v>
      </c>
      <c r="AF334">
        <f>VLOOKUP($E334,[1]Sheet1!$E$10:$X$629,AF$9,0)</f>
        <v>0</v>
      </c>
      <c r="AG334">
        <f>VLOOKUP($E334,[1]Sheet1!$E$10:$X$629,AG$9,0)</f>
        <v>0</v>
      </c>
      <c r="AH334">
        <f>VLOOKUP($E334,[1]Sheet1!$E$10:$X$629,AH$9,0)</f>
        <v>0</v>
      </c>
      <c r="AJ334">
        <f t="shared" si="19"/>
        <v>0</v>
      </c>
      <c r="AK334">
        <f t="shared" si="20"/>
        <v>0</v>
      </c>
      <c r="AL334">
        <f t="shared" si="21"/>
        <v>0</v>
      </c>
    </row>
    <row r="335" spans="1:38" ht="39.6" x14ac:dyDescent="0.3">
      <c r="A335" s="4" t="s">
        <v>969</v>
      </c>
      <c r="B335" s="5" t="s">
        <v>970</v>
      </c>
      <c r="C335" s="21" t="s">
        <v>971</v>
      </c>
      <c r="D335" s="20"/>
      <c r="E335" s="4">
        <v>1002315</v>
      </c>
      <c r="F335" s="4" t="s">
        <v>44</v>
      </c>
      <c r="G335" s="4" t="s">
        <v>45</v>
      </c>
      <c r="H335" s="4" t="s">
        <v>61</v>
      </c>
      <c r="I335" s="4" t="s">
        <v>57</v>
      </c>
      <c r="J335" s="4" t="s">
        <v>47</v>
      </c>
      <c r="K335" s="4">
        <v>12</v>
      </c>
      <c r="L335" s="4">
        <v>20</v>
      </c>
      <c r="M335" s="5">
        <v>0</v>
      </c>
      <c r="N335" s="5">
        <v>0</v>
      </c>
      <c r="O335" s="5">
        <v>216</v>
      </c>
      <c r="P335" s="5">
        <v>216</v>
      </c>
      <c r="Q335" s="5">
        <v>288</v>
      </c>
      <c r="R335" s="5">
        <v>360</v>
      </c>
      <c r="S335" s="5">
        <v>216</v>
      </c>
      <c r="T335" s="5">
        <v>216</v>
      </c>
      <c r="U335" s="5">
        <v>360</v>
      </c>
      <c r="V335" s="5">
        <v>360</v>
      </c>
      <c r="W335" s="5">
        <v>360</v>
      </c>
      <c r="X335" s="5">
        <v>216</v>
      </c>
      <c r="Z335" t="e">
        <f>VLOOKUP(E335,Sheet2!$A$1:$A$39,1,0)</f>
        <v>#N/A</v>
      </c>
      <c r="AA335">
        <f>VLOOKUP($E335,[1]Sheet1!$E$10:$X$629,AA$9,0)</f>
        <v>288</v>
      </c>
      <c r="AB335">
        <f>VLOOKUP($E335,[1]Sheet1!$E$10:$X$629,AB$9,0)</f>
        <v>216</v>
      </c>
      <c r="AC335">
        <f>VLOOKUP($E335,[1]Sheet1!$E$10:$X$629,AC$9,0)</f>
        <v>504</v>
      </c>
      <c r="AD335">
        <f>VLOOKUP($E335,[1]Sheet1!$E$10:$X$629,AD$9,0)</f>
        <v>288</v>
      </c>
      <c r="AE335">
        <f>VLOOKUP($E335,[1]Sheet1!$E$10:$X$629,AE$9,0)</f>
        <v>288</v>
      </c>
      <c r="AF335">
        <f>VLOOKUP($E335,[1]Sheet1!$E$10:$X$629,AF$9,0)</f>
        <v>432</v>
      </c>
      <c r="AG335">
        <f>VLOOKUP($E335,[1]Sheet1!$E$10:$X$629,AG$9,0)</f>
        <v>216</v>
      </c>
      <c r="AH335">
        <f>VLOOKUP($E335,[1]Sheet1!$E$10:$X$629,AH$9,0)</f>
        <v>144</v>
      </c>
      <c r="AJ335">
        <f t="shared" si="19"/>
        <v>1512</v>
      </c>
      <c r="AK335">
        <f t="shared" si="20"/>
        <v>2376</v>
      </c>
      <c r="AL335">
        <f t="shared" si="21"/>
        <v>-864</v>
      </c>
    </row>
    <row r="336" spans="1:38" ht="39.6" x14ac:dyDescent="0.3">
      <c r="A336" s="4" t="s">
        <v>972</v>
      </c>
      <c r="B336" s="5" t="s">
        <v>973</v>
      </c>
      <c r="C336" s="21" t="s">
        <v>974</v>
      </c>
      <c r="D336" s="20"/>
      <c r="E336" s="4">
        <v>1002243</v>
      </c>
      <c r="F336" s="4" t="s">
        <v>44</v>
      </c>
      <c r="G336" s="4" t="s">
        <v>45</v>
      </c>
      <c r="H336" s="4" t="s">
        <v>61</v>
      </c>
      <c r="I336" s="4" t="s">
        <v>57</v>
      </c>
      <c r="J336" s="4" t="s">
        <v>47</v>
      </c>
      <c r="K336" s="4">
        <v>12</v>
      </c>
      <c r="L336" s="4">
        <v>20</v>
      </c>
      <c r="M336" s="5">
        <v>72</v>
      </c>
      <c r="N336" s="5">
        <v>144</v>
      </c>
      <c r="O336" s="5">
        <v>216</v>
      </c>
      <c r="P336" s="5">
        <v>72</v>
      </c>
      <c r="Q336" s="5">
        <v>216</v>
      </c>
      <c r="R336" s="5">
        <v>144</v>
      </c>
      <c r="S336" s="5">
        <v>288</v>
      </c>
      <c r="T336" s="5">
        <v>0</v>
      </c>
      <c r="U336" s="5">
        <v>216</v>
      </c>
      <c r="V336" s="5">
        <v>216</v>
      </c>
      <c r="W336" s="5">
        <v>216</v>
      </c>
      <c r="X336" s="5">
        <v>144</v>
      </c>
      <c r="Z336" t="e">
        <f>VLOOKUP(E336,Sheet2!$A$1:$A$39,1,0)</f>
        <v>#N/A</v>
      </c>
      <c r="AA336">
        <f>VLOOKUP($E336,[1]Sheet1!$E$10:$X$629,AA$9,0)</f>
        <v>216</v>
      </c>
      <c r="AB336">
        <f>VLOOKUP($E336,[1]Sheet1!$E$10:$X$629,AB$9,0)</f>
        <v>144</v>
      </c>
      <c r="AC336">
        <f>VLOOKUP($E336,[1]Sheet1!$E$10:$X$629,AC$9,0)</f>
        <v>216</v>
      </c>
      <c r="AD336">
        <f>VLOOKUP($E336,[1]Sheet1!$E$10:$X$629,AD$9,0)</f>
        <v>216</v>
      </c>
      <c r="AE336">
        <f>VLOOKUP($E336,[1]Sheet1!$E$10:$X$629,AE$9,0)</f>
        <v>360</v>
      </c>
      <c r="AF336">
        <f>VLOOKUP($E336,[1]Sheet1!$E$10:$X$629,AF$9,0)</f>
        <v>216</v>
      </c>
      <c r="AG336">
        <f>VLOOKUP($E336,[1]Sheet1!$E$10:$X$629,AG$9,0)</f>
        <v>216</v>
      </c>
      <c r="AH336">
        <f>VLOOKUP($E336,[1]Sheet1!$E$10:$X$629,AH$9,0)</f>
        <v>144</v>
      </c>
      <c r="AJ336">
        <f t="shared" si="19"/>
        <v>1152</v>
      </c>
      <c r="AK336">
        <f t="shared" si="20"/>
        <v>1728</v>
      </c>
      <c r="AL336">
        <f t="shared" si="21"/>
        <v>-576</v>
      </c>
    </row>
    <row r="337" spans="1:38" ht="39.6" x14ac:dyDescent="0.3">
      <c r="A337" s="4" t="s">
        <v>975</v>
      </c>
      <c r="B337" s="5" t="s">
        <v>976</v>
      </c>
      <c r="C337" s="21" t="s">
        <v>977</v>
      </c>
      <c r="D337" s="20"/>
      <c r="E337" s="4">
        <v>1002242</v>
      </c>
      <c r="F337" s="4" t="s">
        <v>44</v>
      </c>
      <c r="G337" s="4" t="s">
        <v>45</v>
      </c>
      <c r="H337" s="4" t="s">
        <v>61</v>
      </c>
      <c r="I337" s="4" t="s">
        <v>57</v>
      </c>
      <c r="J337" s="4" t="s">
        <v>47</v>
      </c>
      <c r="K337" s="4">
        <v>12</v>
      </c>
      <c r="L337" s="4">
        <v>20</v>
      </c>
      <c r="M337" s="5">
        <v>144</v>
      </c>
      <c r="N337" s="5">
        <v>144</v>
      </c>
      <c r="O337" s="5">
        <v>216</v>
      </c>
      <c r="P337" s="5">
        <v>144</v>
      </c>
      <c r="Q337" s="5">
        <v>144</v>
      </c>
      <c r="R337" s="5">
        <v>216</v>
      </c>
      <c r="S337" s="5">
        <v>216</v>
      </c>
      <c r="T337" s="5">
        <v>72</v>
      </c>
      <c r="U337" s="5">
        <v>216</v>
      </c>
      <c r="V337" s="5">
        <v>216</v>
      </c>
      <c r="W337" s="5">
        <v>216</v>
      </c>
      <c r="X337" s="5">
        <v>144</v>
      </c>
      <c r="Z337" t="e">
        <f>VLOOKUP(E337,Sheet2!$A$1:$A$39,1,0)</f>
        <v>#N/A</v>
      </c>
      <c r="AA337">
        <f>VLOOKUP($E337,[1]Sheet1!$E$10:$X$629,AA$9,0)</f>
        <v>144</v>
      </c>
      <c r="AB337">
        <f>VLOOKUP($E337,[1]Sheet1!$E$10:$X$629,AB$9,0)</f>
        <v>288</v>
      </c>
      <c r="AC337">
        <f>VLOOKUP($E337,[1]Sheet1!$E$10:$X$629,AC$9,0)</f>
        <v>288</v>
      </c>
      <c r="AD337">
        <f>VLOOKUP($E337,[1]Sheet1!$E$10:$X$629,AD$9,0)</f>
        <v>216</v>
      </c>
      <c r="AE337">
        <f>VLOOKUP($E337,[1]Sheet1!$E$10:$X$629,AE$9,0)</f>
        <v>216</v>
      </c>
      <c r="AF337">
        <f>VLOOKUP($E337,[1]Sheet1!$E$10:$X$629,AF$9,0)</f>
        <v>288</v>
      </c>
      <c r="AG337">
        <f>VLOOKUP($E337,[1]Sheet1!$E$10:$X$629,AG$9,0)</f>
        <v>144</v>
      </c>
      <c r="AH337">
        <f>VLOOKUP($E337,[1]Sheet1!$E$10:$X$629,AH$9,0)</f>
        <v>288</v>
      </c>
      <c r="AJ337">
        <f t="shared" si="19"/>
        <v>1296</v>
      </c>
      <c r="AK337">
        <f t="shared" si="20"/>
        <v>1872</v>
      </c>
      <c r="AL337">
        <f t="shared" si="21"/>
        <v>-576</v>
      </c>
    </row>
    <row r="338" spans="1:38" ht="39.6" x14ac:dyDescent="0.3">
      <c r="A338" s="4" t="s">
        <v>978</v>
      </c>
      <c r="B338" s="5" t="s">
        <v>979</v>
      </c>
      <c r="C338" s="21" t="s">
        <v>980</v>
      </c>
      <c r="D338" s="20"/>
      <c r="E338" s="4">
        <v>1002241</v>
      </c>
      <c r="F338" s="4" t="s">
        <v>44</v>
      </c>
      <c r="G338" s="4" t="s">
        <v>45</v>
      </c>
      <c r="H338" s="4" t="s">
        <v>61</v>
      </c>
      <c r="I338" s="4" t="s">
        <v>57</v>
      </c>
      <c r="J338" s="4" t="s">
        <v>47</v>
      </c>
      <c r="K338" s="4">
        <v>12</v>
      </c>
      <c r="L338" s="4">
        <v>20</v>
      </c>
      <c r="M338" s="5">
        <v>144</v>
      </c>
      <c r="N338" s="5">
        <v>288</v>
      </c>
      <c r="O338" s="5">
        <v>0</v>
      </c>
      <c r="P338" s="5">
        <v>288</v>
      </c>
      <c r="Q338" s="5">
        <v>216</v>
      </c>
      <c r="R338" s="5">
        <v>0</v>
      </c>
      <c r="S338" s="5">
        <v>288</v>
      </c>
      <c r="T338" s="5">
        <v>0</v>
      </c>
      <c r="U338" s="5">
        <v>288</v>
      </c>
      <c r="V338" s="5">
        <v>216</v>
      </c>
      <c r="W338" s="5">
        <v>144</v>
      </c>
      <c r="X338" s="5">
        <v>144</v>
      </c>
      <c r="Z338" t="e">
        <f>VLOOKUP(E338,Sheet2!$A$1:$A$39,1,0)</f>
        <v>#N/A</v>
      </c>
      <c r="AA338">
        <f>VLOOKUP($E338,[1]Sheet1!$E$10:$X$629,AA$9,0)</f>
        <v>288</v>
      </c>
      <c r="AB338">
        <f>VLOOKUP($E338,[1]Sheet1!$E$10:$X$629,AB$9,0)</f>
        <v>216</v>
      </c>
      <c r="AC338">
        <f>VLOOKUP($E338,[1]Sheet1!$E$10:$X$629,AC$9,0)</f>
        <v>360</v>
      </c>
      <c r="AD338">
        <f>VLOOKUP($E338,[1]Sheet1!$E$10:$X$629,AD$9,0)</f>
        <v>216</v>
      </c>
      <c r="AE338">
        <f>VLOOKUP($E338,[1]Sheet1!$E$10:$X$629,AE$9,0)</f>
        <v>144</v>
      </c>
      <c r="AF338">
        <f>VLOOKUP($E338,[1]Sheet1!$E$10:$X$629,AF$9,0)</f>
        <v>216</v>
      </c>
      <c r="AG338">
        <f>VLOOKUP($E338,[1]Sheet1!$E$10:$X$629,AG$9,0)</f>
        <v>288</v>
      </c>
      <c r="AH338">
        <f>VLOOKUP($E338,[1]Sheet1!$E$10:$X$629,AH$9,0)</f>
        <v>72</v>
      </c>
      <c r="AJ338">
        <f t="shared" si="19"/>
        <v>1224</v>
      </c>
      <c r="AK338">
        <f t="shared" si="20"/>
        <v>1800</v>
      </c>
      <c r="AL338">
        <f t="shared" si="21"/>
        <v>-576</v>
      </c>
    </row>
    <row r="339" spans="1:38" ht="39.6" x14ac:dyDescent="0.3">
      <c r="A339" s="4" t="s">
        <v>981</v>
      </c>
      <c r="B339" s="5" t="s">
        <v>982</v>
      </c>
      <c r="C339" s="21" t="s">
        <v>983</v>
      </c>
      <c r="D339" s="20"/>
      <c r="E339" s="4">
        <v>1002240</v>
      </c>
      <c r="F339" s="4" t="s">
        <v>44</v>
      </c>
      <c r="G339" s="4" t="s">
        <v>45</v>
      </c>
      <c r="H339" s="4" t="s">
        <v>61</v>
      </c>
      <c r="I339" s="4" t="s">
        <v>57</v>
      </c>
      <c r="J339" s="4" t="s">
        <v>47</v>
      </c>
      <c r="K339" s="4">
        <v>12</v>
      </c>
      <c r="L339" s="4">
        <v>20</v>
      </c>
      <c r="M339" s="5">
        <v>288</v>
      </c>
      <c r="N339" s="5">
        <v>360</v>
      </c>
      <c r="O339" s="5">
        <v>360</v>
      </c>
      <c r="P339" s="5">
        <v>360</v>
      </c>
      <c r="Q339" s="5">
        <v>288</v>
      </c>
      <c r="R339" s="5">
        <v>360</v>
      </c>
      <c r="S339" s="5">
        <v>288</v>
      </c>
      <c r="T339" s="5">
        <v>288</v>
      </c>
      <c r="U339" s="5">
        <v>504</v>
      </c>
      <c r="V339" s="5">
        <v>288</v>
      </c>
      <c r="W339" s="5">
        <v>360</v>
      </c>
      <c r="X339" s="5">
        <v>360</v>
      </c>
      <c r="Z339" t="e">
        <f>VLOOKUP(E339,Sheet2!$A$1:$A$39,1,0)</f>
        <v>#N/A</v>
      </c>
      <c r="AA339">
        <f>VLOOKUP($E339,[1]Sheet1!$E$10:$X$629,AA$9,0)</f>
        <v>288</v>
      </c>
      <c r="AB339">
        <f>VLOOKUP($E339,[1]Sheet1!$E$10:$X$629,AB$9,0)</f>
        <v>288</v>
      </c>
      <c r="AC339">
        <f>VLOOKUP($E339,[1]Sheet1!$E$10:$X$629,AC$9,0)</f>
        <v>288</v>
      </c>
      <c r="AD339">
        <f>VLOOKUP($E339,[1]Sheet1!$E$10:$X$629,AD$9,0)</f>
        <v>504</v>
      </c>
      <c r="AE339">
        <f>VLOOKUP($E339,[1]Sheet1!$E$10:$X$629,AE$9,0)</f>
        <v>288</v>
      </c>
      <c r="AF339">
        <f>VLOOKUP($E339,[1]Sheet1!$E$10:$X$629,AF$9,0)</f>
        <v>432</v>
      </c>
      <c r="AG339">
        <f>VLOOKUP($E339,[1]Sheet1!$E$10:$X$629,AG$9,0)</f>
        <v>288</v>
      </c>
      <c r="AH339">
        <f>VLOOKUP($E339,[1]Sheet1!$E$10:$X$629,AH$9,0)</f>
        <v>288</v>
      </c>
      <c r="AJ339">
        <f t="shared" si="19"/>
        <v>2592</v>
      </c>
      <c r="AK339">
        <f t="shared" si="20"/>
        <v>2664</v>
      </c>
      <c r="AL339">
        <f t="shared" si="21"/>
        <v>-72</v>
      </c>
    </row>
    <row r="340" spans="1:38" ht="39.6" x14ac:dyDescent="0.3">
      <c r="A340" s="4" t="s">
        <v>984</v>
      </c>
      <c r="B340" s="5" t="s">
        <v>985</v>
      </c>
      <c r="C340" s="21" t="s">
        <v>986</v>
      </c>
      <c r="D340" s="20"/>
      <c r="E340" s="4">
        <v>1001868</v>
      </c>
      <c r="F340" s="4" t="s">
        <v>44</v>
      </c>
      <c r="G340" s="4" t="s">
        <v>45</v>
      </c>
      <c r="H340" s="4" t="s">
        <v>269</v>
      </c>
      <c r="I340" s="4" t="s">
        <v>52</v>
      </c>
      <c r="J340" s="4" t="s">
        <v>47</v>
      </c>
      <c r="K340" s="4">
        <v>12</v>
      </c>
      <c r="L340" s="4">
        <v>20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Z340" t="e">
        <f>VLOOKUP(E340,Sheet2!$A$1:$A$39,1,0)</f>
        <v>#N/A</v>
      </c>
      <c r="AA340">
        <f>VLOOKUP($E340,[1]Sheet1!$E$10:$X$629,AA$9,0)</f>
        <v>0</v>
      </c>
      <c r="AB340">
        <f>VLOOKUP($E340,[1]Sheet1!$E$10:$X$629,AB$9,0)</f>
        <v>0</v>
      </c>
      <c r="AC340">
        <f>VLOOKUP($E340,[1]Sheet1!$E$10:$X$629,AC$9,0)</f>
        <v>0</v>
      </c>
      <c r="AD340">
        <f>VLOOKUP($E340,[1]Sheet1!$E$10:$X$629,AD$9,0)</f>
        <v>0</v>
      </c>
      <c r="AE340">
        <f>VLOOKUP($E340,[1]Sheet1!$E$10:$X$629,AE$9,0)</f>
        <v>0</v>
      </c>
      <c r="AF340">
        <f>VLOOKUP($E340,[1]Sheet1!$E$10:$X$629,AF$9,0)</f>
        <v>0</v>
      </c>
      <c r="AG340">
        <f>VLOOKUP($E340,[1]Sheet1!$E$10:$X$629,AG$9,0)</f>
        <v>0</v>
      </c>
      <c r="AH340">
        <f>VLOOKUP($E340,[1]Sheet1!$E$10:$X$629,AH$9,0)</f>
        <v>0</v>
      </c>
      <c r="AJ340">
        <f t="shared" si="19"/>
        <v>0</v>
      </c>
      <c r="AK340">
        <f t="shared" si="20"/>
        <v>0</v>
      </c>
      <c r="AL340">
        <f t="shared" si="21"/>
        <v>0</v>
      </c>
    </row>
    <row r="341" spans="1:38" ht="39.6" x14ac:dyDescent="0.3">
      <c r="A341" s="4" t="s">
        <v>987</v>
      </c>
      <c r="B341" s="5" t="s">
        <v>988</v>
      </c>
      <c r="C341" s="21" t="s">
        <v>989</v>
      </c>
      <c r="D341" s="20"/>
      <c r="E341" s="4">
        <v>1001867</v>
      </c>
      <c r="F341" s="4" t="s">
        <v>44</v>
      </c>
      <c r="G341" s="4" t="s">
        <v>45</v>
      </c>
      <c r="H341" s="4" t="s">
        <v>61</v>
      </c>
      <c r="I341" s="4" t="s">
        <v>57</v>
      </c>
      <c r="J341" s="4" t="s">
        <v>47</v>
      </c>
      <c r="K341" s="4">
        <v>12</v>
      </c>
      <c r="L341" s="4">
        <v>20</v>
      </c>
      <c r="M341" s="5">
        <v>216</v>
      </c>
      <c r="N341" s="5">
        <v>216</v>
      </c>
      <c r="O341" s="5">
        <v>432</v>
      </c>
      <c r="P341" s="5">
        <v>216</v>
      </c>
      <c r="Q341" s="5">
        <v>288</v>
      </c>
      <c r="R341" s="5">
        <v>360</v>
      </c>
      <c r="S341" s="5">
        <v>360</v>
      </c>
      <c r="T341" s="5">
        <v>216</v>
      </c>
      <c r="U341" s="5">
        <v>360</v>
      </c>
      <c r="V341" s="5">
        <v>288</v>
      </c>
      <c r="W341" s="5">
        <v>432</v>
      </c>
      <c r="X341" s="5">
        <v>360</v>
      </c>
      <c r="Z341" t="e">
        <f>VLOOKUP(E341,Sheet2!$A$1:$A$39,1,0)</f>
        <v>#N/A</v>
      </c>
      <c r="AA341">
        <f>VLOOKUP($E341,[1]Sheet1!$E$10:$X$629,AA$9,0)</f>
        <v>216</v>
      </c>
      <c r="AB341">
        <f>VLOOKUP($E341,[1]Sheet1!$E$10:$X$629,AB$9,0)</f>
        <v>360</v>
      </c>
      <c r="AC341">
        <f>VLOOKUP($E341,[1]Sheet1!$E$10:$X$629,AC$9,0)</f>
        <v>432</v>
      </c>
      <c r="AD341">
        <f>VLOOKUP($E341,[1]Sheet1!$E$10:$X$629,AD$9,0)</f>
        <v>288</v>
      </c>
      <c r="AE341">
        <f>VLOOKUP($E341,[1]Sheet1!$E$10:$X$629,AE$9,0)</f>
        <v>288</v>
      </c>
      <c r="AF341">
        <f>VLOOKUP($E341,[1]Sheet1!$E$10:$X$629,AF$9,0)</f>
        <v>360</v>
      </c>
      <c r="AG341">
        <f>VLOOKUP($E341,[1]Sheet1!$E$10:$X$629,AG$9,0)</f>
        <v>432</v>
      </c>
      <c r="AH341">
        <f>VLOOKUP($E341,[1]Sheet1!$E$10:$X$629,AH$9,0)</f>
        <v>72</v>
      </c>
      <c r="AJ341">
        <f t="shared" si="19"/>
        <v>2304</v>
      </c>
      <c r="AK341">
        <f t="shared" si="20"/>
        <v>2448</v>
      </c>
      <c r="AL341">
        <f t="shared" si="21"/>
        <v>-144</v>
      </c>
    </row>
    <row r="342" spans="1:38" ht="39.6" x14ac:dyDescent="0.3">
      <c r="A342" s="4" t="s">
        <v>990</v>
      </c>
      <c r="B342" s="5" t="s">
        <v>991</v>
      </c>
      <c r="C342" s="21" t="s">
        <v>992</v>
      </c>
      <c r="D342" s="20"/>
      <c r="E342" s="4">
        <v>1001899</v>
      </c>
      <c r="F342" s="4" t="s">
        <v>44</v>
      </c>
      <c r="G342" s="4" t="s">
        <v>45</v>
      </c>
      <c r="H342" s="4" t="s">
        <v>61</v>
      </c>
      <c r="I342" s="4" t="s">
        <v>57</v>
      </c>
      <c r="J342" s="4" t="s">
        <v>47</v>
      </c>
      <c r="K342" s="4">
        <v>12</v>
      </c>
      <c r="L342" s="4">
        <v>20</v>
      </c>
      <c r="M342" s="5">
        <v>216</v>
      </c>
      <c r="N342" s="5">
        <v>216</v>
      </c>
      <c r="O342" s="5">
        <v>72</v>
      </c>
      <c r="P342" s="5">
        <v>288</v>
      </c>
      <c r="Q342" s="5">
        <v>216</v>
      </c>
      <c r="R342" s="5">
        <v>216</v>
      </c>
      <c r="S342" s="5">
        <v>72</v>
      </c>
      <c r="T342" s="5">
        <v>216</v>
      </c>
      <c r="U342" s="5">
        <v>216</v>
      </c>
      <c r="V342" s="5">
        <v>288</v>
      </c>
      <c r="W342" s="5">
        <v>216</v>
      </c>
      <c r="X342" s="5">
        <v>216</v>
      </c>
      <c r="Z342" t="e">
        <f>VLOOKUP(E342,Sheet2!$A$1:$A$39,1,0)</f>
        <v>#N/A</v>
      </c>
      <c r="AA342">
        <f>VLOOKUP($E342,[1]Sheet1!$E$10:$X$629,AA$9,0)</f>
        <v>288</v>
      </c>
      <c r="AB342">
        <f>VLOOKUP($E342,[1]Sheet1!$E$10:$X$629,AB$9,0)</f>
        <v>144</v>
      </c>
      <c r="AC342">
        <f>VLOOKUP($E342,[1]Sheet1!$E$10:$X$629,AC$9,0)</f>
        <v>216</v>
      </c>
      <c r="AD342">
        <f>VLOOKUP($E342,[1]Sheet1!$E$10:$X$629,AD$9,0)</f>
        <v>288</v>
      </c>
      <c r="AE342">
        <f>VLOOKUP($E342,[1]Sheet1!$E$10:$X$629,AE$9,0)</f>
        <v>144</v>
      </c>
      <c r="AF342">
        <f>VLOOKUP($E342,[1]Sheet1!$E$10:$X$629,AF$9,0)</f>
        <v>288</v>
      </c>
      <c r="AG342">
        <f>VLOOKUP($E342,[1]Sheet1!$E$10:$X$629,AG$9,0)</f>
        <v>144</v>
      </c>
      <c r="AH342">
        <f>VLOOKUP($E342,[1]Sheet1!$E$10:$X$629,AH$9,0)</f>
        <v>144</v>
      </c>
      <c r="AJ342">
        <f t="shared" si="19"/>
        <v>1512</v>
      </c>
      <c r="AK342">
        <f t="shared" si="20"/>
        <v>1656</v>
      </c>
      <c r="AL342">
        <f t="shared" si="21"/>
        <v>-144</v>
      </c>
    </row>
    <row r="343" spans="1:38" ht="39.6" x14ac:dyDescent="0.3">
      <c r="A343" s="4" t="s">
        <v>993</v>
      </c>
      <c r="B343" s="5" t="s">
        <v>994</v>
      </c>
      <c r="C343" s="21" t="s">
        <v>995</v>
      </c>
      <c r="D343" s="20"/>
      <c r="E343" s="4">
        <v>1001898</v>
      </c>
      <c r="F343" s="4" t="s">
        <v>44</v>
      </c>
      <c r="G343" s="4" t="s">
        <v>45</v>
      </c>
      <c r="H343" s="4" t="s">
        <v>61</v>
      </c>
      <c r="I343" s="4" t="s">
        <v>57</v>
      </c>
      <c r="J343" s="4" t="s">
        <v>47</v>
      </c>
      <c r="K343" s="4">
        <v>12</v>
      </c>
      <c r="L343" s="4">
        <v>20</v>
      </c>
      <c r="M343" s="5">
        <v>0</v>
      </c>
      <c r="N343" s="5">
        <v>216</v>
      </c>
      <c r="O343" s="5">
        <v>288</v>
      </c>
      <c r="P343" s="5">
        <v>360</v>
      </c>
      <c r="Q343" s="5">
        <v>360</v>
      </c>
      <c r="R343" s="5">
        <v>288</v>
      </c>
      <c r="S343" s="5">
        <v>360</v>
      </c>
      <c r="T343" s="5">
        <v>360</v>
      </c>
      <c r="U343" s="5">
        <v>504</v>
      </c>
      <c r="V343" s="5">
        <v>288</v>
      </c>
      <c r="W343" s="5">
        <v>360</v>
      </c>
      <c r="X343" s="5">
        <v>576</v>
      </c>
      <c r="Z343" t="e">
        <f>VLOOKUP(E343,Sheet2!$A$1:$A$39,1,0)</f>
        <v>#N/A</v>
      </c>
      <c r="AA343">
        <f>VLOOKUP($E343,[1]Sheet1!$E$10:$X$629,AA$9,0)</f>
        <v>432</v>
      </c>
      <c r="AB343">
        <f>VLOOKUP($E343,[1]Sheet1!$E$10:$X$629,AB$9,0)</f>
        <v>288</v>
      </c>
      <c r="AC343">
        <f>VLOOKUP($E343,[1]Sheet1!$E$10:$X$629,AC$9,0)</f>
        <v>432</v>
      </c>
      <c r="AD343">
        <f>VLOOKUP($E343,[1]Sheet1!$E$10:$X$629,AD$9,0)</f>
        <v>432</v>
      </c>
      <c r="AE343">
        <f>VLOOKUP($E343,[1]Sheet1!$E$10:$X$629,AE$9,0)</f>
        <v>216</v>
      </c>
      <c r="AF343">
        <f>VLOOKUP($E343,[1]Sheet1!$E$10:$X$629,AF$9,0)</f>
        <v>432</v>
      </c>
      <c r="AG343">
        <f>VLOOKUP($E343,[1]Sheet1!$E$10:$X$629,AG$9,0)</f>
        <v>360</v>
      </c>
      <c r="AH343">
        <f>VLOOKUP($E343,[1]Sheet1!$E$10:$X$629,AH$9,0)</f>
        <v>144</v>
      </c>
      <c r="AJ343">
        <f t="shared" si="19"/>
        <v>2232</v>
      </c>
      <c r="AK343">
        <f t="shared" si="20"/>
        <v>2736</v>
      </c>
      <c r="AL343">
        <f t="shared" si="21"/>
        <v>-504</v>
      </c>
    </row>
    <row r="344" spans="1:38" ht="39.6" x14ac:dyDescent="0.3">
      <c r="A344" s="4" t="s">
        <v>996</v>
      </c>
      <c r="B344" s="5" t="s">
        <v>997</v>
      </c>
      <c r="C344" s="21" t="s">
        <v>998</v>
      </c>
      <c r="D344" s="20"/>
      <c r="E344" s="4">
        <v>1001897</v>
      </c>
      <c r="F344" s="4" t="s">
        <v>44</v>
      </c>
      <c r="G344" s="4" t="s">
        <v>45</v>
      </c>
      <c r="H344" s="4" t="s">
        <v>61</v>
      </c>
      <c r="I344" s="4" t="s">
        <v>57</v>
      </c>
      <c r="J344" s="4" t="s">
        <v>47</v>
      </c>
      <c r="K344" s="4">
        <v>12</v>
      </c>
      <c r="L344" s="4">
        <v>20</v>
      </c>
      <c r="M344" s="5">
        <v>216</v>
      </c>
      <c r="N344" s="5">
        <v>144</v>
      </c>
      <c r="O344" s="5">
        <v>216</v>
      </c>
      <c r="P344" s="5">
        <v>216</v>
      </c>
      <c r="Q344" s="5">
        <v>72</v>
      </c>
      <c r="R344" s="5">
        <v>288</v>
      </c>
      <c r="S344" s="5">
        <v>0</v>
      </c>
      <c r="T344" s="5">
        <v>216</v>
      </c>
      <c r="U344" s="5">
        <v>144</v>
      </c>
      <c r="V344" s="5">
        <v>216</v>
      </c>
      <c r="W344" s="5">
        <v>216</v>
      </c>
      <c r="X344" s="5">
        <v>216</v>
      </c>
      <c r="Z344" t="e">
        <f>VLOOKUP(E344,Sheet2!$A$1:$A$39,1,0)</f>
        <v>#N/A</v>
      </c>
      <c r="AA344">
        <f>VLOOKUP($E344,[1]Sheet1!$E$10:$X$629,AA$9,0)</f>
        <v>288</v>
      </c>
      <c r="AB344">
        <f>VLOOKUP($E344,[1]Sheet1!$E$10:$X$629,AB$9,0)</f>
        <v>216</v>
      </c>
      <c r="AC344">
        <f>VLOOKUP($E344,[1]Sheet1!$E$10:$X$629,AC$9,0)</f>
        <v>216</v>
      </c>
      <c r="AD344">
        <f>VLOOKUP($E344,[1]Sheet1!$E$10:$X$629,AD$9,0)</f>
        <v>288</v>
      </c>
      <c r="AE344">
        <f>VLOOKUP($E344,[1]Sheet1!$E$10:$X$629,AE$9,0)</f>
        <v>72</v>
      </c>
      <c r="AF344">
        <f>VLOOKUP($E344,[1]Sheet1!$E$10:$X$629,AF$9,0)</f>
        <v>288</v>
      </c>
      <c r="AG344">
        <f>VLOOKUP($E344,[1]Sheet1!$E$10:$X$629,AG$9,0)</f>
        <v>288</v>
      </c>
      <c r="AH344">
        <f>VLOOKUP($E344,[1]Sheet1!$E$10:$X$629,AH$9,0)</f>
        <v>0</v>
      </c>
      <c r="AJ344">
        <f t="shared" si="19"/>
        <v>1368</v>
      </c>
      <c r="AK344">
        <f t="shared" si="20"/>
        <v>1656</v>
      </c>
      <c r="AL344">
        <f t="shared" si="21"/>
        <v>-288</v>
      </c>
    </row>
    <row r="345" spans="1:38" ht="39.6" x14ac:dyDescent="0.3">
      <c r="A345" s="4" t="s">
        <v>999</v>
      </c>
      <c r="B345" s="5" t="s">
        <v>1000</v>
      </c>
      <c r="C345" s="21" t="s">
        <v>1001</v>
      </c>
      <c r="D345" s="20"/>
      <c r="E345" s="4">
        <v>1001902</v>
      </c>
      <c r="F345" s="4" t="s">
        <v>44</v>
      </c>
      <c r="G345" s="4" t="s">
        <v>45</v>
      </c>
      <c r="H345" s="4" t="s">
        <v>61</v>
      </c>
      <c r="I345" s="4" t="s">
        <v>57</v>
      </c>
      <c r="J345" s="4" t="s">
        <v>47</v>
      </c>
      <c r="K345" s="4">
        <v>12</v>
      </c>
      <c r="L345" s="4">
        <v>20</v>
      </c>
      <c r="M345" s="5">
        <v>144</v>
      </c>
      <c r="N345" s="5">
        <v>72</v>
      </c>
      <c r="O345" s="5">
        <v>144</v>
      </c>
      <c r="P345" s="5">
        <v>0</v>
      </c>
      <c r="Q345" s="5">
        <v>72</v>
      </c>
      <c r="R345" s="5">
        <v>144</v>
      </c>
      <c r="S345" s="5">
        <v>72</v>
      </c>
      <c r="T345" s="5">
        <v>144</v>
      </c>
      <c r="U345" s="5">
        <v>72</v>
      </c>
      <c r="V345" s="5">
        <v>72</v>
      </c>
      <c r="W345" s="5">
        <v>144</v>
      </c>
      <c r="X345" s="5">
        <v>0</v>
      </c>
      <c r="Z345" t="e">
        <f>VLOOKUP(E345,Sheet2!$A$1:$A$39,1,0)</f>
        <v>#N/A</v>
      </c>
      <c r="AA345">
        <f>VLOOKUP($E345,[1]Sheet1!$E$10:$X$629,AA$9,0)</f>
        <v>144</v>
      </c>
      <c r="AB345">
        <f>VLOOKUP($E345,[1]Sheet1!$E$10:$X$629,AB$9,0)</f>
        <v>0</v>
      </c>
      <c r="AC345">
        <f>VLOOKUP($E345,[1]Sheet1!$E$10:$X$629,AC$9,0)</f>
        <v>288</v>
      </c>
      <c r="AD345">
        <f>VLOOKUP($E345,[1]Sheet1!$E$10:$X$629,AD$9,0)</f>
        <v>72</v>
      </c>
      <c r="AE345">
        <f>VLOOKUP($E345,[1]Sheet1!$E$10:$X$629,AE$9,0)</f>
        <v>144</v>
      </c>
      <c r="AF345">
        <f>VLOOKUP($E345,[1]Sheet1!$E$10:$X$629,AF$9,0)</f>
        <v>288</v>
      </c>
      <c r="AG345">
        <f>VLOOKUP($E345,[1]Sheet1!$E$10:$X$629,AG$9,0)</f>
        <v>72</v>
      </c>
      <c r="AH345">
        <f>VLOOKUP($E345,[1]Sheet1!$E$10:$X$629,AH$9,0)</f>
        <v>72</v>
      </c>
      <c r="AJ345">
        <f t="shared" si="19"/>
        <v>792</v>
      </c>
      <c r="AK345">
        <f t="shared" si="20"/>
        <v>1080</v>
      </c>
      <c r="AL345">
        <f t="shared" si="21"/>
        <v>-288</v>
      </c>
    </row>
    <row r="346" spans="1:38" ht="39.6" x14ac:dyDescent="0.3">
      <c r="A346" s="4" t="s">
        <v>1002</v>
      </c>
      <c r="B346" s="5" t="s">
        <v>1003</v>
      </c>
      <c r="C346" s="21" t="s">
        <v>1004</v>
      </c>
      <c r="D346" s="20"/>
      <c r="E346" s="4">
        <v>1001901</v>
      </c>
      <c r="F346" s="4" t="s">
        <v>44</v>
      </c>
      <c r="G346" s="4" t="s">
        <v>45</v>
      </c>
      <c r="H346" s="4" t="s">
        <v>61</v>
      </c>
      <c r="I346" s="4" t="s">
        <v>57</v>
      </c>
      <c r="J346" s="4" t="s">
        <v>47</v>
      </c>
      <c r="K346" s="4">
        <v>12</v>
      </c>
      <c r="L346" s="4">
        <v>20</v>
      </c>
      <c r="M346" s="5">
        <v>72</v>
      </c>
      <c r="N346" s="5">
        <v>144</v>
      </c>
      <c r="O346" s="5">
        <v>72</v>
      </c>
      <c r="P346" s="5">
        <v>72</v>
      </c>
      <c r="Q346" s="5">
        <v>144</v>
      </c>
      <c r="R346" s="5">
        <v>0</v>
      </c>
      <c r="S346" s="5">
        <v>216</v>
      </c>
      <c r="T346" s="5">
        <v>72</v>
      </c>
      <c r="U346" s="5">
        <v>72</v>
      </c>
      <c r="V346" s="5">
        <v>144</v>
      </c>
      <c r="W346" s="5">
        <v>72</v>
      </c>
      <c r="X346" s="5">
        <v>216</v>
      </c>
      <c r="Z346" t="e">
        <f>VLOOKUP(E346,Sheet2!$A$1:$A$39,1,0)</f>
        <v>#N/A</v>
      </c>
      <c r="AA346">
        <f>VLOOKUP($E346,[1]Sheet1!$E$10:$X$629,AA$9,0)</f>
        <v>0</v>
      </c>
      <c r="AB346">
        <f>VLOOKUP($E346,[1]Sheet1!$E$10:$X$629,AB$9,0)</f>
        <v>144</v>
      </c>
      <c r="AC346">
        <f>VLOOKUP($E346,[1]Sheet1!$E$10:$X$629,AC$9,0)</f>
        <v>144</v>
      </c>
      <c r="AD346">
        <f>VLOOKUP($E346,[1]Sheet1!$E$10:$X$629,AD$9,0)</f>
        <v>144</v>
      </c>
      <c r="AE346">
        <f>VLOOKUP($E346,[1]Sheet1!$E$10:$X$629,AE$9,0)</f>
        <v>0</v>
      </c>
      <c r="AF346">
        <f>VLOOKUP($E346,[1]Sheet1!$E$10:$X$629,AF$9,0)</f>
        <v>216</v>
      </c>
      <c r="AG346">
        <f>VLOOKUP($E346,[1]Sheet1!$E$10:$X$629,AG$9,0)</f>
        <v>72</v>
      </c>
      <c r="AH346">
        <f>VLOOKUP($E346,[1]Sheet1!$E$10:$X$629,AH$9,0)</f>
        <v>0</v>
      </c>
      <c r="AJ346">
        <f t="shared" si="19"/>
        <v>792</v>
      </c>
      <c r="AK346">
        <f t="shared" si="20"/>
        <v>720</v>
      </c>
      <c r="AL346">
        <f t="shared" si="21"/>
        <v>72</v>
      </c>
    </row>
    <row r="347" spans="1:38" ht="39.6" x14ac:dyDescent="0.3">
      <c r="A347" s="4" t="s">
        <v>1005</v>
      </c>
      <c r="B347" s="5" t="s">
        <v>1006</v>
      </c>
      <c r="C347" s="21" t="s">
        <v>1007</v>
      </c>
      <c r="D347" s="20"/>
      <c r="E347" s="4">
        <v>1001900</v>
      </c>
      <c r="F347" s="4" t="s">
        <v>44</v>
      </c>
      <c r="G347" s="4" t="s">
        <v>45</v>
      </c>
      <c r="H347" s="4" t="s">
        <v>61</v>
      </c>
      <c r="I347" s="4" t="s">
        <v>57</v>
      </c>
      <c r="J347" s="4" t="s">
        <v>47</v>
      </c>
      <c r="K347" s="4">
        <v>12</v>
      </c>
      <c r="L347" s="4">
        <v>20</v>
      </c>
      <c r="M347" s="5">
        <v>72</v>
      </c>
      <c r="N347" s="5">
        <v>144</v>
      </c>
      <c r="O347" s="5">
        <v>72</v>
      </c>
      <c r="P347" s="5">
        <v>0</v>
      </c>
      <c r="Q347" s="5">
        <v>144</v>
      </c>
      <c r="R347" s="5">
        <v>144</v>
      </c>
      <c r="S347" s="5">
        <v>72</v>
      </c>
      <c r="T347" s="5">
        <v>72</v>
      </c>
      <c r="U347" s="5">
        <v>144</v>
      </c>
      <c r="V347" s="5">
        <v>144</v>
      </c>
      <c r="W347" s="5">
        <v>144</v>
      </c>
      <c r="X347" s="5">
        <v>72</v>
      </c>
      <c r="Z347" t="e">
        <f>VLOOKUP(E347,Sheet2!$A$1:$A$39,1,0)</f>
        <v>#N/A</v>
      </c>
      <c r="AA347">
        <f>VLOOKUP($E347,[1]Sheet1!$E$10:$X$629,AA$9,0)</f>
        <v>216</v>
      </c>
      <c r="AB347">
        <f>VLOOKUP($E347,[1]Sheet1!$E$10:$X$629,AB$9,0)</f>
        <v>72</v>
      </c>
      <c r="AC347">
        <f>VLOOKUP($E347,[1]Sheet1!$E$10:$X$629,AC$9,0)</f>
        <v>288</v>
      </c>
      <c r="AD347">
        <f>VLOOKUP($E347,[1]Sheet1!$E$10:$X$629,AD$9,0)</f>
        <v>72</v>
      </c>
      <c r="AE347">
        <f>VLOOKUP($E347,[1]Sheet1!$E$10:$X$629,AE$9,0)</f>
        <v>144</v>
      </c>
      <c r="AF347">
        <f>VLOOKUP($E347,[1]Sheet1!$E$10:$X$629,AF$9,0)</f>
        <v>216</v>
      </c>
      <c r="AG347">
        <f>VLOOKUP($E347,[1]Sheet1!$E$10:$X$629,AG$9,0)</f>
        <v>216</v>
      </c>
      <c r="AH347">
        <f>VLOOKUP($E347,[1]Sheet1!$E$10:$X$629,AH$9,0)</f>
        <v>0</v>
      </c>
      <c r="AJ347">
        <f t="shared" si="19"/>
        <v>720</v>
      </c>
      <c r="AK347">
        <f t="shared" si="20"/>
        <v>1224</v>
      </c>
      <c r="AL347">
        <f t="shared" si="21"/>
        <v>-504</v>
      </c>
    </row>
    <row r="348" spans="1:38" ht="39.6" x14ac:dyDescent="0.3">
      <c r="A348" s="4" t="s">
        <v>1008</v>
      </c>
      <c r="B348" s="5" t="s">
        <v>1009</v>
      </c>
      <c r="C348" s="21" t="s">
        <v>1010</v>
      </c>
      <c r="D348" s="20"/>
      <c r="E348" s="4">
        <v>1001949</v>
      </c>
      <c r="F348" s="4" t="s">
        <v>44</v>
      </c>
      <c r="G348" s="4" t="s">
        <v>45</v>
      </c>
      <c r="H348" s="4" t="s">
        <v>61</v>
      </c>
      <c r="I348" s="4" t="s">
        <v>57</v>
      </c>
      <c r="J348" s="4" t="s">
        <v>47</v>
      </c>
      <c r="K348" s="4">
        <v>14.4</v>
      </c>
      <c r="L348" s="4">
        <v>24</v>
      </c>
      <c r="M348" s="5">
        <v>0</v>
      </c>
      <c r="N348" s="5">
        <v>144</v>
      </c>
      <c r="O348" s="5">
        <v>72</v>
      </c>
      <c r="P348" s="5">
        <v>0</v>
      </c>
      <c r="Q348" s="5">
        <v>216</v>
      </c>
      <c r="R348" s="5">
        <v>72</v>
      </c>
      <c r="S348" s="5">
        <v>72</v>
      </c>
      <c r="T348" s="5">
        <v>0</v>
      </c>
      <c r="U348" s="5">
        <v>144</v>
      </c>
      <c r="V348" s="5">
        <v>144</v>
      </c>
      <c r="W348" s="5">
        <v>0</v>
      </c>
      <c r="X348" s="5">
        <v>144</v>
      </c>
      <c r="Z348" t="e">
        <f>VLOOKUP(E348,Sheet2!$A$1:$A$39,1,0)</f>
        <v>#N/A</v>
      </c>
      <c r="AA348">
        <f>VLOOKUP($E348,[1]Sheet1!$E$10:$X$629,AA$9,0)</f>
        <v>144</v>
      </c>
      <c r="AB348">
        <f>VLOOKUP($E348,[1]Sheet1!$E$10:$X$629,AB$9,0)</f>
        <v>216</v>
      </c>
      <c r="AC348">
        <f>VLOOKUP($E348,[1]Sheet1!$E$10:$X$629,AC$9,0)</f>
        <v>72</v>
      </c>
      <c r="AD348">
        <f>VLOOKUP($E348,[1]Sheet1!$E$10:$X$629,AD$9,0)</f>
        <v>288</v>
      </c>
      <c r="AE348">
        <f>VLOOKUP($E348,[1]Sheet1!$E$10:$X$629,AE$9,0)</f>
        <v>0</v>
      </c>
      <c r="AF348">
        <f>VLOOKUP($E348,[1]Sheet1!$E$10:$X$629,AF$9,0)</f>
        <v>360</v>
      </c>
      <c r="AG348">
        <f>VLOOKUP($E348,[1]Sheet1!$E$10:$X$629,AG$9,0)</f>
        <v>216</v>
      </c>
      <c r="AH348">
        <f>VLOOKUP($E348,[1]Sheet1!$E$10:$X$629,AH$9,0)</f>
        <v>0</v>
      </c>
      <c r="AJ348">
        <f t="shared" si="19"/>
        <v>576</v>
      </c>
      <c r="AK348">
        <f t="shared" si="20"/>
        <v>1296</v>
      </c>
      <c r="AL348">
        <f t="shared" si="21"/>
        <v>-720</v>
      </c>
    </row>
    <row r="349" spans="1:38" ht="39.6" x14ac:dyDescent="0.3">
      <c r="A349" s="4" t="s">
        <v>1011</v>
      </c>
      <c r="B349" s="5" t="s">
        <v>1012</v>
      </c>
      <c r="C349" s="21" t="s">
        <v>1013</v>
      </c>
      <c r="D349" s="20"/>
      <c r="E349" s="4">
        <v>1001950</v>
      </c>
      <c r="F349" s="4" t="s">
        <v>44</v>
      </c>
      <c r="G349" s="4" t="s">
        <v>45</v>
      </c>
      <c r="H349" s="4" t="s">
        <v>61</v>
      </c>
      <c r="I349" s="4" t="s">
        <v>57</v>
      </c>
      <c r="J349" s="4" t="s">
        <v>47</v>
      </c>
      <c r="K349" s="4">
        <v>14.4</v>
      </c>
      <c r="L349" s="4">
        <v>24</v>
      </c>
      <c r="M349" s="5">
        <v>72</v>
      </c>
      <c r="N349" s="5">
        <v>144</v>
      </c>
      <c r="O349" s="5">
        <v>216</v>
      </c>
      <c r="P349" s="5">
        <v>72</v>
      </c>
      <c r="Q349" s="5">
        <v>216</v>
      </c>
      <c r="R349" s="5">
        <v>144</v>
      </c>
      <c r="S349" s="5">
        <v>216</v>
      </c>
      <c r="T349" s="5">
        <v>72</v>
      </c>
      <c r="U349" s="5">
        <v>288</v>
      </c>
      <c r="V349" s="5">
        <v>144</v>
      </c>
      <c r="W349" s="5">
        <v>144</v>
      </c>
      <c r="X349" s="5">
        <v>216</v>
      </c>
      <c r="Z349" t="e">
        <f>VLOOKUP(E349,Sheet2!$A$1:$A$39,1,0)</f>
        <v>#N/A</v>
      </c>
      <c r="AA349">
        <f>VLOOKUP($E349,[1]Sheet1!$E$10:$X$629,AA$9,0)</f>
        <v>216</v>
      </c>
      <c r="AB349">
        <f>VLOOKUP($E349,[1]Sheet1!$E$10:$X$629,AB$9,0)</f>
        <v>216</v>
      </c>
      <c r="AC349">
        <f>VLOOKUP($E349,[1]Sheet1!$E$10:$X$629,AC$9,0)</f>
        <v>288</v>
      </c>
      <c r="AD349">
        <f>VLOOKUP($E349,[1]Sheet1!$E$10:$X$629,AD$9,0)</f>
        <v>216</v>
      </c>
      <c r="AE349">
        <f>VLOOKUP($E349,[1]Sheet1!$E$10:$X$629,AE$9,0)</f>
        <v>144</v>
      </c>
      <c r="AF349">
        <f>VLOOKUP($E349,[1]Sheet1!$E$10:$X$629,AF$9,0)</f>
        <v>288</v>
      </c>
      <c r="AG349">
        <f>VLOOKUP($E349,[1]Sheet1!$E$10:$X$629,AG$9,0)</f>
        <v>288</v>
      </c>
      <c r="AH349">
        <f>VLOOKUP($E349,[1]Sheet1!$E$10:$X$629,AH$9,0)</f>
        <v>72</v>
      </c>
      <c r="AJ349">
        <f t="shared" si="19"/>
        <v>1152</v>
      </c>
      <c r="AK349">
        <f t="shared" si="20"/>
        <v>1728</v>
      </c>
      <c r="AL349">
        <f t="shared" si="21"/>
        <v>-576</v>
      </c>
    </row>
    <row r="350" spans="1:38" ht="39.6" x14ac:dyDescent="0.3">
      <c r="A350" s="4" t="s">
        <v>1014</v>
      </c>
      <c r="B350" s="5" t="s">
        <v>1015</v>
      </c>
      <c r="C350" s="21" t="s">
        <v>1016</v>
      </c>
      <c r="D350" s="20"/>
      <c r="E350" s="4">
        <v>1001951</v>
      </c>
      <c r="F350" s="4" t="s">
        <v>44</v>
      </c>
      <c r="G350" s="4" t="s">
        <v>45</v>
      </c>
      <c r="H350" s="4" t="s">
        <v>61</v>
      </c>
      <c r="I350" s="4" t="s">
        <v>57</v>
      </c>
      <c r="J350" s="4" t="s">
        <v>47</v>
      </c>
      <c r="K350" s="4">
        <v>14.4</v>
      </c>
      <c r="L350" s="4">
        <v>24</v>
      </c>
      <c r="M350" s="5">
        <v>144</v>
      </c>
      <c r="N350" s="5">
        <v>144</v>
      </c>
      <c r="O350" s="5">
        <v>216</v>
      </c>
      <c r="P350" s="5">
        <v>0</v>
      </c>
      <c r="Q350" s="5">
        <v>216</v>
      </c>
      <c r="R350" s="5">
        <v>216</v>
      </c>
      <c r="S350" s="5">
        <v>144</v>
      </c>
      <c r="T350" s="5">
        <v>144</v>
      </c>
      <c r="U350" s="5">
        <v>144</v>
      </c>
      <c r="V350" s="5">
        <v>144</v>
      </c>
      <c r="W350" s="5">
        <v>216</v>
      </c>
      <c r="X350" s="5">
        <v>144</v>
      </c>
      <c r="Z350" t="e">
        <f>VLOOKUP(E350,Sheet2!$A$1:$A$39,1,0)</f>
        <v>#N/A</v>
      </c>
      <c r="AA350">
        <f>VLOOKUP($E350,[1]Sheet1!$E$10:$X$629,AA$9,0)</f>
        <v>72</v>
      </c>
      <c r="AB350">
        <f>VLOOKUP($E350,[1]Sheet1!$E$10:$X$629,AB$9,0)</f>
        <v>360</v>
      </c>
      <c r="AC350">
        <f>VLOOKUP($E350,[1]Sheet1!$E$10:$X$629,AC$9,0)</f>
        <v>144</v>
      </c>
      <c r="AD350">
        <f>VLOOKUP($E350,[1]Sheet1!$E$10:$X$629,AD$9,0)</f>
        <v>144</v>
      </c>
      <c r="AE350">
        <f>VLOOKUP($E350,[1]Sheet1!$E$10:$X$629,AE$9,0)</f>
        <v>360</v>
      </c>
      <c r="AF350">
        <f>VLOOKUP($E350,[1]Sheet1!$E$10:$X$629,AF$9,0)</f>
        <v>144</v>
      </c>
      <c r="AG350">
        <f>VLOOKUP($E350,[1]Sheet1!$E$10:$X$629,AG$9,0)</f>
        <v>144</v>
      </c>
      <c r="AH350">
        <f>VLOOKUP($E350,[1]Sheet1!$E$10:$X$629,AH$9,0)</f>
        <v>72</v>
      </c>
      <c r="AJ350">
        <f t="shared" si="19"/>
        <v>1224</v>
      </c>
      <c r="AK350">
        <f t="shared" si="20"/>
        <v>1440</v>
      </c>
      <c r="AL350">
        <f t="shared" si="21"/>
        <v>-216</v>
      </c>
    </row>
    <row r="351" spans="1:38" ht="39.6" x14ac:dyDescent="0.3">
      <c r="A351" s="4" t="s">
        <v>1017</v>
      </c>
      <c r="B351" s="5" t="s">
        <v>1018</v>
      </c>
      <c r="C351" s="21" t="s">
        <v>1019</v>
      </c>
      <c r="D351" s="20"/>
      <c r="E351" s="4">
        <v>1001952</v>
      </c>
      <c r="F351" s="4" t="s">
        <v>44</v>
      </c>
      <c r="G351" s="4" t="s">
        <v>45</v>
      </c>
      <c r="H351" s="4" t="s">
        <v>61</v>
      </c>
      <c r="I351" s="4" t="s">
        <v>57</v>
      </c>
      <c r="J351" s="4" t="s">
        <v>47</v>
      </c>
      <c r="K351" s="4">
        <v>14.4</v>
      </c>
      <c r="L351" s="4">
        <v>24</v>
      </c>
      <c r="M351" s="5">
        <v>72</v>
      </c>
      <c r="N351" s="5">
        <v>144</v>
      </c>
      <c r="O351" s="5">
        <v>144</v>
      </c>
      <c r="P351" s="5">
        <v>72</v>
      </c>
      <c r="Q351" s="5">
        <v>72</v>
      </c>
      <c r="R351" s="5">
        <v>144</v>
      </c>
      <c r="S351" s="5">
        <v>216</v>
      </c>
      <c r="T351" s="5">
        <v>0</v>
      </c>
      <c r="U351" s="5">
        <v>144</v>
      </c>
      <c r="V351" s="5">
        <v>216</v>
      </c>
      <c r="W351" s="5">
        <v>72</v>
      </c>
      <c r="X351" s="5">
        <v>144</v>
      </c>
      <c r="Z351" t="e">
        <f>VLOOKUP(E351,Sheet2!$A$1:$A$39,1,0)</f>
        <v>#N/A</v>
      </c>
      <c r="AA351">
        <f>VLOOKUP($E351,[1]Sheet1!$E$10:$X$629,AA$9,0)</f>
        <v>144</v>
      </c>
      <c r="AB351">
        <f>VLOOKUP($E351,[1]Sheet1!$E$10:$X$629,AB$9,0)</f>
        <v>216</v>
      </c>
      <c r="AC351">
        <f>VLOOKUP($E351,[1]Sheet1!$E$10:$X$629,AC$9,0)</f>
        <v>288</v>
      </c>
      <c r="AD351">
        <f>VLOOKUP($E351,[1]Sheet1!$E$10:$X$629,AD$9,0)</f>
        <v>144</v>
      </c>
      <c r="AE351">
        <f>VLOOKUP($E351,[1]Sheet1!$E$10:$X$629,AE$9,0)</f>
        <v>216</v>
      </c>
      <c r="AF351">
        <f>VLOOKUP($E351,[1]Sheet1!$E$10:$X$629,AF$9,0)</f>
        <v>144</v>
      </c>
      <c r="AG351">
        <f>VLOOKUP($E351,[1]Sheet1!$E$10:$X$629,AG$9,0)</f>
        <v>216</v>
      </c>
      <c r="AH351">
        <f>VLOOKUP($E351,[1]Sheet1!$E$10:$X$629,AH$9,0)</f>
        <v>72</v>
      </c>
      <c r="AJ351">
        <f t="shared" si="19"/>
        <v>864</v>
      </c>
      <c r="AK351">
        <f t="shared" si="20"/>
        <v>1440</v>
      </c>
      <c r="AL351">
        <f t="shared" si="21"/>
        <v>-576</v>
      </c>
    </row>
    <row r="352" spans="1:38" ht="39.6" x14ac:dyDescent="0.3">
      <c r="A352" s="4" t="s">
        <v>1020</v>
      </c>
      <c r="B352" s="5" t="s">
        <v>1021</v>
      </c>
      <c r="C352" s="21" t="s">
        <v>1022</v>
      </c>
      <c r="D352" s="20"/>
      <c r="E352" s="4">
        <v>1001953</v>
      </c>
      <c r="F352" s="4" t="s">
        <v>44</v>
      </c>
      <c r="G352" s="4" t="s">
        <v>45</v>
      </c>
      <c r="H352" s="4" t="s">
        <v>61</v>
      </c>
      <c r="I352" s="4" t="s">
        <v>57</v>
      </c>
      <c r="J352" s="4" t="s">
        <v>47</v>
      </c>
      <c r="K352" s="4">
        <v>14.4</v>
      </c>
      <c r="L352" s="4">
        <v>24</v>
      </c>
      <c r="M352" s="5">
        <v>0</v>
      </c>
      <c r="N352" s="5">
        <v>144</v>
      </c>
      <c r="O352" s="5">
        <v>0</v>
      </c>
      <c r="P352" s="5">
        <v>72</v>
      </c>
      <c r="Q352" s="5">
        <v>72</v>
      </c>
      <c r="R352" s="5">
        <v>144</v>
      </c>
      <c r="S352" s="5">
        <v>0</v>
      </c>
      <c r="T352" s="5">
        <v>72</v>
      </c>
      <c r="U352" s="5">
        <v>216</v>
      </c>
      <c r="V352" s="5">
        <v>72</v>
      </c>
      <c r="W352" s="5">
        <v>0</v>
      </c>
      <c r="X352" s="5">
        <v>144</v>
      </c>
      <c r="Z352" t="e">
        <f>VLOOKUP(E352,Sheet2!$A$1:$A$39,1,0)</f>
        <v>#N/A</v>
      </c>
      <c r="AA352">
        <f>VLOOKUP($E352,[1]Sheet1!$E$10:$X$629,AA$9,0)</f>
        <v>72</v>
      </c>
      <c r="AB352">
        <f>VLOOKUP($E352,[1]Sheet1!$E$10:$X$629,AB$9,0)</f>
        <v>144</v>
      </c>
      <c r="AC352">
        <f>VLOOKUP($E352,[1]Sheet1!$E$10:$X$629,AC$9,0)</f>
        <v>216</v>
      </c>
      <c r="AD352">
        <f>VLOOKUP($E352,[1]Sheet1!$E$10:$X$629,AD$9,0)</f>
        <v>72</v>
      </c>
      <c r="AE352">
        <f>VLOOKUP($E352,[1]Sheet1!$E$10:$X$629,AE$9,0)</f>
        <v>144</v>
      </c>
      <c r="AF352">
        <f>VLOOKUP($E352,[1]Sheet1!$E$10:$X$629,AF$9,0)</f>
        <v>216</v>
      </c>
      <c r="AG352">
        <f>VLOOKUP($E352,[1]Sheet1!$E$10:$X$629,AG$9,0)</f>
        <v>0</v>
      </c>
      <c r="AH352">
        <f>VLOOKUP($E352,[1]Sheet1!$E$10:$X$629,AH$9,0)</f>
        <v>144</v>
      </c>
      <c r="AJ352">
        <f t="shared" si="19"/>
        <v>504</v>
      </c>
      <c r="AK352">
        <f t="shared" si="20"/>
        <v>1008</v>
      </c>
      <c r="AL352">
        <f t="shared" si="21"/>
        <v>-504</v>
      </c>
    </row>
    <row r="353" spans="1:38" ht="39.6" x14ac:dyDescent="0.3">
      <c r="A353" s="4" t="s">
        <v>1023</v>
      </c>
      <c r="B353" s="5" t="s">
        <v>1024</v>
      </c>
      <c r="C353" s="21" t="s">
        <v>1025</v>
      </c>
      <c r="D353" s="20"/>
      <c r="E353" s="4">
        <v>1001960</v>
      </c>
      <c r="F353" s="4" t="s">
        <v>44</v>
      </c>
      <c r="G353" s="4" t="s">
        <v>45</v>
      </c>
      <c r="H353" s="4" t="s">
        <v>61</v>
      </c>
      <c r="I353" s="4" t="s">
        <v>57</v>
      </c>
      <c r="J353" s="4" t="s">
        <v>47</v>
      </c>
      <c r="K353" s="4">
        <v>14.4</v>
      </c>
      <c r="L353" s="4">
        <v>24</v>
      </c>
      <c r="M353" s="5">
        <v>288</v>
      </c>
      <c r="N353" s="5">
        <v>0</v>
      </c>
      <c r="O353" s="5">
        <v>72</v>
      </c>
      <c r="P353" s="5">
        <v>72</v>
      </c>
      <c r="Q353" s="5">
        <v>144</v>
      </c>
      <c r="R353" s="5">
        <v>0</v>
      </c>
      <c r="S353" s="5">
        <v>216</v>
      </c>
      <c r="T353" s="5">
        <v>0</v>
      </c>
      <c r="U353" s="5">
        <v>144</v>
      </c>
      <c r="V353" s="5">
        <v>72</v>
      </c>
      <c r="W353" s="5">
        <v>72</v>
      </c>
      <c r="X353" s="5">
        <v>144</v>
      </c>
      <c r="Z353" t="e">
        <f>VLOOKUP(E353,Sheet2!$A$1:$A$39,1,0)</f>
        <v>#N/A</v>
      </c>
      <c r="AA353">
        <f>VLOOKUP($E353,[1]Sheet1!$E$10:$X$629,AA$9,0)</f>
        <v>72</v>
      </c>
      <c r="AB353">
        <f>VLOOKUP($E353,[1]Sheet1!$E$10:$X$629,AB$9,0)</f>
        <v>144</v>
      </c>
      <c r="AC353">
        <f>VLOOKUP($E353,[1]Sheet1!$E$10:$X$629,AC$9,0)</f>
        <v>144</v>
      </c>
      <c r="AD353">
        <f>VLOOKUP($E353,[1]Sheet1!$E$10:$X$629,AD$9,0)</f>
        <v>216</v>
      </c>
      <c r="AE353">
        <f>VLOOKUP($E353,[1]Sheet1!$E$10:$X$629,AE$9,0)</f>
        <v>72</v>
      </c>
      <c r="AF353">
        <f>VLOOKUP($E353,[1]Sheet1!$E$10:$X$629,AF$9,0)</f>
        <v>216</v>
      </c>
      <c r="AG353">
        <f>VLOOKUP($E353,[1]Sheet1!$E$10:$X$629,AG$9,0)</f>
        <v>144</v>
      </c>
      <c r="AH353">
        <f>VLOOKUP($E353,[1]Sheet1!$E$10:$X$629,AH$9,0)</f>
        <v>72</v>
      </c>
      <c r="AJ353">
        <f t="shared" si="19"/>
        <v>792</v>
      </c>
      <c r="AK353">
        <f t="shared" si="20"/>
        <v>1080</v>
      </c>
      <c r="AL353">
        <f t="shared" si="21"/>
        <v>-288</v>
      </c>
    </row>
    <row r="354" spans="1:38" ht="39.6" x14ac:dyDescent="0.3">
      <c r="A354" s="4" t="s">
        <v>1026</v>
      </c>
      <c r="B354" s="5" t="s">
        <v>1027</v>
      </c>
      <c r="C354" s="21" t="s">
        <v>1028</v>
      </c>
      <c r="D354" s="20"/>
      <c r="E354" s="4">
        <v>1001959</v>
      </c>
      <c r="F354" s="4" t="s">
        <v>44</v>
      </c>
      <c r="G354" s="4" t="s">
        <v>45</v>
      </c>
      <c r="H354" s="4" t="s">
        <v>61</v>
      </c>
      <c r="I354" s="4" t="s">
        <v>57</v>
      </c>
      <c r="J354" s="4" t="s">
        <v>47</v>
      </c>
      <c r="K354" s="4">
        <v>14.4</v>
      </c>
      <c r="L354" s="4">
        <v>24</v>
      </c>
      <c r="M354" s="5">
        <v>72</v>
      </c>
      <c r="N354" s="5">
        <v>144</v>
      </c>
      <c r="O354" s="5">
        <v>0</v>
      </c>
      <c r="P354" s="5">
        <v>144</v>
      </c>
      <c r="Q354" s="5">
        <v>0</v>
      </c>
      <c r="R354" s="5">
        <v>144</v>
      </c>
      <c r="S354" s="5">
        <v>72</v>
      </c>
      <c r="T354" s="5">
        <v>0</v>
      </c>
      <c r="U354" s="5">
        <v>72</v>
      </c>
      <c r="V354" s="5">
        <v>72</v>
      </c>
      <c r="W354" s="5">
        <v>144</v>
      </c>
      <c r="X354" s="5">
        <v>72</v>
      </c>
      <c r="Z354" t="e">
        <f>VLOOKUP(E354,Sheet2!$A$1:$A$39,1,0)</f>
        <v>#N/A</v>
      </c>
      <c r="AA354">
        <f>VLOOKUP($E354,[1]Sheet1!$E$10:$X$629,AA$9,0)</f>
        <v>144</v>
      </c>
      <c r="AB354">
        <f>VLOOKUP($E354,[1]Sheet1!$E$10:$X$629,AB$9,0)</f>
        <v>72</v>
      </c>
      <c r="AC354">
        <f>VLOOKUP($E354,[1]Sheet1!$E$10:$X$629,AC$9,0)</f>
        <v>144</v>
      </c>
      <c r="AD354">
        <f>VLOOKUP($E354,[1]Sheet1!$E$10:$X$629,AD$9,0)</f>
        <v>144</v>
      </c>
      <c r="AE354">
        <f>VLOOKUP($E354,[1]Sheet1!$E$10:$X$629,AE$9,0)</f>
        <v>72</v>
      </c>
      <c r="AF354">
        <f>VLOOKUP($E354,[1]Sheet1!$E$10:$X$629,AF$9,0)</f>
        <v>144</v>
      </c>
      <c r="AG354">
        <f>VLOOKUP($E354,[1]Sheet1!$E$10:$X$629,AG$9,0)</f>
        <v>144</v>
      </c>
      <c r="AH354">
        <f>VLOOKUP($E354,[1]Sheet1!$E$10:$X$629,AH$9,0)</f>
        <v>72</v>
      </c>
      <c r="AJ354">
        <f t="shared" si="19"/>
        <v>576</v>
      </c>
      <c r="AK354">
        <f t="shared" si="20"/>
        <v>936</v>
      </c>
      <c r="AL354">
        <f t="shared" si="21"/>
        <v>-360</v>
      </c>
    </row>
    <row r="355" spans="1:38" ht="39.6" x14ac:dyDescent="0.3">
      <c r="A355" s="4" t="s">
        <v>1029</v>
      </c>
      <c r="B355" s="5" t="s">
        <v>1030</v>
      </c>
      <c r="C355" s="21" t="s">
        <v>1031</v>
      </c>
      <c r="D355" s="20"/>
      <c r="E355" s="4">
        <v>1001954</v>
      </c>
      <c r="F355" s="4" t="s">
        <v>44</v>
      </c>
      <c r="G355" s="4" t="s">
        <v>45</v>
      </c>
      <c r="H355" s="4" t="s">
        <v>61</v>
      </c>
      <c r="I355" s="4" t="s">
        <v>57</v>
      </c>
      <c r="J355" s="4" t="s">
        <v>47</v>
      </c>
      <c r="K355" s="4">
        <v>14.4</v>
      </c>
      <c r="L355" s="4">
        <v>24</v>
      </c>
      <c r="M355" s="5">
        <v>0</v>
      </c>
      <c r="N355" s="5">
        <v>144</v>
      </c>
      <c r="O355" s="5">
        <v>0</v>
      </c>
      <c r="P355" s="5">
        <v>72</v>
      </c>
      <c r="Q355" s="5">
        <v>72</v>
      </c>
      <c r="R355" s="5">
        <v>72</v>
      </c>
      <c r="S355" s="5">
        <v>0</v>
      </c>
      <c r="T355" s="5">
        <v>288</v>
      </c>
      <c r="U355" s="5">
        <v>0</v>
      </c>
      <c r="V355" s="5">
        <v>144</v>
      </c>
      <c r="W355" s="5">
        <v>144</v>
      </c>
      <c r="X355" s="5">
        <v>72</v>
      </c>
      <c r="Z355" t="e">
        <f>VLOOKUP(E355,Sheet2!$A$1:$A$39,1,0)</f>
        <v>#N/A</v>
      </c>
      <c r="AA355">
        <f>VLOOKUP($E355,[1]Sheet1!$E$10:$X$629,AA$9,0)</f>
        <v>72</v>
      </c>
      <c r="AB355">
        <f>VLOOKUP($E355,[1]Sheet1!$E$10:$X$629,AB$9,0)</f>
        <v>72</v>
      </c>
      <c r="AC355">
        <f>VLOOKUP($E355,[1]Sheet1!$E$10:$X$629,AC$9,0)</f>
        <v>144</v>
      </c>
      <c r="AD355">
        <f>VLOOKUP($E355,[1]Sheet1!$E$10:$X$629,AD$9,0)</f>
        <v>216</v>
      </c>
      <c r="AE355">
        <f>VLOOKUP($E355,[1]Sheet1!$E$10:$X$629,AE$9,0)</f>
        <v>216</v>
      </c>
      <c r="AF355">
        <f>VLOOKUP($E355,[1]Sheet1!$E$10:$X$629,AF$9,0)</f>
        <v>72</v>
      </c>
      <c r="AG355">
        <f>VLOOKUP($E355,[1]Sheet1!$E$10:$X$629,AG$9,0)</f>
        <v>144</v>
      </c>
      <c r="AH355">
        <f>VLOOKUP($E355,[1]Sheet1!$E$10:$X$629,AH$9,0)</f>
        <v>0</v>
      </c>
      <c r="AJ355">
        <f t="shared" si="19"/>
        <v>648</v>
      </c>
      <c r="AK355">
        <f t="shared" si="20"/>
        <v>936</v>
      </c>
      <c r="AL355">
        <f t="shared" si="21"/>
        <v>-288</v>
      </c>
    </row>
    <row r="356" spans="1:38" ht="39.6" x14ac:dyDescent="0.3">
      <c r="A356" s="4" t="s">
        <v>1032</v>
      </c>
      <c r="B356" s="5" t="s">
        <v>1033</v>
      </c>
      <c r="C356" s="21" t="s">
        <v>1034</v>
      </c>
      <c r="D356" s="20"/>
      <c r="E356" s="4">
        <v>1001958</v>
      </c>
      <c r="F356" s="4" t="s">
        <v>44</v>
      </c>
      <c r="G356" s="4" t="s">
        <v>45</v>
      </c>
      <c r="H356" s="4" t="s">
        <v>61</v>
      </c>
      <c r="I356" s="4" t="s">
        <v>57</v>
      </c>
      <c r="J356" s="4" t="s">
        <v>47</v>
      </c>
      <c r="K356" s="4">
        <v>14.4</v>
      </c>
      <c r="L356" s="4">
        <v>24</v>
      </c>
      <c r="M356" s="5">
        <v>0</v>
      </c>
      <c r="N356" s="5">
        <v>72</v>
      </c>
      <c r="O356" s="5">
        <v>216</v>
      </c>
      <c r="P356" s="5">
        <v>0</v>
      </c>
      <c r="Q356" s="5">
        <v>72</v>
      </c>
      <c r="R356" s="5">
        <v>0</v>
      </c>
      <c r="S356" s="5">
        <v>144</v>
      </c>
      <c r="T356" s="5">
        <v>144</v>
      </c>
      <c r="U356" s="5">
        <v>72</v>
      </c>
      <c r="V356" s="5">
        <v>0</v>
      </c>
      <c r="W356" s="5">
        <v>216</v>
      </c>
      <c r="X356" s="5">
        <v>0</v>
      </c>
      <c r="Z356" t="e">
        <f>VLOOKUP(E356,Sheet2!$A$1:$A$39,1,0)</f>
        <v>#N/A</v>
      </c>
      <c r="AA356">
        <f>VLOOKUP($E356,[1]Sheet1!$E$10:$X$629,AA$9,0)</f>
        <v>216</v>
      </c>
      <c r="AB356">
        <f>VLOOKUP($E356,[1]Sheet1!$E$10:$X$629,AB$9,0)</f>
        <v>144</v>
      </c>
      <c r="AC356">
        <f>VLOOKUP($E356,[1]Sheet1!$E$10:$X$629,AC$9,0)</f>
        <v>144</v>
      </c>
      <c r="AD356">
        <f>VLOOKUP($E356,[1]Sheet1!$E$10:$X$629,AD$9,0)</f>
        <v>144</v>
      </c>
      <c r="AE356">
        <f>VLOOKUP($E356,[1]Sheet1!$E$10:$X$629,AE$9,0)</f>
        <v>72</v>
      </c>
      <c r="AF356">
        <f>VLOOKUP($E356,[1]Sheet1!$E$10:$X$629,AF$9,0)</f>
        <v>144</v>
      </c>
      <c r="AG356">
        <f>VLOOKUP($E356,[1]Sheet1!$E$10:$X$629,AG$9,0)</f>
        <v>216</v>
      </c>
      <c r="AH356">
        <f>VLOOKUP($E356,[1]Sheet1!$E$10:$X$629,AH$9,0)</f>
        <v>144</v>
      </c>
      <c r="AJ356">
        <f t="shared" si="19"/>
        <v>648</v>
      </c>
      <c r="AK356">
        <f t="shared" si="20"/>
        <v>1224</v>
      </c>
      <c r="AL356">
        <f t="shared" si="21"/>
        <v>-576</v>
      </c>
    </row>
    <row r="357" spans="1:38" ht="39.6" x14ac:dyDescent="0.3">
      <c r="A357" s="4" t="s">
        <v>1035</v>
      </c>
      <c r="B357" s="5" t="s">
        <v>1036</v>
      </c>
      <c r="C357" s="21" t="s">
        <v>1037</v>
      </c>
      <c r="D357" s="20"/>
      <c r="E357" s="4">
        <v>1001955</v>
      </c>
      <c r="F357" s="4" t="s">
        <v>44</v>
      </c>
      <c r="G357" s="4" t="s">
        <v>45</v>
      </c>
      <c r="H357" s="4" t="s">
        <v>61</v>
      </c>
      <c r="I357" s="4" t="s">
        <v>57</v>
      </c>
      <c r="J357" s="4" t="s">
        <v>47</v>
      </c>
      <c r="K357" s="4">
        <v>14.4</v>
      </c>
      <c r="L357" s="4">
        <v>24</v>
      </c>
      <c r="M357" s="5">
        <v>0</v>
      </c>
      <c r="N357" s="5">
        <v>144</v>
      </c>
      <c r="O357" s="5">
        <v>72</v>
      </c>
      <c r="P357" s="5">
        <v>72</v>
      </c>
      <c r="Q357" s="5">
        <v>72</v>
      </c>
      <c r="R357" s="5">
        <v>216</v>
      </c>
      <c r="S357" s="5">
        <v>72</v>
      </c>
      <c r="T357" s="5">
        <v>72</v>
      </c>
      <c r="U357" s="5">
        <v>144</v>
      </c>
      <c r="V357" s="5">
        <v>72</v>
      </c>
      <c r="W357" s="5">
        <v>216</v>
      </c>
      <c r="X357" s="5">
        <v>144</v>
      </c>
      <c r="Z357" t="e">
        <f>VLOOKUP(E357,Sheet2!$A$1:$A$39,1,0)</f>
        <v>#N/A</v>
      </c>
      <c r="AA357">
        <f>VLOOKUP($E357,[1]Sheet1!$E$10:$X$629,AA$9,0)</f>
        <v>216</v>
      </c>
      <c r="AB357">
        <f>VLOOKUP($E357,[1]Sheet1!$E$10:$X$629,AB$9,0)</f>
        <v>72</v>
      </c>
      <c r="AC357">
        <f>VLOOKUP($E357,[1]Sheet1!$E$10:$X$629,AC$9,0)</f>
        <v>216</v>
      </c>
      <c r="AD357">
        <f>VLOOKUP($E357,[1]Sheet1!$E$10:$X$629,AD$9,0)</f>
        <v>216</v>
      </c>
      <c r="AE357">
        <f>VLOOKUP($E357,[1]Sheet1!$E$10:$X$629,AE$9,0)</f>
        <v>72</v>
      </c>
      <c r="AF357">
        <f>VLOOKUP($E357,[1]Sheet1!$E$10:$X$629,AF$9,0)</f>
        <v>288</v>
      </c>
      <c r="AG357">
        <f>VLOOKUP($E357,[1]Sheet1!$E$10:$X$629,AG$9,0)</f>
        <v>216</v>
      </c>
      <c r="AH357">
        <f>VLOOKUP($E357,[1]Sheet1!$E$10:$X$629,AH$9,0)</f>
        <v>0</v>
      </c>
      <c r="AJ357">
        <f t="shared" si="19"/>
        <v>720</v>
      </c>
      <c r="AK357">
        <f t="shared" si="20"/>
        <v>1296</v>
      </c>
      <c r="AL357">
        <f t="shared" si="21"/>
        <v>-576</v>
      </c>
    </row>
    <row r="358" spans="1:38" ht="39.6" x14ac:dyDescent="0.3">
      <c r="A358" s="4" t="s">
        <v>1038</v>
      </c>
      <c r="B358" s="5" t="s">
        <v>1039</v>
      </c>
      <c r="C358" s="21" t="s">
        <v>1040</v>
      </c>
      <c r="D358" s="20"/>
      <c r="E358" s="4">
        <v>1001957</v>
      </c>
      <c r="F358" s="4" t="s">
        <v>44</v>
      </c>
      <c r="G358" s="4" t="s">
        <v>45</v>
      </c>
      <c r="H358" s="4" t="s">
        <v>61</v>
      </c>
      <c r="I358" s="4" t="s">
        <v>57</v>
      </c>
      <c r="J358" s="4" t="s">
        <v>47</v>
      </c>
      <c r="K358" s="4">
        <v>14.4</v>
      </c>
      <c r="L358" s="4">
        <v>24</v>
      </c>
      <c r="M358" s="5">
        <v>0</v>
      </c>
      <c r="N358" s="5">
        <v>0</v>
      </c>
      <c r="O358" s="5">
        <v>0</v>
      </c>
      <c r="P358" s="5">
        <v>72</v>
      </c>
      <c r="Q358" s="5">
        <v>72</v>
      </c>
      <c r="R358" s="5">
        <v>72</v>
      </c>
      <c r="S358" s="5">
        <v>0</v>
      </c>
      <c r="T358" s="5">
        <v>72</v>
      </c>
      <c r="U358" s="5">
        <v>0</v>
      </c>
      <c r="V358" s="5">
        <v>72</v>
      </c>
      <c r="W358" s="5">
        <v>72</v>
      </c>
      <c r="X358" s="5">
        <v>0</v>
      </c>
      <c r="Z358" t="e">
        <f>VLOOKUP(E358,Sheet2!$A$1:$A$39,1,0)</f>
        <v>#N/A</v>
      </c>
      <c r="AA358">
        <f>VLOOKUP($E358,[1]Sheet1!$E$10:$X$629,AA$9,0)</f>
        <v>72</v>
      </c>
      <c r="AB358">
        <f>VLOOKUP($E358,[1]Sheet1!$E$10:$X$629,AB$9,0)</f>
        <v>216</v>
      </c>
      <c r="AC358">
        <f>VLOOKUP($E358,[1]Sheet1!$E$10:$X$629,AC$9,0)</f>
        <v>144</v>
      </c>
      <c r="AD358">
        <f>VLOOKUP($E358,[1]Sheet1!$E$10:$X$629,AD$9,0)</f>
        <v>0</v>
      </c>
      <c r="AE358">
        <f>VLOOKUP($E358,[1]Sheet1!$E$10:$X$629,AE$9,0)</f>
        <v>72</v>
      </c>
      <c r="AF358">
        <f>VLOOKUP($E358,[1]Sheet1!$E$10:$X$629,AF$9,0)</f>
        <v>216</v>
      </c>
      <c r="AG358">
        <f>VLOOKUP($E358,[1]Sheet1!$E$10:$X$629,AG$9,0)</f>
        <v>72</v>
      </c>
      <c r="AH358">
        <f>VLOOKUP($E358,[1]Sheet1!$E$10:$X$629,AH$9,0)</f>
        <v>72</v>
      </c>
      <c r="AJ358">
        <f t="shared" si="19"/>
        <v>288</v>
      </c>
      <c r="AK358">
        <f t="shared" si="20"/>
        <v>864</v>
      </c>
      <c r="AL358">
        <f t="shared" si="21"/>
        <v>-576</v>
      </c>
    </row>
    <row r="359" spans="1:38" ht="39.6" x14ac:dyDescent="0.3">
      <c r="A359" s="4" t="s">
        <v>1041</v>
      </c>
      <c r="B359" s="5" t="s">
        <v>1042</v>
      </c>
      <c r="C359" s="21" t="s">
        <v>1043</v>
      </c>
      <c r="D359" s="20"/>
      <c r="E359" s="4">
        <v>1001956</v>
      </c>
      <c r="F359" s="4" t="s">
        <v>44</v>
      </c>
      <c r="G359" s="4" t="s">
        <v>45</v>
      </c>
      <c r="H359" s="4" t="s">
        <v>61</v>
      </c>
      <c r="I359" s="4" t="s">
        <v>57</v>
      </c>
      <c r="J359" s="4" t="s">
        <v>47</v>
      </c>
      <c r="K359" s="4">
        <v>14.4</v>
      </c>
      <c r="L359" s="4">
        <v>24</v>
      </c>
      <c r="M359" s="5">
        <v>72</v>
      </c>
      <c r="N359" s="5">
        <v>144</v>
      </c>
      <c r="O359" s="5">
        <v>0</v>
      </c>
      <c r="P359" s="5">
        <v>0</v>
      </c>
      <c r="Q359" s="5">
        <v>72</v>
      </c>
      <c r="R359" s="5">
        <v>144</v>
      </c>
      <c r="S359" s="5">
        <v>0</v>
      </c>
      <c r="T359" s="5">
        <v>0</v>
      </c>
      <c r="U359" s="5">
        <v>144</v>
      </c>
      <c r="V359" s="5">
        <v>72</v>
      </c>
      <c r="W359" s="5">
        <v>72</v>
      </c>
      <c r="X359" s="5">
        <v>0</v>
      </c>
      <c r="Z359" t="e">
        <f>VLOOKUP(E359,Sheet2!$A$1:$A$39,1,0)</f>
        <v>#N/A</v>
      </c>
      <c r="AA359">
        <f>VLOOKUP($E359,[1]Sheet1!$E$10:$X$629,AA$9,0)</f>
        <v>144</v>
      </c>
      <c r="AB359">
        <f>VLOOKUP($E359,[1]Sheet1!$E$10:$X$629,AB$9,0)</f>
        <v>0</v>
      </c>
      <c r="AC359">
        <f>VLOOKUP($E359,[1]Sheet1!$E$10:$X$629,AC$9,0)</f>
        <v>216</v>
      </c>
      <c r="AD359">
        <f>VLOOKUP($E359,[1]Sheet1!$E$10:$X$629,AD$9,0)</f>
        <v>0</v>
      </c>
      <c r="AE359">
        <f>VLOOKUP($E359,[1]Sheet1!$E$10:$X$629,AE$9,0)</f>
        <v>72</v>
      </c>
      <c r="AF359">
        <f>VLOOKUP($E359,[1]Sheet1!$E$10:$X$629,AF$9,0)</f>
        <v>216</v>
      </c>
      <c r="AG359">
        <f>VLOOKUP($E359,[1]Sheet1!$E$10:$X$629,AG$9,0)</f>
        <v>72</v>
      </c>
      <c r="AH359">
        <f>VLOOKUP($E359,[1]Sheet1!$E$10:$X$629,AH$9,0)</f>
        <v>72</v>
      </c>
      <c r="AJ359">
        <f t="shared" si="19"/>
        <v>432</v>
      </c>
      <c r="AK359">
        <f t="shared" si="20"/>
        <v>792</v>
      </c>
      <c r="AL359">
        <f t="shared" si="21"/>
        <v>-360</v>
      </c>
    </row>
    <row r="360" spans="1:38" ht="39.6" x14ac:dyDescent="0.3">
      <c r="A360" s="4" t="s">
        <v>1044</v>
      </c>
      <c r="B360" s="5" t="s">
        <v>1045</v>
      </c>
      <c r="C360" s="21" t="s">
        <v>1046</v>
      </c>
      <c r="D360" s="20"/>
      <c r="E360" s="4">
        <v>1001961</v>
      </c>
      <c r="F360" s="4" t="s">
        <v>44</v>
      </c>
      <c r="G360" s="4" t="s">
        <v>45</v>
      </c>
      <c r="H360" s="4" t="s">
        <v>61</v>
      </c>
      <c r="I360" s="4" t="s">
        <v>57</v>
      </c>
      <c r="J360" s="4" t="s">
        <v>47</v>
      </c>
      <c r="K360" s="4">
        <v>14.4</v>
      </c>
      <c r="L360" s="4">
        <v>24</v>
      </c>
      <c r="M360" s="5">
        <v>72</v>
      </c>
      <c r="N360" s="5">
        <v>216</v>
      </c>
      <c r="O360" s="5">
        <v>0</v>
      </c>
      <c r="P360" s="5">
        <v>144</v>
      </c>
      <c r="Q360" s="5">
        <v>72</v>
      </c>
      <c r="R360" s="5">
        <v>144</v>
      </c>
      <c r="S360" s="5">
        <v>72</v>
      </c>
      <c r="T360" s="5">
        <v>144</v>
      </c>
      <c r="U360" s="5">
        <v>72</v>
      </c>
      <c r="V360" s="5">
        <v>72</v>
      </c>
      <c r="W360" s="5">
        <v>216</v>
      </c>
      <c r="X360" s="5">
        <v>72</v>
      </c>
      <c r="Z360" t="e">
        <f>VLOOKUP(E360,Sheet2!$A$1:$A$39,1,0)</f>
        <v>#N/A</v>
      </c>
      <c r="AA360">
        <f>VLOOKUP($E360,[1]Sheet1!$E$10:$X$629,AA$9,0)</f>
        <v>144</v>
      </c>
      <c r="AB360">
        <f>VLOOKUP($E360,[1]Sheet1!$E$10:$X$629,AB$9,0)</f>
        <v>288</v>
      </c>
      <c r="AC360">
        <f>VLOOKUP($E360,[1]Sheet1!$E$10:$X$629,AC$9,0)</f>
        <v>72</v>
      </c>
      <c r="AD360">
        <f>VLOOKUP($E360,[1]Sheet1!$E$10:$X$629,AD$9,0)</f>
        <v>216</v>
      </c>
      <c r="AE360">
        <f>VLOOKUP($E360,[1]Sheet1!$E$10:$X$629,AE$9,0)</f>
        <v>72</v>
      </c>
      <c r="AF360">
        <f>VLOOKUP($E360,[1]Sheet1!$E$10:$X$629,AF$9,0)</f>
        <v>216</v>
      </c>
      <c r="AG360">
        <f>VLOOKUP($E360,[1]Sheet1!$E$10:$X$629,AG$9,0)</f>
        <v>216</v>
      </c>
      <c r="AH360">
        <f>VLOOKUP($E360,[1]Sheet1!$E$10:$X$629,AH$9,0)</f>
        <v>144</v>
      </c>
      <c r="AJ360">
        <f t="shared" si="19"/>
        <v>864</v>
      </c>
      <c r="AK360">
        <f t="shared" si="20"/>
        <v>1368</v>
      </c>
      <c r="AL360">
        <f t="shared" si="21"/>
        <v>-504</v>
      </c>
    </row>
    <row r="361" spans="1:38" ht="39.6" x14ac:dyDescent="0.3">
      <c r="A361" s="4" t="s">
        <v>1047</v>
      </c>
      <c r="B361" s="5" t="s">
        <v>1048</v>
      </c>
      <c r="C361" s="21" t="s">
        <v>1049</v>
      </c>
      <c r="D361" s="20"/>
      <c r="E361" s="4">
        <v>1001962</v>
      </c>
      <c r="F361" s="4" t="s">
        <v>44</v>
      </c>
      <c r="G361" s="4" t="s">
        <v>45</v>
      </c>
      <c r="H361" s="4" t="s">
        <v>61</v>
      </c>
      <c r="I361" s="4" t="s">
        <v>57</v>
      </c>
      <c r="J361" s="4" t="s">
        <v>47</v>
      </c>
      <c r="K361" s="4">
        <v>14.4</v>
      </c>
      <c r="L361" s="4">
        <v>24</v>
      </c>
      <c r="M361" s="5">
        <v>72</v>
      </c>
      <c r="N361" s="5">
        <v>144</v>
      </c>
      <c r="O361" s="5">
        <v>216</v>
      </c>
      <c r="P361" s="5">
        <v>144</v>
      </c>
      <c r="Q361" s="5">
        <v>144</v>
      </c>
      <c r="R361" s="5">
        <v>72</v>
      </c>
      <c r="S361" s="5">
        <v>288</v>
      </c>
      <c r="T361" s="5">
        <v>144</v>
      </c>
      <c r="U361" s="5">
        <v>216</v>
      </c>
      <c r="V361" s="5">
        <v>72</v>
      </c>
      <c r="W361" s="5">
        <v>216</v>
      </c>
      <c r="X361" s="5">
        <v>144</v>
      </c>
      <c r="Z361" t="e">
        <f>VLOOKUP(E361,Sheet2!$A$1:$A$39,1,0)</f>
        <v>#N/A</v>
      </c>
      <c r="AA361">
        <f>VLOOKUP($E361,[1]Sheet1!$E$10:$X$629,AA$9,0)</f>
        <v>216</v>
      </c>
      <c r="AB361">
        <f>VLOOKUP($E361,[1]Sheet1!$E$10:$X$629,AB$9,0)</f>
        <v>216</v>
      </c>
      <c r="AC361">
        <f>VLOOKUP($E361,[1]Sheet1!$E$10:$X$629,AC$9,0)</f>
        <v>288</v>
      </c>
      <c r="AD361">
        <f>VLOOKUP($E361,[1]Sheet1!$E$10:$X$629,AD$9,0)</f>
        <v>216</v>
      </c>
      <c r="AE361">
        <f>VLOOKUP($E361,[1]Sheet1!$E$10:$X$629,AE$9,0)</f>
        <v>144</v>
      </c>
      <c r="AF361">
        <f>VLOOKUP($E361,[1]Sheet1!$E$10:$X$629,AF$9,0)</f>
        <v>288</v>
      </c>
      <c r="AG361">
        <f>VLOOKUP($E361,[1]Sheet1!$E$10:$X$629,AG$9,0)</f>
        <v>216</v>
      </c>
      <c r="AH361">
        <f>VLOOKUP($E361,[1]Sheet1!$E$10:$X$629,AH$9,0)</f>
        <v>144</v>
      </c>
      <c r="AJ361">
        <f t="shared" si="19"/>
        <v>1224</v>
      </c>
      <c r="AK361">
        <f t="shared" si="20"/>
        <v>1728</v>
      </c>
      <c r="AL361">
        <f t="shared" si="21"/>
        <v>-504</v>
      </c>
    </row>
    <row r="362" spans="1:38" ht="39.6" x14ac:dyDescent="0.3">
      <c r="A362" s="4" t="s">
        <v>1050</v>
      </c>
      <c r="B362" s="5" t="s">
        <v>1051</v>
      </c>
      <c r="C362" s="21" t="s">
        <v>1052</v>
      </c>
      <c r="D362" s="20"/>
      <c r="E362" s="4">
        <v>1001963</v>
      </c>
      <c r="F362" s="4" t="s">
        <v>44</v>
      </c>
      <c r="G362" s="4" t="s">
        <v>45</v>
      </c>
      <c r="H362" s="4" t="s">
        <v>61</v>
      </c>
      <c r="I362" s="4" t="s">
        <v>57</v>
      </c>
      <c r="J362" s="4" t="s">
        <v>47</v>
      </c>
      <c r="K362" s="4">
        <v>14.4</v>
      </c>
      <c r="L362" s="4">
        <v>24</v>
      </c>
      <c r="M362" s="5">
        <v>216</v>
      </c>
      <c r="N362" s="5">
        <v>72</v>
      </c>
      <c r="O362" s="5">
        <v>0</v>
      </c>
      <c r="P362" s="5">
        <v>72</v>
      </c>
      <c r="Q362" s="5">
        <v>0</v>
      </c>
      <c r="R362" s="5">
        <v>72</v>
      </c>
      <c r="S362" s="5">
        <v>72</v>
      </c>
      <c r="T362" s="5">
        <v>0</v>
      </c>
      <c r="U362" s="5">
        <v>72</v>
      </c>
      <c r="V362" s="5">
        <v>144</v>
      </c>
      <c r="W362" s="5">
        <v>72</v>
      </c>
      <c r="X362" s="5">
        <v>72</v>
      </c>
      <c r="Z362" t="e">
        <f>VLOOKUP(E362,Sheet2!$A$1:$A$39,1,0)</f>
        <v>#N/A</v>
      </c>
      <c r="AA362">
        <f>VLOOKUP($E362,[1]Sheet1!$E$10:$X$629,AA$9,0)</f>
        <v>72</v>
      </c>
      <c r="AB362">
        <f>VLOOKUP($E362,[1]Sheet1!$E$10:$X$629,AB$9,0)</f>
        <v>72</v>
      </c>
      <c r="AC362">
        <f>VLOOKUP($E362,[1]Sheet1!$E$10:$X$629,AC$9,0)</f>
        <v>216</v>
      </c>
      <c r="AD362">
        <f>VLOOKUP($E362,[1]Sheet1!$E$10:$X$629,AD$9,0)</f>
        <v>72</v>
      </c>
      <c r="AE362">
        <f>VLOOKUP($E362,[1]Sheet1!$E$10:$X$629,AE$9,0)</f>
        <v>216</v>
      </c>
      <c r="AF362">
        <f>VLOOKUP($E362,[1]Sheet1!$E$10:$X$629,AF$9,0)</f>
        <v>72</v>
      </c>
      <c r="AG362">
        <f>VLOOKUP($E362,[1]Sheet1!$E$10:$X$629,AG$9,0)</f>
        <v>72</v>
      </c>
      <c r="AH362">
        <f>VLOOKUP($E362,[1]Sheet1!$E$10:$X$629,AH$9,0)</f>
        <v>144</v>
      </c>
      <c r="AJ362">
        <f t="shared" si="19"/>
        <v>504</v>
      </c>
      <c r="AK362">
        <f t="shared" si="20"/>
        <v>936</v>
      </c>
      <c r="AL362">
        <f t="shared" si="21"/>
        <v>-432</v>
      </c>
    </row>
    <row r="363" spans="1:38" ht="39.6" x14ac:dyDescent="0.3">
      <c r="A363" s="4" t="s">
        <v>1053</v>
      </c>
      <c r="B363" s="5" t="s">
        <v>1054</v>
      </c>
      <c r="C363" s="21" t="s">
        <v>1055</v>
      </c>
      <c r="D363" s="20"/>
      <c r="E363" s="4">
        <v>1002018</v>
      </c>
      <c r="F363" s="4" t="s">
        <v>44</v>
      </c>
      <c r="G363" s="4" t="s">
        <v>45</v>
      </c>
      <c r="H363" s="4" t="s">
        <v>61</v>
      </c>
      <c r="I363" s="4" t="s">
        <v>57</v>
      </c>
      <c r="J363" s="4" t="s">
        <v>47</v>
      </c>
      <c r="K363" s="4">
        <v>14.4</v>
      </c>
      <c r="L363" s="4">
        <v>24</v>
      </c>
      <c r="M363" s="5">
        <v>216</v>
      </c>
      <c r="N363" s="5">
        <v>288</v>
      </c>
      <c r="O363" s="5">
        <v>72</v>
      </c>
      <c r="P363" s="5">
        <v>144</v>
      </c>
      <c r="Q363" s="5">
        <v>216</v>
      </c>
      <c r="R363" s="5">
        <v>144</v>
      </c>
      <c r="S363" s="5">
        <v>216</v>
      </c>
      <c r="T363" s="5">
        <v>216</v>
      </c>
      <c r="U363" s="5">
        <v>144</v>
      </c>
      <c r="V363" s="5">
        <v>216</v>
      </c>
      <c r="W363" s="5">
        <v>288</v>
      </c>
      <c r="X363" s="5">
        <v>144</v>
      </c>
      <c r="Z363" t="e">
        <f>VLOOKUP(E363,Sheet2!$A$1:$A$39,1,0)</f>
        <v>#N/A</v>
      </c>
      <c r="AA363">
        <f>VLOOKUP($E363,[1]Sheet1!$E$10:$X$629,AA$9,0)</f>
        <v>288</v>
      </c>
      <c r="AB363">
        <f>VLOOKUP($E363,[1]Sheet1!$E$10:$X$629,AB$9,0)</f>
        <v>216</v>
      </c>
      <c r="AC363">
        <f>VLOOKUP($E363,[1]Sheet1!$E$10:$X$629,AC$9,0)</f>
        <v>288</v>
      </c>
      <c r="AD363">
        <f>VLOOKUP($E363,[1]Sheet1!$E$10:$X$629,AD$9,0)</f>
        <v>144</v>
      </c>
      <c r="AE363">
        <f>VLOOKUP($E363,[1]Sheet1!$E$10:$X$629,AE$9,0)</f>
        <v>288</v>
      </c>
      <c r="AF363">
        <f>VLOOKUP($E363,[1]Sheet1!$E$10:$X$629,AF$9,0)</f>
        <v>432</v>
      </c>
      <c r="AG363">
        <f>VLOOKUP($E363,[1]Sheet1!$E$10:$X$629,AG$9,0)</f>
        <v>144</v>
      </c>
      <c r="AH363">
        <f>VLOOKUP($E363,[1]Sheet1!$E$10:$X$629,AH$9,0)</f>
        <v>72</v>
      </c>
      <c r="AJ363">
        <f t="shared" si="19"/>
        <v>1512</v>
      </c>
      <c r="AK363">
        <f t="shared" si="20"/>
        <v>1872</v>
      </c>
      <c r="AL363">
        <f t="shared" si="21"/>
        <v>-360</v>
      </c>
    </row>
    <row r="364" spans="1:38" ht="39.6" x14ac:dyDescent="0.3">
      <c r="A364" s="4" t="s">
        <v>1056</v>
      </c>
      <c r="B364" s="5" t="s">
        <v>1057</v>
      </c>
      <c r="C364" s="21" t="s">
        <v>1058</v>
      </c>
      <c r="D364" s="20"/>
      <c r="E364" s="4">
        <v>1001872</v>
      </c>
      <c r="F364" s="4" t="s">
        <v>44</v>
      </c>
      <c r="G364" s="4" t="s">
        <v>45</v>
      </c>
      <c r="H364" s="4" t="s">
        <v>61</v>
      </c>
      <c r="I364" s="4" t="s">
        <v>57</v>
      </c>
      <c r="J364" s="4" t="s">
        <v>47</v>
      </c>
      <c r="K364" s="4">
        <v>14.4</v>
      </c>
      <c r="L364" s="4">
        <v>24</v>
      </c>
      <c r="M364" s="5">
        <v>0</v>
      </c>
      <c r="N364" s="5">
        <v>144</v>
      </c>
      <c r="O364" s="5">
        <v>72</v>
      </c>
      <c r="P364" s="5">
        <v>72</v>
      </c>
      <c r="Q364" s="5">
        <v>144</v>
      </c>
      <c r="R364" s="5">
        <v>144</v>
      </c>
      <c r="S364" s="5">
        <v>0</v>
      </c>
      <c r="T364" s="5">
        <v>144</v>
      </c>
      <c r="U364" s="5">
        <v>72</v>
      </c>
      <c r="V364" s="5">
        <v>288</v>
      </c>
      <c r="W364" s="5">
        <v>0</v>
      </c>
      <c r="X364" s="5">
        <v>72</v>
      </c>
      <c r="Z364" t="e">
        <f>VLOOKUP(E364,Sheet2!$A$1:$A$39,1,0)</f>
        <v>#N/A</v>
      </c>
      <c r="AA364">
        <f>VLOOKUP($E364,[1]Sheet1!$E$10:$X$629,AA$9,0)</f>
        <v>144</v>
      </c>
      <c r="AB364">
        <f>VLOOKUP($E364,[1]Sheet1!$E$10:$X$629,AB$9,0)</f>
        <v>144</v>
      </c>
      <c r="AC364">
        <f>VLOOKUP($E364,[1]Sheet1!$E$10:$X$629,AC$9,0)</f>
        <v>144</v>
      </c>
      <c r="AD364">
        <f>VLOOKUP($E364,[1]Sheet1!$E$10:$X$629,AD$9,0)</f>
        <v>216</v>
      </c>
      <c r="AE364">
        <f>VLOOKUP($E364,[1]Sheet1!$E$10:$X$629,AE$9,0)</f>
        <v>144</v>
      </c>
      <c r="AF364">
        <f>VLOOKUP($E364,[1]Sheet1!$E$10:$X$629,AF$9,0)</f>
        <v>216</v>
      </c>
      <c r="AG364">
        <f>VLOOKUP($E364,[1]Sheet1!$E$10:$X$629,AG$9,0)</f>
        <v>72</v>
      </c>
      <c r="AH364">
        <f>VLOOKUP($E364,[1]Sheet1!$E$10:$X$629,AH$9,0)</f>
        <v>0</v>
      </c>
      <c r="AJ364">
        <f t="shared" si="19"/>
        <v>720</v>
      </c>
      <c r="AK364">
        <f t="shared" si="20"/>
        <v>1080</v>
      </c>
      <c r="AL364">
        <f t="shared" si="21"/>
        <v>-360</v>
      </c>
    </row>
    <row r="365" spans="1:38" ht="39.6" x14ac:dyDescent="0.3">
      <c r="A365" s="4" t="s">
        <v>1059</v>
      </c>
      <c r="B365" s="5" t="s">
        <v>1060</v>
      </c>
      <c r="C365" s="21" t="s">
        <v>1061</v>
      </c>
      <c r="D365" s="20"/>
      <c r="E365" s="4">
        <v>1001869</v>
      </c>
      <c r="F365" s="4" t="s">
        <v>44</v>
      </c>
      <c r="G365" s="4" t="s">
        <v>45</v>
      </c>
      <c r="H365" s="4" t="s">
        <v>61</v>
      </c>
      <c r="I365" s="4" t="s">
        <v>57</v>
      </c>
      <c r="J365" s="4" t="s">
        <v>47</v>
      </c>
      <c r="K365" s="4">
        <v>14.4</v>
      </c>
      <c r="L365" s="4">
        <v>24</v>
      </c>
      <c r="M365" s="5">
        <v>0</v>
      </c>
      <c r="N365" s="5">
        <v>144</v>
      </c>
      <c r="O365" s="5">
        <v>72</v>
      </c>
      <c r="P365" s="5">
        <v>144</v>
      </c>
      <c r="Q365" s="5">
        <v>72</v>
      </c>
      <c r="R365" s="5">
        <v>72</v>
      </c>
      <c r="S365" s="5">
        <v>216</v>
      </c>
      <c r="T365" s="5">
        <v>72</v>
      </c>
      <c r="U365" s="5">
        <v>144</v>
      </c>
      <c r="V365" s="5">
        <v>72</v>
      </c>
      <c r="W365" s="5">
        <v>144</v>
      </c>
      <c r="X365" s="5">
        <v>144</v>
      </c>
      <c r="Z365" t="e">
        <f>VLOOKUP(E365,Sheet2!$A$1:$A$39,1,0)</f>
        <v>#N/A</v>
      </c>
      <c r="AA365">
        <f>VLOOKUP($E365,[1]Sheet1!$E$10:$X$629,AA$9,0)</f>
        <v>288</v>
      </c>
      <c r="AB365">
        <f>VLOOKUP($E365,[1]Sheet1!$E$10:$X$629,AB$9,0)</f>
        <v>144</v>
      </c>
      <c r="AC365">
        <f>VLOOKUP($E365,[1]Sheet1!$E$10:$X$629,AC$9,0)</f>
        <v>216</v>
      </c>
      <c r="AD365">
        <f>VLOOKUP($E365,[1]Sheet1!$E$10:$X$629,AD$9,0)</f>
        <v>144</v>
      </c>
      <c r="AE365">
        <f>VLOOKUP($E365,[1]Sheet1!$E$10:$X$629,AE$9,0)</f>
        <v>216</v>
      </c>
      <c r="AF365">
        <f>VLOOKUP($E365,[1]Sheet1!$E$10:$X$629,AF$9,0)</f>
        <v>216</v>
      </c>
      <c r="AG365">
        <f>VLOOKUP($E365,[1]Sheet1!$E$10:$X$629,AG$9,0)</f>
        <v>144</v>
      </c>
      <c r="AH365">
        <f>VLOOKUP($E365,[1]Sheet1!$E$10:$X$629,AH$9,0)</f>
        <v>144</v>
      </c>
      <c r="AJ365">
        <f t="shared" si="19"/>
        <v>792</v>
      </c>
      <c r="AK365">
        <f t="shared" si="20"/>
        <v>1512</v>
      </c>
      <c r="AL365">
        <f t="shared" si="21"/>
        <v>-720</v>
      </c>
    </row>
    <row r="366" spans="1:38" ht="39.6" x14ac:dyDescent="0.3">
      <c r="A366" s="4" t="s">
        <v>1062</v>
      </c>
      <c r="B366" s="5" t="s">
        <v>1063</v>
      </c>
      <c r="C366" s="21" t="s">
        <v>1064</v>
      </c>
      <c r="D366" s="20"/>
      <c r="E366" s="4">
        <v>1001870</v>
      </c>
      <c r="F366" s="4" t="s">
        <v>44</v>
      </c>
      <c r="G366" s="4" t="s">
        <v>45</v>
      </c>
      <c r="H366" s="4" t="s">
        <v>61</v>
      </c>
      <c r="I366" s="4" t="s">
        <v>57</v>
      </c>
      <c r="J366" s="4" t="s">
        <v>47</v>
      </c>
      <c r="K366" s="4">
        <v>14.4</v>
      </c>
      <c r="L366" s="4">
        <v>24</v>
      </c>
      <c r="M366" s="5">
        <v>72</v>
      </c>
      <c r="N366" s="5">
        <v>144</v>
      </c>
      <c r="O366" s="5">
        <v>216</v>
      </c>
      <c r="P366" s="5">
        <v>144</v>
      </c>
      <c r="Q366" s="5">
        <v>72</v>
      </c>
      <c r="R366" s="5">
        <v>144</v>
      </c>
      <c r="S366" s="5">
        <v>216</v>
      </c>
      <c r="T366" s="5">
        <v>0</v>
      </c>
      <c r="U366" s="5">
        <v>216</v>
      </c>
      <c r="V366" s="5">
        <v>72</v>
      </c>
      <c r="W366" s="5">
        <v>288</v>
      </c>
      <c r="X366" s="5">
        <v>0</v>
      </c>
      <c r="Z366" t="e">
        <f>VLOOKUP(E366,Sheet2!$A$1:$A$39,1,0)</f>
        <v>#N/A</v>
      </c>
      <c r="AA366">
        <f>VLOOKUP($E366,[1]Sheet1!$E$10:$X$629,AA$9,0)</f>
        <v>216</v>
      </c>
      <c r="AB366">
        <f>VLOOKUP($E366,[1]Sheet1!$E$10:$X$629,AB$9,0)</f>
        <v>216</v>
      </c>
      <c r="AC366">
        <f>VLOOKUP($E366,[1]Sheet1!$E$10:$X$629,AC$9,0)</f>
        <v>144</v>
      </c>
      <c r="AD366">
        <f>VLOOKUP($E366,[1]Sheet1!$E$10:$X$629,AD$9,0)</f>
        <v>216</v>
      </c>
      <c r="AE366">
        <f>VLOOKUP($E366,[1]Sheet1!$E$10:$X$629,AE$9,0)</f>
        <v>144</v>
      </c>
      <c r="AF366">
        <f>VLOOKUP($E366,[1]Sheet1!$E$10:$X$629,AF$9,0)</f>
        <v>288</v>
      </c>
      <c r="AG366">
        <f>VLOOKUP($E366,[1]Sheet1!$E$10:$X$629,AG$9,0)</f>
        <v>288</v>
      </c>
      <c r="AH366">
        <f>VLOOKUP($E366,[1]Sheet1!$E$10:$X$629,AH$9,0)</f>
        <v>0</v>
      </c>
      <c r="AJ366">
        <f t="shared" si="19"/>
        <v>1008</v>
      </c>
      <c r="AK366">
        <f t="shared" si="20"/>
        <v>1512</v>
      </c>
      <c r="AL366">
        <f t="shared" si="21"/>
        <v>-504</v>
      </c>
    </row>
    <row r="367" spans="1:38" ht="39.6" x14ac:dyDescent="0.3">
      <c r="A367" s="4" t="s">
        <v>1065</v>
      </c>
      <c r="B367" s="5" t="s">
        <v>1066</v>
      </c>
      <c r="C367" s="21" t="s">
        <v>1067</v>
      </c>
      <c r="D367" s="20"/>
      <c r="E367" s="4">
        <v>1001871</v>
      </c>
      <c r="F367" s="4" t="s">
        <v>44</v>
      </c>
      <c r="G367" s="4" t="s">
        <v>45</v>
      </c>
      <c r="H367" s="4" t="s">
        <v>61</v>
      </c>
      <c r="I367" s="4" t="s">
        <v>57</v>
      </c>
      <c r="J367" s="4" t="s">
        <v>47</v>
      </c>
      <c r="K367" s="4">
        <v>14.4</v>
      </c>
      <c r="L367" s="4">
        <v>24</v>
      </c>
      <c r="M367" s="5">
        <v>144</v>
      </c>
      <c r="N367" s="5">
        <v>0</v>
      </c>
      <c r="O367" s="5">
        <v>288</v>
      </c>
      <c r="P367" s="5">
        <v>0</v>
      </c>
      <c r="Q367" s="5">
        <v>144</v>
      </c>
      <c r="R367" s="5">
        <v>72</v>
      </c>
      <c r="S367" s="5">
        <v>144</v>
      </c>
      <c r="T367" s="5">
        <v>144</v>
      </c>
      <c r="U367" s="5">
        <v>72</v>
      </c>
      <c r="V367" s="5">
        <v>144</v>
      </c>
      <c r="W367" s="5">
        <v>144</v>
      </c>
      <c r="X367" s="5">
        <v>72</v>
      </c>
      <c r="Z367" t="e">
        <f>VLOOKUP(E367,Sheet2!$A$1:$A$39,1,0)</f>
        <v>#N/A</v>
      </c>
      <c r="AA367">
        <f>VLOOKUP($E367,[1]Sheet1!$E$10:$X$629,AA$9,0)</f>
        <v>216</v>
      </c>
      <c r="AB367">
        <f>VLOOKUP($E367,[1]Sheet1!$E$10:$X$629,AB$9,0)</f>
        <v>72</v>
      </c>
      <c r="AC367">
        <f>VLOOKUP($E367,[1]Sheet1!$E$10:$X$629,AC$9,0)</f>
        <v>216</v>
      </c>
      <c r="AD367">
        <f>VLOOKUP($E367,[1]Sheet1!$E$10:$X$629,AD$9,0)</f>
        <v>144</v>
      </c>
      <c r="AE367">
        <f>VLOOKUP($E367,[1]Sheet1!$E$10:$X$629,AE$9,0)</f>
        <v>144</v>
      </c>
      <c r="AF367">
        <f>VLOOKUP($E367,[1]Sheet1!$E$10:$X$629,AF$9,0)</f>
        <v>144</v>
      </c>
      <c r="AG367">
        <f>VLOOKUP($E367,[1]Sheet1!$E$10:$X$629,AG$9,0)</f>
        <v>216</v>
      </c>
      <c r="AH367">
        <f>VLOOKUP($E367,[1]Sheet1!$E$10:$X$629,AH$9,0)</f>
        <v>72</v>
      </c>
      <c r="AJ367">
        <f t="shared" si="19"/>
        <v>936</v>
      </c>
      <c r="AK367">
        <f t="shared" si="20"/>
        <v>1224</v>
      </c>
      <c r="AL367">
        <f t="shared" si="21"/>
        <v>-288</v>
      </c>
    </row>
    <row r="368" spans="1:38" ht="39.6" x14ac:dyDescent="0.3">
      <c r="A368" s="4" t="s">
        <v>1068</v>
      </c>
      <c r="B368" s="5" t="s">
        <v>1069</v>
      </c>
      <c r="C368" s="21" t="s">
        <v>1070</v>
      </c>
      <c r="D368" s="20"/>
      <c r="E368" s="4">
        <v>1001873</v>
      </c>
      <c r="F368" s="4" t="s">
        <v>44</v>
      </c>
      <c r="G368" s="4" t="s">
        <v>45</v>
      </c>
      <c r="H368" s="4" t="s">
        <v>61</v>
      </c>
      <c r="I368" s="4" t="s">
        <v>57</v>
      </c>
      <c r="J368" s="4" t="s">
        <v>47</v>
      </c>
      <c r="K368" s="4">
        <v>14.4</v>
      </c>
      <c r="L368" s="4">
        <v>24</v>
      </c>
      <c r="M368" s="5">
        <v>144</v>
      </c>
      <c r="N368" s="5">
        <v>0</v>
      </c>
      <c r="O368" s="5">
        <v>0</v>
      </c>
      <c r="P368" s="5">
        <v>216</v>
      </c>
      <c r="Q368" s="5">
        <v>72</v>
      </c>
      <c r="R368" s="5">
        <v>0</v>
      </c>
      <c r="S368" s="5">
        <v>216</v>
      </c>
      <c r="T368" s="5">
        <v>0</v>
      </c>
      <c r="U368" s="5">
        <v>144</v>
      </c>
      <c r="V368" s="5">
        <v>144</v>
      </c>
      <c r="W368" s="5">
        <v>0</v>
      </c>
      <c r="X368" s="5">
        <v>216</v>
      </c>
      <c r="Z368" t="e">
        <f>VLOOKUP(E368,Sheet2!$A$1:$A$39,1,0)</f>
        <v>#N/A</v>
      </c>
      <c r="AA368">
        <f>VLOOKUP($E368,[1]Sheet1!$E$10:$X$629,AA$9,0)</f>
        <v>144</v>
      </c>
      <c r="AB368">
        <f>VLOOKUP($E368,[1]Sheet1!$E$10:$X$629,AB$9,0)</f>
        <v>72</v>
      </c>
      <c r="AC368">
        <f>VLOOKUP($E368,[1]Sheet1!$E$10:$X$629,AC$9,0)</f>
        <v>144</v>
      </c>
      <c r="AD368">
        <f>VLOOKUP($E368,[1]Sheet1!$E$10:$X$629,AD$9,0)</f>
        <v>72</v>
      </c>
      <c r="AE368">
        <f>VLOOKUP($E368,[1]Sheet1!$E$10:$X$629,AE$9,0)</f>
        <v>216</v>
      </c>
      <c r="AF368">
        <f>VLOOKUP($E368,[1]Sheet1!$E$10:$X$629,AF$9,0)</f>
        <v>72</v>
      </c>
      <c r="AG368">
        <f>VLOOKUP($E368,[1]Sheet1!$E$10:$X$629,AG$9,0)</f>
        <v>72</v>
      </c>
      <c r="AH368">
        <f>VLOOKUP($E368,[1]Sheet1!$E$10:$X$629,AH$9,0)</f>
        <v>216</v>
      </c>
      <c r="AJ368">
        <f t="shared" si="19"/>
        <v>648</v>
      </c>
      <c r="AK368">
        <f t="shared" si="20"/>
        <v>1008</v>
      </c>
      <c r="AL368">
        <f t="shared" si="21"/>
        <v>-360</v>
      </c>
    </row>
    <row r="369" spans="1:38" ht="39.6" x14ac:dyDescent="0.3">
      <c r="A369" s="4" t="s">
        <v>1071</v>
      </c>
      <c r="B369" s="5" t="s">
        <v>1072</v>
      </c>
      <c r="C369" s="21" t="s">
        <v>1073</v>
      </c>
      <c r="D369" s="20"/>
      <c r="E369" s="4">
        <v>1001874</v>
      </c>
      <c r="F369" s="4" t="s">
        <v>44</v>
      </c>
      <c r="G369" s="4" t="s">
        <v>45</v>
      </c>
      <c r="H369" s="4" t="s">
        <v>61</v>
      </c>
      <c r="I369" s="4" t="s">
        <v>57</v>
      </c>
      <c r="J369" s="4" t="s">
        <v>47</v>
      </c>
      <c r="K369" s="4">
        <v>14.4</v>
      </c>
      <c r="L369" s="4">
        <v>24</v>
      </c>
      <c r="M369" s="5">
        <v>72</v>
      </c>
      <c r="N369" s="5">
        <v>144</v>
      </c>
      <c r="O369" s="5">
        <v>144</v>
      </c>
      <c r="P369" s="5">
        <v>144</v>
      </c>
      <c r="Q369" s="5">
        <v>72</v>
      </c>
      <c r="R369" s="5">
        <v>144</v>
      </c>
      <c r="S369" s="5">
        <v>216</v>
      </c>
      <c r="T369" s="5">
        <v>216</v>
      </c>
      <c r="U369" s="5">
        <v>0</v>
      </c>
      <c r="V369" s="5">
        <v>216</v>
      </c>
      <c r="W369" s="5">
        <v>144</v>
      </c>
      <c r="X369" s="5">
        <v>216</v>
      </c>
      <c r="Z369" t="e">
        <f>VLOOKUP(E369,Sheet2!$A$1:$A$39,1,0)</f>
        <v>#N/A</v>
      </c>
      <c r="AA369">
        <f>VLOOKUP($E369,[1]Sheet1!$E$10:$X$629,AA$9,0)</f>
        <v>216</v>
      </c>
      <c r="AB369">
        <f>VLOOKUP($E369,[1]Sheet1!$E$10:$X$629,AB$9,0)</f>
        <v>72</v>
      </c>
      <c r="AC369">
        <f>VLOOKUP($E369,[1]Sheet1!$E$10:$X$629,AC$9,0)</f>
        <v>288</v>
      </c>
      <c r="AD369">
        <f>VLOOKUP($E369,[1]Sheet1!$E$10:$X$629,AD$9,0)</f>
        <v>144</v>
      </c>
      <c r="AE369">
        <f>VLOOKUP($E369,[1]Sheet1!$E$10:$X$629,AE$9,0)</f>
        <v>288</v>
      </c>
      <c r="AF369">
        <f>VLOOKUP($E369,[1]Sheet1!$E$10:$X$629,AF$9,0)</f>
        <v>216</v>
      </c>
      <c r="AG369">
        <f>VLOOKUP($E369,[1]Sheet1!$E$10:$X$629,AG$9,0)</f>
        <v>216</v>
      </c>
      <c r="AH369">
        <f>VLOOKUP($E369,[1]Sheet1!$E$10:$X$629,AH$9,0)</f>
        <v>144</v>
      </c>
      <c r="AJ369">
        <f t="shared" si="19"/>
        <v>1152</v>
      </c>
      <c r="AK369">
        <f t="shared" si="20"/>
        <v>1584</v>
      </c>
      <c r="AL369">
        <f t="shared" si="21"/>
        <v>-432</v>
      </c>
    </row>
    <row r="370" spans="1:38" ht="39.6" x14ac:dyDescent="0.3">
      <c r="A370" s="4" t="s">
        <v>1074</v>
      </c>
      <c r="B370" s="5" t="s">
        <v>1075</v>
      </c>
      <c r="C370" s="21" t="s">
        <v>1076</v>
      </c>
      <c r="D370" s="20"/>
      <c r="E370" s="4">
        <v>1001875</v>
      </c>
      <c r="F370" s="4" t="s">
        <v>44</v>
      </c>
      <c r="G370" s="4" t="s">
        <v>45</v>
      </c>
      <c r="H370" s="4" t="s">
        <v>61</v>
      </c>
      <c r="I370" s="4" t="s">
        <v>57</v>
      </c>
      <c r="J370" s="4" t="s">
        <v>47</v>
      </c>
      <c r="K370" s="4">
        <v>14.4</v>
      </c>
      <c r="L370" s="4">
        <v>24</v>
      </c>
      <c r="M370" s="5">
        <v>72</v>
      </c>
      <c r="N370" s="5">
        <v>144</v>
      </c>
      <c r="O370" s="5">
        <v>144</v>
      </c>
      <c r="P370" s="5">
        <v>216</v>
      </c>
      <c r="Q370" s="5">
        <v>72</v>
      </c>
      <c r="R370" s="5">
        <v>216</v>
      </c>
      <c r="S370" s="5">
        <v>72</v>
      </c>
      <c r="T370" s="5">
        <v>144</v>
      </c>
      <c r="U370" s="5">
        <v>216</v>
      </c>
      <c r="V370" s="5">
        <v>72</v>
      </c>
      <c r="W370" s="5">
        <v>216</v>
      </c>
      <c r="X370" s="5">
        <v>216</v>
      </c>
      <c r="Z370" t="e">
        <f>VLOOKUP(E370,Sheet2!$A$1:$A$39,1,0)</f>
        <v>#N/A</v>
      </c>
      <c r="AA370">
        <f>VLOOKUP($E370,[1]Sheet1!$E$10:$X$629,AA$9,0)</f>
        <v>72</v>
      </c>
      <c r="AB370">
        <f>VLOOKUP($E370,[1]Sheet1!$E$10:$X$629,AB$9,0)</f>
        <v>288</v>
      </c>
      <c r="AC370">
        <f>VLOOKUP($E370,[1]Sheet1!$E$10:$X$629,AC$9,0)</f>
        <v>216</v>
      </c>
      <c r="AD370">
        <f>VLOOKUP($E370,[1]Sheet1!$E$10:$X$629,AD$9,0)</f>
        <v>144</v>
      </c>
      <c r="AE370">
        <f>VLOOKUP($E370,[1]Sheet1!$E$10:$X$629,AE$9,0)</f>
        <v>216</v>
      </c>
      <c r="AF370">
        <f>VLOOKUP($E370,[1]Sheet1!$E$10:$X$629,AF$9,0)</f>
        <v>288</v>
      </c>
      <c r="AG370">
        <f>VLOOKUP($E370,[1]Sheet1!$E$10:$X$629,AG$9,0)</f>
        <v>144</v>
      </c>
      <c r="AH370">
        <f>VLOOKUP($E370,[1]Sheet1!$E$10:$X$629,AH$9,0)</f>
        <v>72</v>
      </c>
      <c r="AJ370">
        <f t="shared" si="19"/>
        <v>1080</v>
      </c>
      <c r="AK370">
        <f t="shared" si="20"/>
        <v>1440</v>
      </c>
      <c r="AL370">
        <f t="shared" si="21"/>
        <v>-360</v>
      </c>
    </row>
    <row r="371" spans="1:38" ht="39.6" x14ac:dyDescent="0.3">
      <c r="A371" s="4" t="s">
        <v>1077</v>
      </c>
      <c r="B371" s="5" t="s">
        <v>1078</v>
      </c>
      <c r="C371" s="21" t="s">
        <v>1079</v>
      </c>
      <c r="D371" s="20"/>
      <c r="E371" s="4">
        <v>1001861</v>
      </c>
      <c r="F371" s="4" t="s">
        <v>44</v>
      </c>
      <c r="G371" s="4" t="s">
        <v>45</v>
      </c>
      <c r="H371" s="4" t="s">
        <v>61</v>
      </c>
      <c r="I371" s="4" t="s">
        <v>57</v>
      </c>
      <c r="J371" s="4" t="s">
        <v>47</v>
      </c>
      <c r="K371" s="4">
        <v>14.4</v>
      </c>
      <c r="L371" s="4">
        <v>24</v>
      </c>
      <c r="M371" s="5">
        <v>216</v>
      </c>
      <c r="N371" s="5">
        <v>0</v>
      </c>
      <c r="O371" s="5">
        <v>144</v>
      </c>
      <c r="P371" s="5">
        <v>144</v>
      </c>
      <c r="Q371" s="5">
        <v>0</v>
      </c>
      <c r="R371" s="5">
        <v>72</v>
      </c>
      <c r="S371" s="5">
        <v>144</v>
      </c>
      <c r="T371" s="5">
        <v>72</v>
      </c>
      <c r="U371" s="5">
        <v>72</v>
      </c>
      <c r="V371" s="5">
        <v>216</v>
      </c>
      <c r="W371" s="5">
        <v>0</v>
      </c>
      <c r="X371" s="5">
        <v>144</v>
      </c>
      <c r="Z371" t="e">
        <f>VLOOKUP(E371,Sheet2!$A$1:$A$39,1,0)</f>
        <v>#N/A</v>
      </c>
      <c r="AA371">
        <f>VLOOKUP($E371,[1]Sheet1!$E$10:$X$629,AA$9,0)</f>
        <v>216</v>
      </c>
      <c r="AB371">
        <f>VLOOKUP($E371,[1]Sheet1!$E$10:$X$629,AB$9,0)</f>
        <v>144</v>
      </c>
      <c r="AC371">
        <f>VLOOKUP($E371,[1]Sheet1!$E$10:$X$629,AC$9,0)</f>
        <v>144</v>
      </c>
      <c r="AD371">
        <f>VLOOKUP($E371,[1]Sheet1!$E$10:$X$629,AD$9,0)</f>
        <v>72</v>
      </c>
      <c r="AE371">
        <f>VLOOKUP($E371,[1]Sheet1!$E$10:$X$629,AE$9,0)</f>
        <v>216</v>
      </c>
      <c r="AF371">
        <f>VLOOKUP($E371,[1]Sheet1!$E$10:$X$629,AF$9,0)</f>
        <v>288</v>
      </c>
      <c r="AG371">
        <f>VLOOKUP($E371,[1]Sheet1!$E$10:$X$629,AG$9,0)</f>
        <v>0</v>
      </c>
      <c r="AH371">
        <f>VLOOKUP($E371,[1]Sheet1!$E$10:$X$629,AH$9,0)</f>
        <v>144</v>
      </c>
      <c r="AJ371">
        <f t="shared" si="19"/>
        <v>792</v>
      </c>
      <c r="AK371">
        <f t="shared" si="20"/>
        <v>1224</v>
      </c>
      <c r="AL371">
        <f t="shared" si="21"/>
        <v>-432</v>
      </c>
    </row>
    <row r="372" spans="1:38" ht="39.6" x14ac:dyDescent="0.3">
      <c r="A372" s="4" t="s">
        <v>1080</v>
      </c>
      <c r="B372" s="5" t="s">
        <v>1081</v>
      </c>
      <c r="C372" s="21" t="s">
        <v>1082</v>
      </c>
      <c r="D372" s="20"/>
      <c r="E372" s="4">
        <v>1001876</v>
      </c>
      <c r="F372" s="4" t="s">
        <v>44</v>
      </c>
      <c r="G372" s="4" t="s">
        <v>45</v>
      </c>
      <c r="H372" s="4" t="s">
        <v>61</v>
      </c>
      <c r="I372" s="4" t="s">
        <v>57</v>
      </c>
      <c r="J372" s="4" t="s">
        <v>47</v>
      </c>
      <c r="K372" s="4">
        <v>14.4</v>
      </c>
      <c r="L372" s="4">
        <v>24</v>
      </c>
      <c r="M372" s="5">
        <v>216</v>
      </c>
      <c r="N372" s="5">
        <v>0</v>
      </c>
      <c r="O372" s="5">
        <v>144</v>
      </c>
      <c r="P372" s="5">
        <v>72</v>
      </c>
      <c r="Q372" s="5">
        <v>72</v>
      </c>
      <c r="R372" s="5">
        <v>72</v>
      </c>
      <c r="S372" s="5">
        <v>144</v>
      </c>
      <c r="T372" s="5">
        <v>144</v>
      </c>
      <c r="U372" s="5">
        <v>0</v>
      </c>
      <c r="V372" s="5">
        <v>216</v>
      </c>
      <c r="W372" s="5">
        <v>144</v>
      </c>
      <c r="X372" s="5">
        <v>144</v>
      </c>
      <c r="Z372" t="e">
        <f>VLOOKUP(E372,Sheet2!$A$1:$A$39,1,0)</f>
        <v>#N/A</v>
      </c>
      <c r="AA372">
        <f>VLOOKUP($E372,[1]Sheet1!$E$10:$X$629,AA$9,0)</f>
        <v>216</v>
      </c>
      <c r="AB372">
        <f>VLOOKUP($E372,[1]Sheet1!$E$10:$X$629,AB$9,0)</f>
        <v>0</v>
      </c>
      <c r="AC372">
        <f>VLOOKUP($E372,[1]Sheet1!$E$10:$X$629,AC$9,0)</f>
        <v>216</v>
      </c>
      <c r="AD372">
        <f>VLOOKUP($E372,[1]Sheet1!$E$10:$X$629,AD$9,0)</f>
        <v>72</v>
      </c>
      <c r="AE372">
        <f>VLOOKUP($E372,[1]Sheet1!$E$10:$X$629,AE$9,0)</f>
        <v>144</v>
      </c>
      <c r="AF372">
        <f>VLOOKUP($E372,[1]Sheet1!$E$10:$X$629,AF$9,0)</f>
        <v>72</v>
      </c>
      <c r="AG372">
        <f>VLOOKUP($E372,[1]Sheet1!$E$10:$X$629,AG$9,0)</f>
        <v>144</v>
      </c>
      <c r="AH372">
        <f>VLOOKUP($E372,[1]Sheet1!$E$10:$X$629,AH$9,0)</f>
        <v>144</v>
      </c>
      <c r="AJ372">
        <f t="shared" si="19"/>
        <v>864</v>
      </c>
      <c r="AK372">
        <f t="shared" si="20"/>
        <v>1008</v>
      </c>
      <c r="AL372">
        <f t="shared" si="21"/>
        <v>-144</v>
      </c>
    </row>
    <row r="373" spans="1:38" ht="39.6" x14ac:dyDescent="0.3">
      <c r="A373" s="4" t="s">
        <v>1083</v>
      </c>
      <c r="B373" s="5" t="s">
        <v>1084</v>
      </c>
      <c r="C373" s="21" t="s">
        <v>1085</v>
      </c>
      <c r="D373" s="20"/>
      <c r="E373" s="4">
        <v>1001862</v>
      </c>
      <c r="F373" s="4" t="s">
        <v>44</v>
      </c>
      <c r="G373" s="4" t="s">
        <v>45</v>
      </c>
      <c r="H373" s="4" t="s">
        <v>61</v>
      </c>
      <c r="I373" s="4" t="s">
        <v>57</v>
      </c>
      <c r="J373" s="4" t="s">
        <v>47</v>
      </c>
      <c r="K373" s="4">
        <v>14.4</v>
      </c>
      <c r="L373" s="4">
        <v>24</v>
      </c>
      <c r="M373" s="5">
        <v>216</v>
      </c>
      <c r="N373" s="5">
        <v>216</v>
      </c>
      <c r="O373" s="5">
        <v>216</v>
      </c>
      <c r="P373" s="5">
        <v>216</v>
      </c>
      <c r="Q373" s="5">
        <v>216</v>
      </c>
      <c r="R373" s="5">
        <v>288</v>
      </c>
      <c r="S373" s="5">
        <v>216</v>
      </c>
      <c r="T373" s="5">
        <v>216</v>
      </c>
      <c r="U373" s="5">
        <v>216</v>
      </c>
      <c r="V373" s="5">
        <v>288</v>
      </c>
      <c r="W373" s="5">
        <v>288</v>
      </c>
      <c r="X373" s="5">
        <v>360</v>
      </c>
      <c r="Z373" t="e">
        <f>VLOOKUP(E373,Sheet2!$A$1:$A$39,1,0)</f>
        <v>#N/A</v>
      </c>
      <c r="AA373">
        <f>VLOOKUP($E373,[1]Sheet1!$E$10:$X$629,AA$9,0)</f>
        <v>216</v>
      </c>
      <c r="AB373">
        <f>VLOOKUP($E373,[1]Sheet1!$E$10:$X$629,AB$9,0)</f>
        <v>288</v>
      </c>
      <c r="AC373">
        <f>VLOOKUP($E373,[1]Sheet1!$E$10:$X$629,AC$9,0)</f>
        <v>288</v>
      </c>
      <c r="AD373">
        <f>VLOOKUP($E373,[1]Sheet1!$E$10:$X$629,AD$9,0)</f>
        <v>288</v>
      </c>
      <c r="AE373">
        <f>VLOOKUP($E373,[1]Sheet1!$E$10:$X$629,AE$9,0)</f>
        <v>288</v>
      </c>
      <c r="AF373">
        <f>VLOOKUP($E373,[1]Sheet1!$E$10:$X$629,AF$9,0)</f>
        <v>216</v>
      </c>
      <c r="AG373">
        <f>VLOOKUP($E373,[1]Sheet1!$E$10:$X$629,AG$9,0)</f>
        <v>288</v>
      </c>
      <c r="AH373">
        <f>VLOOKUP($E373,[1]Sheet1!$E$10:$X$629,AH$9,0)</f>
        <v>144</v>
      </c>
      <c r="AJ373">
        <f t="shared" si="19"/>
        <v>1800</v>
      </c>
      <c r="AK373">
        <f t="shared" si="20"/>
        <v>2016</v>
      </c>
      <c r="AL373">
        <f t="shared" si="21"/>
        <v>-216</v>
      </c>
    </row>
    <row r="374" spans="1:38" ht="39.6" x14ac:dyDescent="0.3">
      <c r="A374" s="4" t="s">
        <v>1086</v>
      </c>
      <c r="B374" s="5" t="s">
        <v>1087</v>
      </c>
      <c r="C374" s="21" t="s">
        <v>1088</v>
      </c>
      <c r="D374" s="20"/>
      <c r="E374" s="4">
        <v>1001863</v>
      </c>
      <c r="F374" s="4" t="s">
        <v>44</v>
      </c>
      <c r="G374" s="4" t="s">
        <v>45</v>
      </c>
      <c r="H374" s="4" t="s">
        <v>61</v>
      </c>
      <c r="I374" s="4" t="s">
        <v>57</v>
      </c>
      <c r="J374" s="4" t="s">
        <v>47</v>
      </c>
      <c r="K374" s="4">
        <v>14.4</v>
      </c>
      <c r="L374" s="4">
        <v>24</v>
      </c>
      <c r="M374" s="5">
        <v>0</v>
      </c>
      <c r="N374" s="5">
        <v>216</v>
      </c>
      <c r="O374" s="5">
        <v>72</v>
      </c>
      <c r="P374" s="5">
        <v>72</v>
      </c>
      <c r="Q374" s="5">
        <v>144</v>
      </c>
      <c r="R374" s="5">
        <v>72</v>
      </c>
      <c r="S374" s="5">
        <v>0</v>
      </c>
      <c r="T374" s="5">
        <v>216</v>
      </c>
      <c r="U374" s="5">
        <v>72</v>
      </c>
      <c r="V374" s="5">
        <v>216</v>
      </c>
      <c r="W374" s="5">
        <v>0</v>
      </c>
      <c r="X374" s="5">
        <v>72</v>
      </c>
      <c r="Z374" t="e">
        <f>VLOOKUP(E374,Sheet2!$A$1:$A$39,1,0)</f>
        <v>#N/A</v>
      </c>
      <c r="AA374">
        <f>VLOOKUP($E374,[1]Sheet1!$E$10:$X$629,AA$9,0)</f>
        <v>216</v>
      </c>
      <c r="AB374">
        <f>VLOOKUP($E374,[1]Sheet1!$E$10:$X$629,AB$9,0)</f>
        <v>72</v>
      </c>
      <c r="AC374">
        <f>VLOOKUP($E374,[1]Sheet1!$E$10:$X$629,AC$9,0)</f>
        <v>216</v>
      </c>
      <c r="AD374">
        <f>VLOOKUP($E374,[1]Sheet1!$E$10:$X$629,AD$9,0)</f>
        <v>288</v>
      </c>
      <c r="AE374">
        <f>VLOOKUP($E374,[1]Sheet1!$E$10:$X$629,AE$9,0)</f>
        <v>72</v>
      </c>
      <c r="AF374">
        <f>VLOOKUP($E374,[1]Sheet1!$E$10:$X$629,AF$9,0)</f>
        <v>144</v>
      </c>
      <c r="AG374">
        <f>VLOOKUP($E374,[1]Sheet1!$E$10:$X$629,AG$9,0)</f>
        <v>72</v>
      </c>
      <c r="AH374">
        <f>VLOOKUP($E374,[1]Sheet1!$E$10:$X$629,AH$9,0)</f>
        <v>216</v>
      </c>
      <c r="AJ374">
        <f t="shared" si="19"/>
        <v>792</v>
      </c>
      <c r="AK374">
        <f t="shared" si="20"/>
        <v>1296</v>
      </c>
      <c r="AL374">
        <f t="shared" si="21"/>
        <v>-504</v>
      </c>
    </row>
    <row r="375" spans="1:38" ht="39.6" x14ac:dyDescent="0.3">
      <c r="A375" s="4" t="s">
        <v>1089</v>
      </c>
      <c r="B375" s="5" t="s">
        <v>1090</v>
      </c>
      <c r="C375" s="21" t="s">
        <v>1091</v>
      </c>
      <c r="D375" s="20"/>
      <c r="E375" s="4">
        <v>1001864</v>
      </c>
      <c r="F375" s="4" t="s">
        <v>44</v>
      </c>
      <c r="G375" s="4" t="s">
        <v>45</v>
      </c>
      <c r="H375" s="4" t="s">
        <v>56</v>
      </c>
      <c r="I375" s="4" t="s">
        <v>57</v>
      </c>
      <c r="J375" s="4" t="s">
        <v>47</v>
      </c>
      <c r="K375" s="4">
        <v>14.4</v>
      </c>
      <c r="L375" s="4">
        <v>24</v>
      </c>
      <c r="M375" s="5">
        <v>216</v>
      </c>
      <c r="N375" s="5">
        <v>360</v>
      </c>
      <c r="O375" s="5">
        <v>288</v>
      </c>
      <c r="P375" s="5">
        <v>144</v>
      </c>
      <c r="Q375" s="5">
        <v>288</v>
      </c>
      <c r="R375" s="5">
        <v>288</v>
      </c>
      <c r="S375" s="5">
        <v>216</v>
      </c>
      <c r="T375" s="5">
        <v>216</v>
      </c>
      <c r="U375" s="5">
        <v>360</v>
      </c>
      <c r="V375" s="5">
        <v>216</v>
      </c>
      <c r="W375" s="5">
        <v>360</v>
      </c>
      <c r="X375" s="5">
        <v>432</v>
      </c>
      <c r="Z375" t="e">
        <f>VLOOKUP(E375,Sheet2!$A$1:$A$39,1,0)</f>
        <v>#N/A</v>
      </c>
      <c r="AA375">
        <f>VLOOKUP($E375,[1]Sheet1!$E$10:$X$629,AA$9,0)</f>
        <v>360</v>
      </c>
      <c r="AB375">
        <f>VLOOKUP($E375,[1]Sheet1!$E$10:$X$629,AB$9,0)</f>
        <v>216</v>
      </c>
      <c r="AC375">
        <f>VLOOKUP($E375,[1]Sheet1!$E$10:$X$629,AC$9,0)</f>
        <v>288</v>
      </c>
      <c r="AD375">
        <f>VLOOKUP($E375,[1]Sheet1!$E$10:$X$629,AD$9,0)</f>
        <v>288</v>
      </c>
      <c r="AE375">
        <f>VLOOKUP($E375,[1]Sheet1!$E$10:$X$629,AE$9,0)</f>
        <v>288</v>
      </c>
      <c r="AF375">
        <f>VLOOKUP($E375,[1]Sheet1!$E$10:$X$629,AF$9,0)</f>
        <v>288</v>
      </c>
      <c r="AG375">
        <f>VLOOKUP($E375,[1]Sheet1!$E$10:$X$629,AG$9,0)</f>
        <v>144</v>
      </c>
      <c r="AH375">
        <f>VLOOKUP($E375,[1]Sheet1!$E$10:$X$629,AH$9,0)</f>
        <v>216</v>
      </c>
      <c r="AJ375">
        <f t="shared" si="19"/>
        <v>2016</v>
      </c>
      <c r="AK375">
        <f t="shared" si="20"/>
        <v>2088</v>
      </c>
      <c r="AL375">
        <f t="shared" si="21"/>
        <v>-72</v>
      </c>
    </row>
    <row r="376" spans="1:38" ht="39.6" x14ac:dyDescent="0.3">
      <c r="A376" s="4" t="s">
        <v>1092</v>
      </c>
      <c r="B376" s="5" t="s">
        <v>1093</v>
      </c>
      <c r="C376" s="21" t="s">
        <v>1094</v>
      </c>
      <c r="D376" s="20"/>
      <c r="E376" s="4">
        <v>1001865</v>
      </c>
      <c r="F376" s="4" t="s">
        <v>44</v>
      </c>
      <c r="G376" s="4" t="s">
        <v>45</v>
      </c>
      <c r="H376" s="4" t="s">
        <v>61</v>
      </c>
      <c r="I376" s="4" t="s">
        <v>57</v>
      </c>
      <c r="J376" s="4" t="s">
        <v>47</v>
      </c>
      <c r="K376" s="4">
        <v>14.4</v>
      </c>
      <c r="L376" s="4">
        <v>24</v>
      </c>
      <c r="M376" s="5">
        <v>72</v>
      </c>
      <c r="N376" s="5">
        <v>72</v>
      </c>
      <c r="O376" s="5">
        <v>72</v>
      </c>
      <c r="P376" s="5">
        <v>144</v>
      </c>
      <c r="Q376" s="5">
        <v>72</v>
      </c>
      <c r="R376" s="5">
        <v>216</v>
      </c>
      <c r="S376" s="5">
        <v>0</v>
      </c>
      <c r="T376" s="5">
        <v>144</v>
      </c>
      <c r="U376" s="5">
        <v>72</v>
      </c>
      <c r="V376" s="5">
        <v>144</v>
      </c>
      <c r="W376" s="5">
        <v>144</v>
      </c>
      <c r="X376" s="5">
        <v>72</v>
      </c>
      <c r="Z376" t="e">
        <f>VLOOKUP(E376,Sheet2!$A$1:$A$39,1,0)</f>
        <v>#N/A</v>
      </c>
      <c r="AA376">
        <f>VLOOKUP($E376,[1]Sheet1!$E$10:$X$629,AA$9,0)</f>
        <v>144</v>
      </c>
      <c r="AB376">
        <f>VLOOKUP($E376,[1]Sheet1!$E$10:$X$629,AB$9,0)</f>
        <v>72</v>
      </c>
      <c r="AC376">
        <f>VLOOKUP($E376,[1]Sheet1!$E$10:$X$629,AC$9,0)</f>
        <v>216</v>
      </c>
      <c r="AD376">
        <f>VLOOKUP($E376,[1]Sheet1!$E$10:$X$629,AD$9,0)</f>
        <v>0</v>
      </c>
      <c r="AE376">
        <f>VLOOKUP($E376,[1]Sheet1!$E$10:$X$629,AE$9,0)</f>
        <v>288</v>
      </c>
      <c r="AF376">
        <f>VLOOKUP($E376,[1]Sheet1!$E$10:$X$629,AF$9,0)</f>
        <v>72</v>
      </c>
      <c r="AG376">
        <f>VLOOKUP($E376,[1]Sheet1!$E$10:$X$629,AG$9,0)</f>
        <v>72</v>
      </c>
      <c r="AH376">
        <f>VLOOKUP($E376,[1]Sheet1!$E$10:$X$629,AH$9,0)</f>
        <v>72</v>
      </c>
      <c r="AJ376">
        <f t="shared" si="19"/>
        <v>792</v>
      </c>
      <c r="AK376">
        <f t="shared" si="20"/>
        <v>936</v>
      </c>
      <c r="AL376">
        <f t="shared" si="21"/>
        <v>-144</v>
      </c>
    </row>
    <row r="377" spans="1:38" ht="39.6" x14ac:dyDescent="0.3">
      <c r="A377" s="4" t="s">
        <v>1095</v>
      </c>
      <c r="B377" s="5" t="s">
        <v>1096</v>
      </c>
      <c r="C377" s="21" t="s">
        <v>1097</v>
      </c>
      <c r="D377" s="20"/>
      <c r="E377" s="4">
        <v>1001866</v>
      </c>
      <c r="F377" s="4" t="s">
        <v>44</v>
      </c>
      <c r="G377" s="4" t="s">
        <v>45</v>
      </c>
      <c r="H377" s="4" t="s">
        <v>61</v>
      </c>
      <c r="I377" s="4" t="s">
        <v>57</v>
      </c>
      <c r="J377" s="4" t="s">
        <v>47</v>
      </c>
      <c r="K377" s="4">
        <v>14.4</v>
      </c>
      <c r="L377" s="4">
        <v>24</v>
      </c>
      <c r="M377" s="5">
        <v>0</v>
      </c>
      <c r="N377" s="5">
        <v>288</v>
      </c>
      <c r="O377" s="5">
        <v>0</v>
      </c>
      <c r="P377" s="5">
        <v>72</v>
      </c>
      <c r="Q377" s="5">
        <v>72</v>
      </c>
      <c r="R377" s="5">
        <v>216</v>
      </c>
      <c r="S377" s="5">
        <v>72</v>
      </c>
      <c r="T377" s="5">
        <v>0</v>
      </c>
      <c r="U377" s="5">
        <v>144</v>
      </c>
      <c r="V377" s="5">
        <v>144</v>
      </c>
      <c r="W377" s="5">
        <v>72</v>
      </c>
      <c r="X377" s="5">
        <v>216</v>
      </c>
      <c r="Z377" t="e">
        <f>VLOOKUP(E377,Sheet2!$A$1:$A$39,1,0)</f>
        <v>#N/A</v>
      </c>
      <c r="AA377">
        <f>VLOOKUP($E377,[1]Sheet1!$E$10:$X$629,AA$9,0)</f>
        <v>144</v>
      </c>
      <c r="AB377">
        <f>VLOOKUP($E377,[1]Sheet1!$E$10:$X$629,AB$9,0)</f>
        <v>144</v>
      </c>
      <c r="AC377">
        <f>VLOOKUP($E377,[1]Sheet1!$E$10:$X$629,AC$9,0)</f>
        <v>72</v>
      </c>
      <c r="AD377">
        <f>VLOOKUP($E377,[1]Sheet1!$E$10:$X$629,AD$9,0)</f>
        <v>288</v>
      </c>
      <c r="AE377">
        <f>VLOOKUP($E377,[1]Sheet1!$E$10:$X$629,AE$9,0)</f>
        <v>144</v>
      </c>
      <c r="AF377">
        <f>VLOOKUP($E377,[1]Sheet1!$E$10:$X$629,AF$9,0)</f>
        <v>144</v>
      </c>
      <c r="AG377">
        <f>VLOOKUP($E377,[1]Sheet1!$E$10:$X$629,AG$9,0)</f>
        <v>144</v>
      </c>
      <c r="AH377">
        <f>VLOOKUP($E377,[1]Sheet1!$E$10:$X$629,AH$9,0)</f>
        <v>72</v>
      </c>
      <c r="AJ377">
        <f t="shared" si="19"/>
        <v>720</v>
      </c>
      <c r="AK377">
        <f t="shared" si="20"/>
        <v>1152</v>
      </c>
      <c r="AL377">
        <f t="shared" si="21"/>
        <v>-432</v>
      </c>
    </row>
    <row r="378" spans="1:38" ht="39.6" x14ac:dyDescent="0.3">
      <c r="A378" s="4" t="s">
        <v>1098</v>
      </c>
      <c r="B378" s="5" t="s">
        <v>1099</v>
      </c>
      <c r="C378" s="21" t="s">
        <v>1100</v>
      </c>
      <c r="D378" s="20"/>
      <c r="E378" s="4">
        <v>1002384</v>
      </c>
      <c r="F378" s="4" t="s">
        <v>44</v>
      </c>
      <c r="G378" s="4" t="s">
        <v>45</v>
      </c>
      <c r="H378" s="4" t="s">
        <v>51</v>
      </c>
      <c r="I378" s="4" t="s">
        <v>52</v>
      </c>
      <c r="J378" s="4" t="s">
        <v>47</v>
      </c>
      <c r="K378" s="4">
        <v>12.5</v>
      </c>
      <c r="L378" s="4">
        <v>25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Z378" t="e">
        <f>VLOOKUP(E378,Sheet2!$A$1:$A$39,1,0)</f>
        <v>#N/A</v>
      </c>
      <c r="AA378">
        <f>VLOOKUP($E378,[1]Sheet1!$E$10:$X$629,AA$9,0)</f>
        <v>0</v>
      </c>
      <c r="AB378">
        <f>VLOOKUP($E378,[1]Sheet1!$E$10:$X$629,AB$9,0)</f>
        <v>0</v>
      </c>
      <c r="AC378">
        <f>VLOOKUP($E378,[1]Sheet1!$E$10:$X$629,AC$9,0)</f>
        <v>0</v>
      </c>
      <c r="AD378">
        <f>VLOOKUP($E378,[1]Sheet1!$E$10:$X$629,AD$9,0)</f>
        <v>0</v>
      </c>
      <c r="AE378">
        <f>VLOOKUP($E378,[1]Sheet1!$E$10:$X$629,AE$9,0)</f>
        <v>0</v>
      </c>
      <c r="AF378">
        <f>VLOOKUP($E378,[1]Sheet1!$E$10:$X$629,AF$9,0)</f>
        <v>0</v>
      </c>
      <c r="AG378">
        <f>VLOOKUP($E378,[1]Sheet1!$E$10:$X$629,AG$9,0)</f>
        <v>0</v>
      </c>
      <c r="AH378">
        <f>VLOOKUP($E378,[1]Sheet1!$E$10:$X$629,AH$9,0)</f>
        <v>0</v>
      </c>
      <c r="AJ378">
        <f t="shared" si="19"/>
        <v>0</v>
      </c>
      <c r="AK378">
        <f t="shared" si="20"/>
        <v>0</v>
      </c>
      <c r="AL378">
        <f t="shared" si="21"/>
        <v>0</v>
      </c>
    </row>
    <row r="379" spans="1:38" ht="39.6" x14ac:dyDescent="0.3">
      <c r="A379" s="4" t="s">
        <v>1101</v>
      </c>
      <c r="B379" s="5" t="s">
        <v>1102</v>
      </c>
      <c r="C379" s="21" t="s">
        <v>1103</v>
      </c>
      <c r="D379" s="20"/>
      <c r="E379" s="4">
        <v>1002382</v>
      </c>
      <c r="F379" s="4" t="s">
        <v>44</v>
      </c>
      <c r="G379" s="4" t="s">
        <v>45</v>
      </c>
      <c r="H379" s="4" t="s">
        <v>51</v>
      </c>
      <c r="I379" s="4" t="s">
        <v>57</v>
      </c>
      <c r="J379" s="4" t="s">
        <v>47</v>
      </c>
      <c r="K379" s="4">
        <v>12.5</v>
      </c>
      <c r="L379" s="4">
        <v>25</v>
      </c>
      <c r="M379" s="5">
        <v>4416</v>
      </c>
      <c r="N379" s="5">
        <v>5616</v>
      </c>
      <c r="O379" s="5">
        <v>4656</v>
      </c>
      <c r="P379" s="5">
        <v>4416</v>
      </c>
      <c r="Q379" s="5">
        <v>4176</v>
      </c>
      <c r="R379" s="5">
        <v>5136</v>
      </c>
      <c r="S379" s="5">
        <v>5136</v>
      </c>
      <c r="T379" s="5">
        <v>5568</v>
      </c>
      <c r="U379" s="5">
        <v>10656</v>
      </c>
      <c r="V379" s="5">
        <v>10416</v>
      </c>
      <c r="W379" s="5">
        <v>4080</v>
      </c>
      <c r="X379" s="5">
        <v>10368</v>
      </c>
      <c r="Z379" t="e">
        <f>VLOOKUP(E379,Sheet2!$A$1:$A$39,1,0)</f>
        <v>#N/A</v>
      </c>
      <c r="AA379">
        <f>VLOOKUP($E379,[1]Sheet1!$E$10:$X$629,AA$9,0)</f>
        <v>3312</v>
      </c>
      <c r="AB379">
        <f>VLOOKUP($E379,[1]Sheet1!$E$10:$X$629,AB$9,0)</f>
        <v>3696</v>
      </c>
      <c r="AC379">
        <f>VLOOKUP($E379,[1]Sheet1!$E$10:$X$629,AC$9,0)</f>
        <v>3792</v>
      </c>
      <c r="AD379">
        <f>VLOOKUP($E379,[1]Sheet1!$E$10:$X$629,AD$9,0)</f>
        <v>3408</v>
      </c>
      <c r="AE379">
        <f>VLOOKUP($E379,[1]Sheet1!$E$10:$X$629,AE$9,0)</f>
        <v>3072</v>
      </c>
      <c r="AF379">
        <f>VLOOKUP($E379,[1]Sheet1!$E$10:$X$629,AF$9,0)</f>
        <v>3744</v>
      </c>
      <c r="AG379">
        <f>VLOOKUP($E379,[1]Sheet1!$E$10:$X$629,AG$9,0)</f>
        <v>3648</v>
      </c>
      <c r="AH379">
        <f>VLOOKUP($E379,[1]Sheet1!$E$10:$X$629,AH$9,0)</f>
        <v>1584</v>
      </c>
      <c r="AJ379">
        <f t="shared" si="19"/>
        <v>39120</v>
      </c>
      <c r="AK379">
        <f t="shared" si="20"/>
        <v>26256</v>
      </c>
      <c r="AL379">
        <f t="shared" si="21"/>
        <v>12864</v>
      </c>
    </row>
    <row r="380" spans="1:38" ht="39.6" x14ac:dyDescent="0.3">
      <c r="A380" s="4" t="s">
        <v>1104</v>
      </c>
      <c r="B380" s="5" t="s">
        <v>1105</v>
      </c>
      <c r="C380" s="21" t="s">
        <v>1106</v>
      </c>
      <c r="D380" s="20"/>
      <c r="E380" s="4">
        <v>1002409</v>
      </c>
      <c r="F380" s="4" t="s">
        <v>44</v>
      </c>
      <c r="G380" s="4" t="s">
        <v>45</v>
      </c>
      <c r="H380" s="4" t="s">
        <v>61</v>
      </c>
      <c r="I380" s="4" t="s">
        <v>57</v>
      </c>
      <c r="J380" s="4" t="s">
        <v>47</v>
      </c>
      <c r="K380" s="4">
        <v>5</v>
      </c>
      <c r="L380" s="4">
        <v>10</v>
      </c>
      <c r="M380" s="5">
        <v>0</v>
      </c>
      <c r="N380" s="5">
        <v>0</v>
      </c>
      <c r="O380" s="5">
        <v>0</v>
      </c>
      <c r="P380" s="5">
        <v>144</v>
      </c>
      <c r="Q380" s="5">
        <v>144</v>
      </c>
      <c r="R380" s="5">
        <v>0</v>
      </c>
      <c r="S380" s="5">
        <v>144</v>
      </c>
      <c r="T380" s="5">
        <v>0</v>
      </c>
      <c r="U380" s="5">
        <v>0</v>
      </c>
      <c r="V380" s="5">
        <v>144</v>
      </c>
      <c r="W380" s="5">
        <v>0</v>
      </c>
      <c r="X380" s="5">
        <v>432</v>
      </c>
      <c r="Z380" t="e">
        <f>VLOOKUP(E380,Sheet2!$A$1:$A$39,1,0)</f>
        <v>#N/A</v>
      </c>
      <c r="AA380">
        <f>VLOOKUP($E380,[1]Sheet1!$E$10:$X$629,AA$9,0)</f>
        <v>0</v>
      </c>
      <c r="AB380">
        <f>VLOOKUP($E380,[1]Sheet1!$E$10:$X$629,AB$9,0)</f>
        <v>288</v>
      </c>
      <c r="AC380">
        <f>VLOOKUP($E380,[1]Sheet1!$E$10:$X$629,AC$9,0)</f>
        <v>288</v>
      </c>
      <c r="AD380">
        <f>VLOOKUP($E380,[1]Sheet1!$E$10:$X$629,AD$9,0)</f>
        <v>144</v>
      </c>
      <c r="AE380">
        <f>VLOOKUP($E380,[1]Sheet1!$E$10:$X$629,AE$9,0)</f>
        <v>144</v>
      </c>
      <c r="AF380">
        <f>VLOOKUP($E380,[1]Sheet1!$E$10:$X$629,AF$9,0)</f>
        <v>432</v>
      </c>
      <c r="AG380">
        <f>VLOOKUP($E380,[1]Sheet1!$E$10:$X$629,AG$9,0)</f>
        <v>0</v>
      </c>
      <c r="AH380">
        <f>VLOOKUP($E380,[1]Sheet1!$E$10:$X$629,AH$9,0)</f>
        <v>288</v>
      </c>
      <c r="AJ380">
        <f t="shared" si="19"/>
        <v>432</v>
      </c>
      <c r="AK380">
        <f t="shared" si="20"/>
        <v>1584</v>
      </c>
      <c r="AL380">
        <f t="shared" si="21"/>
        <v>-1152</v>
      </c>
    </row>
    <row r="381" spans="1:38" ht="39.6" x14ac:dyDescent="0.3">
      <c r="A381" s="4" t="s">
        <v>1107</v>
      </c>
      <c r="B381" s="5" t="s">
        <v>1108</v>
      </c>
      <c r="C381" s="21" t="s">
        <v>1109</v>
      </c>
      <c r="D381" s="20"/>
      <c r="E381" s="4">
        <v>1002413</v>
      </c>
      <c r="F381" s="4" t="s">
        <v>44</v>
      </c>
      <c r="G381" s="4" t="s">
        <v>45</v>
      </c>
      <c r="H381" s="4" t="s">
        <v>61</v>
      </c>
      <c r="I381" s="4" t="s">
        <v>57</v>
      </c>
      <c r="J381" s="4" t="s">
        <v>47</v>
      </c>
      <c r="K381" s="4">
        <v>8</v>
      </c>
      <c r="L381" s="4">
        <v>16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Z381" t="e">
        <f>VLOOKUP(E381,Sheet2!$A$1:$A$39,1,0)</f>
        <v>#N/A</v>
      </c>
      <c r="AA381">
        <f>VLOOKUP($E381,[1]Sheet1!$E$10:$X$629,AA$9,0)</f>
        <v>0</v>
      </c>
      <c r="AB381">
        <f>VLOOKUP($E381,[1]Sheet1!$E$10:$X$629,AB$9,0)</f>
        <v>0</v>
      </c>
      <c r="AC381">
        <f>VLOOKUP($E381,[1]Sheet1!$E$10:$X$629,AC$9,0)</f>
        <v>0</v>
      </c>
      <c r="AD381">
        <f>VLOOKUP($E381,[1]Sheet1!$E$10:$X$629,AD$9,0)</f>
        <v>0</v>
      </c>
      <c r="AE381">
        <f>VLOOKUP($E381,[1]Sheet1!$E$10:$X$629,AE$9,0)</f>
        <v>0</v>
      </c>
      <c r="AF381">
        <f>VLOOKUP($E381,[1]Sheet1!$E$10:$X$629,AF$9,0)</f>
        <v>0</v>
      </c>
      <c r="AG381">
        <f>VLOOKUP($E381,[1]Sheet1!$E$10:$X$629,AG$9,0)</f>
        <v>0</v>
      </c>
      <c r="AH381">
        <f>VLOOKUP($E381,[1]Sheet1!$E$10:$X$629,AH$9,0)</f>
        <v>0</v>
      </c>
      <c r="AJ381">
        <f t="shared" si="19"/>
        <v>0</v>
      </c>
      <c r="AK381">
        <f t="shared" si="20"/>
        <v>0</v>
      </c>
      <c r="AL381">
        <f t="shared" si="21"/>
        <v>0</v>
      </c>
    </row>
    <row r="382" spans="1:38" ht="39.6" x14ac:dyDescent="0.3">
      <c r="A382" s="4" t="s">
        <v>1110</v>
      </c>
      <c r="B382" s="5" t="s">
        <v>1111</v>
      </c>
      <c r="C382" s="21" t="s">
        <v>1112</v>
      </c>
      <c r="D382" s="20"/>
      <c r="E382" s="4">
        <v>1002412</v>
      </c>
      <c r="F382" s="4" t="s">
        <v>44</v>
      </c>
      <c r="G382" s="4" t="s">
        <v>45</v>
      </c>
      <c r="H382" s="4" t="s">
        <v>61</v>
      </c>
      <c r="I382" s="4" t="s">
        <v>57</v>
      </c>
      <c r="J382" s="4" t="s">
        <v>47</v>
      </c>
      <c r="K382" s="4">
        <v>8</v>
      </c>
      <c r="L382" s="4">
        <v>16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Z382" t="e">
        <f>VLOOKUP(E382,Sheet2!$A$1:$A$39,1,0)</f>
        <v>#N/A</v>
      </c>
      <c r="AA382">
        <f>VLOOKUP($E382,[1]Sheet1!$E$10:$X$629,AA$9,0)</f>
        <v>0</v>
      </c>
      <c r="AB382">
        <f>VLOOKUP($E382,[1]Sheet1!$E$10:$X$629,AB$9,0)</f>
        <v>0</v>
      </c>
      <c r="AC382">
        <f>VLOOKUP($E382,[1]Sheet1!$E$10:$X$629,AC$9,0)</f>
        <v>0</v>
      </c>
      <c r="AD382">
        <f>VLOOKUP($E382,[1]Sheet1!$E$10:$X$629,AD$9,0)</f>
        <v>0</v>
      </c>
      <c r="AE382">
        <f>VLOOKUP($E382,[1]Sheet1!$E$10:$X$629,AE$9,0)</f>
        <v>0</v>
      </c>
      <c r="AF382">
        <f>VLOOKUP($E382,[1]Sheet1!$E$10:$X$629,AF$9,0)</f>
        <v>0</v>
      </c>
      <c r="AG382">
        <f>VLOOKUP($E382,[1]Sheet1!$E$10:$X$629,AG$9,0)</f>
        <v>0</v>
      </c>
      <c r="AH382">
        <f>VLOOKUP($E382,[1]Sheet1!$E$10:$X$629,AH$9,0)</f>
        <v>0</v>
      </c>
      <c r="AJ382">
        <f t="shared" si="19"/>
        <v>0</v>
      </c>
      <c r="AK382">
        <f t="shared" si="20"/>
        <v>0</v>
      </c>
      <c r="AL382">
        <f t="shared" si="21"/>
        <v>0</v>
      </c>
    </row>
    <row r="383" spans="1:38" ht="39.6" x14ac:dyDescent="0.3">
      <c r="A383" s="4" t="s">
        <v>1113</v>
      </c>
      <c r="B383" s="5" t="s">
        <v>1114</v>
      </c>
      <c r="C383" s="21" t="s">
        <v>1115</v>
      </c>
      <c r="D383" s="20"/>
      <c r="E383" s="4">
        <v>1002542</v>
      </c>
      <c r="F383" s="4" t="s">
        <v>44</v>
      </c>
      <c r="G383" s="4" t="s">
        <v>45</v>
      </c>
      <c r="H383" s="4" t="s">
        <v>61</v>
      </c>
      <c r="I383" s="4" t="s">
        <v>57</v>
      </c>
      <c r="J383" s="4" t="s">
        <v>47</v>
      </c>
      <c r="K383" s="4">
        <v>7.5</v>
      </c>
      <c r="L383" s="4">
        <v>15</v>
      </c>
      <c r="M383" s="5">
        <v>0</v>
      </c>
      <c r="N383" s="5">
        <v>0</v>
      </c>
      <c r="O383" s="5">
        <v>288</v>
      </c>
      <c r="P383" s="5">
        <v>288</v>
      </c>
      <c r="Q383" s="5">
        <v>0</v>
      </c>
      <c r="R383" s="5">
        <v>288</v>
      </c>
      <c r="S383" s="5">
        <v>288</v>
      </c>
      <c r="T383" s="5">
        <v>144</v>
      </c>
      <c r="U383" s="5">
        <v>432</v>
      </c>
      <c r="V383" s="5">
        <v>144</v>
      </c>
      <c r="W383" s="5">
        <v>432</v>
      </c>
      <c r="X383" s="5">
        <v>288</v>
      </c>
      <c r="Z383" t="e">
        <f>VLOOKUP(E383,Sheet2!$A$1:$A$39,1,0)</f>
        <v>#N/A</v>
      </c>
      <c r="AA383">
        <f>VLOOKUP($E383,[1]Sheet1!$E$10:$X$629,AA$9,0)</f>
        <v>288</v>
      </c>
      <c r="AB383">
        <f>VLOOKUP($E383,[1]Sheet1!$E$10:$X$629,AB$9,0)</f>
        <v>0</v>
      </c>
      <c r="AC383">
        <f>VLOOKUP($E383,[1]Sheet1!$E$10:$X$629,AC$9,0)</f>
        <v>432</v>
      </c>
      <c r="AD383">
        <f>VLOOKUP($E383,[1]Sheet1!$E$10:$X$629,AD$9,0)</f>
        <v>288</v>
      </c>
      <c r="AE383">
        <f>VLOOKUP($E383,[1]Sheet1!$E$10:$X$629,AE$9,0)</f>
        <v>576</v>
      </c>
      <c r="AF383">
        <f>VLOOKUP($E383,[1]Sheet1!$E$10:$X$629,AF$9,0)</f>
        <v>432</v>
      </c>
      <c r="AG383">
        <f>VLOOKUP($E383,[1]Sheet1!$E$10:$X$629,AG$9,0)</f>
        <v>432</v>
      </c>
      <c r="AH383">
        <f>VLOOKUP($E383,[1]Sheet1!$E$10:$X$629,AH$9,0)</f>
        <v>288</v>
      </c>
      <c r="AJ383">
        <f t="shared" si="19"/>
        <v>1296</v>
      </c>
      <c r="AK383">
        <f t="shared" si="20"/>
        <v>2736</v>
      </c>
      <c r="AL383">
        <f t="shared" si="21"/>
        <v>-1440</v>
      </c>
    </row>
    <row r="384" spans="1:38" ht="39.6" x14ac:dyDescent="0.3">
      <c r="A384" s="4" t="s">
        <v>1116</v>
      </c>
      <c r="B384" s="5" t="s">
        <v>1117</v>
      </c>
      <c r="C384" s="21" t="s">
        <v>1118</v>
      </c>
      <c r="D384" s="20"/>
      <c r="E384" s="4">
        <v>1002534</v>
      </c>
      <c r="F384" s="4" t="s">
        <v>44</v>
      </c>
      <c r="G384" s="4" t="s">
        <v>45</v>
      </c>
      <c r="H384" s="4" t="s">
        <v>61</v>
      </c>
      <c r="I384" s="4" t="s">
        <v>57</v>
      </c>
      <c r="J384" s="4" t="s">
        <v>47</v>
      </c>
      <c r="K384" s="4">
        <v>10</v>
      </c>
      <c r="L384" s="4">
        <v>20</v>
      </c>
      <c r="M384" s="5">
        <v>144</v>
      </c>
      <c r="N384" s="5">
        <v>144</v>
      </c>
      <c r="O384" s="5">
        <v>0</v>
      </c>
      <c r="P384" s="5">
        <v>288</v>
      </c>
      <c r="Q384" s="5">
        <v>144</v>
      </c>
      <c r="R384" s="5">
        <v>144</v>
      </c>
      <c r="S384" s="5">
        <v>288</v>
      </c>
      <c r="T384" s="5">
        <v>288</v>
      </c>
      <c r="U384" s="5">
        <v>0</v>
      </c>
      <c r="V384" s="5">
        <v>288</v>
      </c>
      <c r="W384" s="5">
        <v>288</v>
      </c>
      <c r="X384" s="5">
        <v>288</v>
      </c>
      <c r="Z384" t="e">
        <f>VLOOKUP(E384,Sheet2!$A$1:$A$39,1,0)</f>
        <v>#N/A</v>
      </c>
      <c r="AA384">
        <f>VLOOKUP($E384,[1]Sheet1!$E$10:$X$629,AA$9,0)</f>
        <v>144</v>
      </c>
      <c r="AB384">
        <f>VLOOKUP($E384,[1]Sheet1!$E$10:$X$629,AB$9,0)</f>
        <v>144</v>
      </c>
      <c r="AC384">
        <f>VLOOKUP($E384,[1]Sheet1!$E$10:$X$629,AC$9,0)</f>
        <v>0</v>
      </c>
      <c r="AD384">
        <f>VLOOKUP($E384,[1]Sheet1!$E$10:$X$629,AD$9,0)</f>
        <v>288</v>
      </c>
      <c r="AE384">
        <f>VLOOKUP($E384,[1]Sheet1!$E$10:$X$629,AE$9,0)</f>
        <v>288</v>
      </c>
      <c r="AF384">
        <f>VLOOKUP($E384,[1]Sheet1!$E$10:$X$629,AF$9,0)</f>
        <v>288</v>
      </c>
      <c r="AG384">
        <f>VLOOKUP($E384,[1]Sheet1!$E$10:$X$629,AG$9,0)</f>
        <v>0</v>
      </c>
      <c r="AH384">
        <f>VLOOKUP($E384,[1]Sheet1!$E$10:$X$629,AH$9,0)</f>
        <v>288</v>
      </c>
      <c r="AJ384">
        <f t="shared" si="19"/>
        <v>1440</v>
      </c>
      <c r="AK384">
        <f t="shared" si="20"/>
        <v>1440</v>
      </c>
      <c r="AL384">
        <f t="shared" si="21"/>
        <v>0</v>
      </c>
    </row>
    <row r="385" spans="1:38" ht="39.6" x14ac:dyDescent="0.3">
      <c r="A385" s="4" t="s">
        <v>1119</v>
      </c>
      <c r="B385" s="5" t="s">
        <v>1120</v>
      </c>
      <c r="C385" s="21" t="s">
        <v>1121</v>
      </c>
      <c r="D385" s="20"/>
      <c r="E385" s="4">
        <v>1002186</v>
      </c>
      <c r="F385" s="4" t="s">
        <v>44</v>
      </c>
      <c r="G385" s="4" t="s">
        <v>45</v>
      </c>
      <c r="H385" s="4" t="s">
        <v>269</v>
      </c>
      <c r="I385" s="4" t="s">
        <v>57</v>
      </c>
      <c r="J385" s="4" t="s">
        <v>47</v>
      </c>
      <c r="K385" s="4">
        <v>10</v>
      </c>
      <c r="L385" s="4">
        <v>20</v>
      </c>
      <c r="M385" s="5">
        <v>4752</v>
      </c>
      <c r="N385" s="5">
        <v>3600</v>
      </c>
      <c r="O385" s="5">
        <v>5616</v>
      </c>
      <c r="P385" s="5">
        <v>5760</v>
      </c>
      <c r="Q385" s="5">
        <v>5040</v>
      </c>
      <c r="R385" s="5">
        <v>4752</v>
      </c>
      <c r="S385" s="5">
        <v>3744</v>
      </c>
      <c r="T385" s="5">
        <v>3744</v>
      </c>
      <c r="U385" s="5">
        <v>5040</v>
      </c>
      <c r="V385" s="5">
        <v>7344</v>
      </c>
      <c r="W385" s="5">
        <v>3888</v>
      </c>
      <c r="X385" s="5">
        <v>7776</v>
      </c>
      <c r="Z385" t="e">
        <f>VLOOKUP(E385,Sheet2!$A$1:$A$39,1,0)</f>
        <v>#N/A</v>
      </c>
      <c r="AA385">
        <f>VLOOKUP($E385,[1]Sheet1!$E$10:$X$629,AA$9,0)</f>
        <v>1584</v>
      </c>
      <c r="AB385">
        <f>VLOOKUP($E385,[1]Sheet1!$E$10:$X$629,AB$9,0)</f>
        <v>1728</v>
      </c>
      <c r="AC385">
        <f>VLOOKUP($E385,[1]Sheet1!$E$10:$X$629,AC$9,0)</f>
        <v>3168</v>
      </c>
      <c r="AD385">
        <f>VLOOKUP($E385,[1]Sheet1!$E$10:$X$629,AD$9,0)</f>
        <v>3312</v>
      </c>
      <c r="AE385">
        <f>VLOOKUP($E385,[1]Sheet1!$E$10:$X$629,AE$9,0)</f>
        <v>2304</v>
      </c>
      <c r="AF385">
        <f>VLOOKUP($E385,[1]Sheet1!$E$10:$X$629,AF$9,0)</f>
        <v>2304</v>
      </c>
      <c r="AG385">
        <f>VLOOKUP($E385,[1]Sheet1!$E$10:$X$629,AG$9,0)</f>
        <v>2304</v>
      </c>
      <c r="AH385">
        <f>VLOOKUP($E385,[1]Sheet1!$E$10:$X$629,AH$9,0)</f>
        <v>864</v>
      </c>
      <c r="AJ385">
        <f t="shared" si="19"/>
        <v>37008</v>
      </c>
      <c r="AK385">
        <f t="shared" si="20"/>
        <v>17568</v>
      </c>
      <c r="AL385">
        <f t="shared" si="21"/>
        <v>19440</v>
      </c>
    </row>
    <row r="386" spans="1:38" ht="39.6" x14ac:dyDescent="0.3">
      <c r="A386" s="4" t="s">
        <v>1122</v>
      </c>
      <c r="B386" s="5" t="s">
        <v>1123</v>
      </c>
      <c r="C386" s="21" t="s">
        <v>1124</v>
      </c>
      <c r="D386" s="20"/>
      <c r="E386" s="4">
        <v>1002533</v>
      </c>
      <c r="F386" s="4" t="s">
        <v>44</v>
      </c>
      <c r="G386" s="4" t="s">
        <v>45</v>
      </c>
      <c r="H386" s="4" t="s">
        <v>61</v>
      </c>
      <c r="I386" s="4" t="s">
        <v>57</v>
      </c>
      <c r="J386" s="4" t="s">
        <v>47</v>
      </c>
      <c r="K386" s="4">
        <v>10</v>
      </c>
      <c r="L386" s="4">
        <v>20</v>
      </c>
      <c r="M386" s="5">
        <v>144</v>
      </c>
      <c r="N386" s="5">
        <v>288</v>
      </c>
      <c r="O386" s="5">
        <v>0</v>
      </c>
      <c r="P386" s="5">
        <v>432</v>
      </c>
      <c r="Q386" s="5">
        <v>0</v>
      </c>
      <c r="R386" s="5">
        <v>576</v>
      </c>
      <c r="S386" s="5">
        <v>144</v>
      </c>
      <c r="T386" s="5">
        <v>576</v>
      </c>
      <c r="U386" s="5">
        <v>288</v>
      </c>
      <c r="V386" s="5">
        <v>576</v>
      </c>
      <c r="W386" s="5">
        <v>288</v>
      </c>
      <c r="X386" s="5">
        <v>576</v>
      </c>
      <c r="Z386" t="e">
        <f>VLOOKUP(E386,Sheet2!$A$1:$A$39,1,0)</f>
        <v>#N/A</v>
      </c>
      <c r="AA386">
        <f>VLOOKUP($E386,[1]Sheet1!$E$10:$X$629,AA$9,0)</f>
        <v>288</v>
      </c>
      <c r="AB386">
        <f>VLOOKUP($E386,[1]Sheet1!$E$10:$X$629,AB$9,0)</f>
        <v>144</v>
      </c>
      <c r="AC386">
        <f>VLOOKUP($E386,[1]Sheet1!$E$10:$X$629,AC$9,0)</f>
        <v>288</v>
      </c>
      <c r="AD386">
        <f>VLOOKUP($E386,[1]Sheet1!$E$10:$X$629,AD$9,0)</f>
        <v>144</v>
      </c>
      <c r="AE386">
        <f>VLOOKUP($E386,[1]Sheet1!$E$10:$X$629,AE$9,0)</f>
        <v>432</v>
      </c>
      <c r="AF386">
        <f>VLOOKUP($E386,[1]Sheet1!$E$10:$X$629,AF$9,0)</f>
        <v>432</v>
      </c>
      <c r="AG386">
        <f>VLOOKUP($E386,[1]Sheet1!$E$10:$X$629,AG$9,0)</f>
        <v>288</v>
      </c>
      <c r="AH386">
        <f>VLOOKUP($E386,[1]Sheet1!$E$10:$X$629,AH$9,0)</f>
        <v>288</v>
      </c>
      <c r="AJ386">
        <f t="shared" si="19"/>
        <v>2160</v>
      </c>
      <c r="AK386">
        <f t="shared" si="20"/>
        <v>2304</v>
      </c>
      <c r="AL386">
        <f t="shared" si="21"/>
        <v>-144</v>
      </c>
    </row>
    <row r="387" spans="1:38" ht="39.6" x14ac:dyDescent="0.3">
      <c r="A387" s="4" t="s">
        <v>1125</v>
      </c>
      <c r="B387" s="5" t="s">
        <v>1126</v>
      </c>
      <c r="C387" s="21" t="s">
        <v>1127</v>
      </c>
      <c r="D387" s="20"/>
      <c r="E387" s="4">
        <v>1002536</v>
      </c>
      <c r="F387" s="4" t="s">
        <v>44</v>
      </c>
      <c r="G387" s="4" t="s">
        <v>45</v>
      </c>
      <c r="H387" s="4" t="s">
        <v>61</v>
      </c>
      <c r="I387" s="4" t="s">
        <v>57</v>
      </c>
      <c r="J387" s="4" t="s">
        <v>47</v>
      </c>
      <c r="K387" s="4">
        <v>10</v>
      </c>
      <c r="L387" s="4">
        <v>20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Z387" t="e">
        <f>VLOOKUP(E387,Sheet2!$A$1:$A$39,1,0)</f>
        <v>#N/A</v>
      </c>
      <c r="AA387">
        <f>VLOOKUP($E387,[1]Sheet1!$E$10:$X$629,AA$9,0)</f>
        <v>0</v>
      </c>
      <c r="AB387">
        <f>VLOOKUP($E387,[1]Sheet1!$E$10:$X$629,AB$9,0)</f>
        <v>0</v>
      </c>
      <c r="AC387">
        <f>VLOOKUP($E387,[1]Sheet1!$E$10:$X$629,AC$9,0)</f>
        <v>0</v>
      </c>
      <c r="AD387">
        <f>VLOOKUP($E387,[1]Sheet1!$E$10:$X$629,AD$9,0)</f>
        <v>0</v>
      </c>
      <c r="AE387">
        <f>VLOOKUP($E387,[1]Sheet1!$E$10:$X$629,AE$9,0)</f>
        <v>0</v>
      </c>
      <c r="AF387">
        <f>VLOOKUP($E387,[1]Sheet1!$E$10:$X$629,AF$9,0)</f>
        <v>0</v>
      </c>
      <c r="AG387">
        <f>VLOOKUP($E387,[1]Sheet1!$E$10:$X$629,AG$9,0)</f>
        <v>0</v>
      </c>
      <c r="AH387">
        <f>VLOOKUP($E387,[1]Sheet1!$E$10:$X$629,AH$9,0)</f>
        <v>0</v>
      </c>
      <c r="AJ387">
        <f t="shared" si="19"/>
        <v>0</v>
      </c>
      <c r="AK387">
        <f t="shared" si="20"/>
        <v>0</v>
      </c>
      <c r="AL387">
        <f t="shared" si="21"/>
        <v>0</v>
      </c>
    </row>
    <row r="388" spans="1:38" ht="39.6" x14ac:dyDescent="0.3">
      <c r="A388" s="4" t="s">
        <v>1128</v>
      </c>
      <c r="B388" s="5" t="s">
        <v>1129</v>
      </c>
      <c r="C388" s="21" t="s">
        <v>1130</v>
      </c>
      <c r="D388" s="20"/>
      <c r="E388" s="4">
        <v>1002531</v>
      </c>
      <c r="F388" s="4" t="s">
        <v>44</v>
      </c>
      <c r="G388" s="4" t="s">
        <v>45</v>
      </c>
      <c r="H388" s="4" t="s">
        <v>61</v>
      </c>
      <c r="I388" s="4" t="s">
        <v>57</v>
      </c>
      <c r="J388" s="4" t="s">
        <v>47</v>
      </c>
      <c r="K388" s="4">
        <v>10</v>
      </c>
      <c r="L388" s="4">
        <v>20</v>
      </c>
      <c r="M388" s="5">
        <v>144</v>
      </c>
      <c r="N388" s="5">
        <v>288</v>
      </c>
      <c r="O388" s="5">
        <v>144</v>
      </c>
      <c r="P388" s="5">
        <v>288</v>
      </c>
      <c r="Q388" s="5">
        <v>432</v>
      </c>
      <c r="R388" s="5">
        <v>432</v>
      </c>
      <c r="S388" s="5">
        <v>288</v>
      </c>
      <c r="T388" s="5">
        <v>432</v>
      </c>
      <c r="U388" s="5">
        <v>288</v>
      </c>
      <c r="V388" s="5">
        <v>1008</v>
      </c>
      <c r="W388" s="5">
        <v>720</v>
      </c>
      <c r="X388" s="5">
        <v>576</v>
      </c>
      <c r="Z388" t="e">
        <f>VLOOKUP(E388,Sheet2!$A$1:$A$39,1,0)</f>
        <v>#N/A</v>
      </c>
      <c r="AA388">
        <f>VLOOKUP($E388,[1]Sheet1!$E$10:$X$629,AA$9,0)</f>
        <v>144</v>
      </c>
      <c r="AB388">
        <f>VLOOKUP($E388,[1]Sheet1!$E$10:$X$629,AB$9,0)</f>
        <v>288</v>
      </c>
      <c r="AC388">
        <f>VLOOKUP($E388,[1]Sheet1!$E$10:$X$629,AC$9,0)</f>
        <v>288</v>
      </c>
      <c r="AD388">
        <f>VLOOKUP($E388,[1]Sheet1!$E$10:$X$629,AD$9,0)</f>
        <v>432</v>
      </c>
      <c r="AE388">
        <f>VLOOKUP($E388,[1]Sheet1!$E$10:$X$629,AE$9,0)</f>
        <v>432</v>
      </c>
      <c r="AF388">
        <f>VLOOKUP($E388,[1]Sheet1!$E$10:$X$629,AF$9,0)</f>
        <v>288</v>
      </c>
      <c r="AG388">
        <f>VLOOKUP($E388,[1]Sheet1!$E$10:$X$629,AG$9,0)</f>
        <v>576</v>
      </c>
      <c r="AH388">
        <f>VLOOKUP($E388,[1]Sheet1!$E$10:$X$629,AH$9,0)</f>
        <v>144</v>
      </c>
      <c r="AJ388">
        <f t="shared" si="19"/>
        <v>2448</v>
      </c>
      <c r="AK388">
        <f t="shared" si="20"/>
        <v>2592</v>
      </c>
      <c r="AL388">
        <f t="shared" si="21"/>
        <v>-144</v>
      </c>
    </row>
    <row r="389" spans="1:38" ht="39.6" x14ac:dyDescent="0.3">
      <c r="A389" s="4" t="s">
        <v>1131</v>
      </c>
      <c r="B389" s="5" t="s">
        <v>1132</v>
      </c>
      <c r="C389" s="21" t="s">
        <v>1133</v>
      </c>
      <c r="D389" s="20"/>
      <c r="E389" s="4">
        <v>1002529</v>
      </c>
      <c r="F389" s="4" t="s">
        <v>44</v>
      </c>
      <c r="G389" s="4" t="s">
        <v>45</v>
      </c>
      <c r="H389" s="4" t="s">
        <v>56</v>
      </c>
      <c r="I389" s="4" t="s">
        <v>57</v>
      </c>
      <c r="J389" s="4" t="s">
        <v>47</v>
      </c>
      <c r="K389" s="4">
        <v>10</v>
      </c>
      <c r="L389" s="4">
        <v>20</v>
      </c>
      <c r="M389" s="5">
        <v>1152</v>
      </c>
      <c r="N389" s="5">
        <v>1152</v>
      </c>
      <c r="O389" s="5">
        <v>1872</v>
      </c>
      <c r="P389" s="5">
        <v>1296</v>
      </c>
      <c r="Q389" s="5">
        <v>2016</v>
      </c>
      <c r="R389" s="5">
        <v>1440</v>
      </c>
      <c r="S389" s="5">
        <v>1728</v>
      </c>
      <c r="T389" s="5">
        <v>1584</v>
      </c>
      <c r="U389" s="5">
        <v>2160</v>
      </c>
      <c r="V389" s="5">
        <v>3744</v>
      </c>
      <c r="W389" s="5">
        <v>1584</v>
      </c>
      <c r="X389" s="5">
        <v>3600</v>
      </c>
      <c r="Z389" t="e">
        <f>VLOOKUP(E389,Sheet2!$A$1:$A$39,1,0)</f>
        <v>#N/A</v>
      </c>
      <c r="AA389">
        <f>VLOOKUP($E389,[1]Sheet1!$E$10:$X$629,AA$9,0)</f>
        <v>864</v>
      </c>
      <c r="AB389">
        <f>VLOOKUP($E389,[1]Sheet1!$E$10:$X$629,AB$9,0)</f>
        <v>864</v>
      </c>
      <c r="AC389">
        <f>VLOOKUP($E389,[1]Sheet1!$E$10:$X$629,AC$9,0)</f>
        <v>1296</v>
      </c>
      <c r="AD389">
        <f>VLOOKUP($E389,[1]Sheet1!$E$10:$X$629,AD$9,0)</f>
        <v>1728</v>
      </c>
      <c r="AE389">
        <f>VLOOKUP($E389,[1]Sheet1!$E$10:$X$629,AE$9,0)</f>
        <v>1440</v>
      </c>
      <c r="AF389">
        <f>VLOOKUP($E389,[1]Sheet1!$E$10:$X$629,AF$9,0)</f>
        <v>1152</v>
      </c>
      <c r="AG389">
        <f>VLOOKUP($E389,[1]Sheet1!$E$10:$X$629,AG$9,0)</f>
        <v>1440</v>
      </c>
      <c r="AH389">
        <f>VLOOKUP($E389,[1]Sheet1!$E$10:$X$629,AH$9,0)</f>
        <v>432</v>
      </c>
      <c r="AJ389">
        <f t="shared" si="19"/>
        <v>12240</v>
      </c>
      <c r="AK389">
        <f t="shared" si="20"/>
        <v>9216</v>
      </c>
      <c r="AL389">
        <f t="shared" si="21"/>
        <v>3024</v>
      </c>
    </row>
    <row r="390" spans="1:38" ht="39.6" x14ac:dyDescent="0.3">
      <c r="A390" s="4" t="s">
        <v>1134</v>
      </c>
      <c r="B390" s="5" t="s">
        <v>1135</v>
      </c>
      <c r="C390" s="21" t="s">
        <v>1136</v>
      </c>
      <c r="D390" s="20"/>
      <c r="E390" s="4">
        <v>1002532</v>
      </c>
      <c r="F390" s="4" t="s">
        <v>44</v>
      </c>
      <c r="G390" s="4" t="s">
        <v>45</v>
      </c>
      <c r="H390" s="4" t="s">
        <v>61</v>
      </c>
      <c r="I390" s="4" t="s">
        <v>57</v>
      </c>
      <c r="J390" s="4" t="s">
        <v>47</v>
      </c>
      <c r="K390" s="4">
        <v>10</v>
      </c>
      <c r="L390" s="4">
        <v>20</v>
      </c>
      <c r="M390" s="5">
        <v>144</v>
      </c>
      <c r="N390" s="5">
        <v>288</v>
      </c>
      <c r="O390" s="5">
        <v>144</v>
      </c>
      <c r="P390" s="5">
        <v>144</v>
      </c>
      <c r="Q390" s="5">
        <v>288</v>
      </c>
      <c r="R390" s="5">
        <v>144</v>
      </c>
      <c r="S390" s="5">
        <v>576</v>
      </c>
      <c r="T390" s="5">
        <v>144</v>
      </c>
      <c r="U390" s="5">
        <v>576</v>
      </c>
      <c r="V390" s="5">
        <v>720</v>
      </c>
      <c r="W390" s="5">
        <v>432</v>
      </c>
      <c r="X390" s="5">
        <v>432</v>
      </c>
      <c r="Z390" t="e">
        <f>VLOOKUP(E390,Sheet2!$A$1:$A$39,1,0)</f>
        <v>#N/A</v>
      </c>
      <c r="AA390">
        <f>VLOOKUP($E390,[1]Sheet1!$E$10:$X$629,AA$9,0)</f>
        <v>144</v>
      </c>
      <c r="AB390">
        <f>VLOOKUP($E390,[1]Sheet1!$E$10:$X$629,AB$9,0)</f>
        <v>0</v>
      </c>
      <c r="AC390">
        <f>VLOOKUP($E390,[1]Sheet1!$E$10:$X$629,AC$9,0)</f>
        <v>288</v>
      </c>
      <c r="AD390">
        <f>VLOOKUP($E390,[1]Sheet1!$E$10:$X$629,AD$9,0)</f>
        <v>432</v>
      </c>
      <c r="AE390">
        <f>VLOOKUP($E390,[1]Sheet1!$E$10:$X$629,AE$9,0)</f>
        <v>144</v>
      </c>
      <c r="AF390">
        <f>VLOOKUP($E390,[1]Sheet1!$E$10:$X$629,AF$9,0)</f>
        <v>576</v>
      </c>
      <c r="AG390">
        <f>VLOOKUP($E390,[1]Sheet1!$E$10:$X$629,AG$9,0)</f>
        <v>576</v>
      </c>
      <c r="AH390">
        <f>VLOOKUP($E390,[1]Sheet1!$E$10:$X$629,AH$9,0)</f>
        <v>144</v>
      </c>
      <c r="AJ390">
        <f t="shared" si="19"/>
        <v>1872</v>
      </c>
      <c r="AK390">
        <f t="shared" si="20"/>
        <v>2304</v>
      </c>
      <c r="AL390">
        <f t="shared" si="21"/>
        <v>-432</v>
      </c>
    </row>
    <row r="391" spans="1:38" ht="39.6" x14ac:dyDescent="0.3">
      <c r="A391" s="4" t="s">
        <v>1137</v>
      </c>
      <c r="B391" s="5" t="s">
        <v>1138</v>
      </c>
      <c r="C391" s="21" t="s">
        <v>1139</v>
      </c>
      <c r="D391" s="20"/>
      <c r="E391" s="4">
        <v>1002535</v>
      </c>
      <c r="F391" s="4" t="s">
        <v>44</v>
      </c>
      <c r="G391" s="4" t="s">
        <v>45</v>
      </c>
      <c r="H391" s="4" t="s">
        <v>61</v>
      </c>
      <c r="I391" s="4" t="s">
        <v>57</v>
      </c>
      <c r="J391" s="4" t="s">
        <v>47</v>
      </c>
      <c r="K391" s="4">
        <v>10</v>
      </c>
      <c r="L391" s="4">
        <v>20</v>
      </c>
      <c r="M391" s="5">
        <v>288</v>
      </c>
      <c r="N391" s="5">
        <v>144</v>
      </c>
      <c r="O391" s="5">
        <v>432</v>
      </c>
      <c r="P391" s="5">
        <v>144</v>
      </c>
      <c r="Q391" s="5">
        <v>576</v>
      </c>
      <c r="R391" s="5">
        <v>432</v>
      </c>
      <c r="S391" s="5">
        <v>432</v>
      </c>
      <c r="T391" s="5">
        <v>288</v>
      </c>
      <c r="U391" s="5">
        <v>720</v>
      </c>
      <c r="V391" s="5">
        <v>720</v>
      </c>
      <c r="W391" s="5">
        <v>720</v>
      </c>
      <c r="X391" s="5">
        <v>576</v>
      </c>
      <c r="Z391" t="e">
        <f>VLOOKUP(E391,Sheet2!$A$1:$A$39,1,0)</f>
        <v>#N/A</v>
      </c>
      <c r="AA391">
        <f>VLOOKUP($E391,[1]Sheet1!$E$10:$X$629,AA$9,0)</f>
        <v>288</v>
      </c>
      <c r="AB391">
        <f>VLOOKUP($E391,[1]Sheet1!$E$10:$X$629,AB$9,0)</f>
        <v>288</v>
      </c>
      <c r="AC391">
        <f>VLOOKUP($E391,[1]Sheet1!$E$10:$X$629,AC$9,0)</f>
        <v>432</v>
      </c>
      <c r="AD391">
        <f>VLOOKUP($E391,[1]Sheet1!$E$10:$X$629,AD$9,0)</f>
        <v>288</v>
      </c>
      <c r="AE391">
        <f>VLOOKUP($E391,[1]Sheet1!$E$10:$X$629,AE$9,0)</f>
        <v>576</v>
      </c>
      <c r="AF391">
        <f>VLOOKUP($E391,[1]Sheet1!$E$10:$X$629,AF$9,0)</f>
        <v>432</v>
      </c>
      <c r="AG391">
        <f>VLOOKUP($E391,[1]Sheet1!$E$10:$X$629,AG$9,0)</f>
        <v>576</v>
      </c>
      <c r="AH391">
        <f>VLOOKUP($E391,[1]Sheet1!$E$10:$X$629,AH$9,0)</f>
        <v>144</v>
      </c>
      <c r="AJ391">
        <f t="shared" si="19"/>
        <v>2736</v>
      </c>
      <c r="AK391">
        <f t="shared" si="20"/>
        <v>3024</v>
      </c>
      <c r="AL391">
        <f t="shared" si="21"/>
        <v>-288</v>
      </c>
    </row>
    <row r="392" spans="1:38" ht="39.6" x14ac:dyDescent="0.3">
      <c r="A392" s="4" t="s">
        <v>1140</v>
      </c>
      <c r="B392" s="5" t="s">
        <v>1141</v>
      </c>
      <c r="C392" s="21" t="s">
        <v>1142</v>
      </c>
      <c r="D392" s="20"/>
      <c r="E392" s="4">
        <v>1002185</v>
      </c>
      <c r="F392" s="4" t="s">
        <v>44</v>
      </c>
      <c r="G392" s="4" t="s">
        <v>45</v>
      </c>
      <c r="H392" s="4" t="s">
        <v>61</v>
      </c>
      <c r="I392" s="4" t="s">
        <v>57</v>
      </c>
      <c r="J392" s="4" t="s">
        <v>47</v>
      </c>
      <c r="K392" s="4">
        <v>10</v>
      </c>
      <c r="L392" s="4">
        <v>20</v>
      </c>
      <c r="M392" s="5">
        <v>0</v>
      </c>
      <c r="N392" s="5">
        <v>0</v>
      </c>
      <c r="O392" s="5">
        <v>0</v>
      </c>
      <c r="P392" s="5">
        <v>0</v>
      </c>
      <c r="Q392" s="5">
        <v>288</v>
      </c>
      <c r="R392" s="5">
        <v>144</v>
      </c>
      <c r="S392" s="5">
        <v>144</v>
      </c>
      <c r="T392" s="5">
        <v>144</v>
      </c>
      <c r="U392" s="5">
        <v>288</v>
      </c>
      <c r="V392" s="5">
        <v>864</v>
      </c>
      <c r="W392" s="5">
        <v>432</v>
      </c>
      <c r="X392" s="5">
        <v>864</v>
      </c>
      <c r="Z392" t="e">
        <f>VLOOKUP(E392,Sheet2!$A$1:$A$39,1,0)</f>
        <v>#N/A</v>
      </c>
      <c r="AA392">
        <f>VLOOKUP($E392,[1]Sheet1!$E$10:$X$629,AA$9,0)</f>
        <v>0</v>
      </c>
      <c r="AB392">
        <f>VLOOKUP($E392,[1]Sheet1!$E$10:$X$629,AB$9,0)</f>
        <v>0</v>
      </c>
      <c r="AC392">
        <f>VLOOKUP($E392,[1]Sheet1!$E$10:$X$629,AC$9,0)</f>
        <v>0</v>
      </c>
      <c r="AD392">
        <f>VLOOKUP($E392,[1]Sheet1!$E$10:$X$629,AD$9,0)</f>
        <v>144</v>
      </c>
      <c r="AE392">
        <f>VLOOKUP($E392,[1]Sheet1!$E$10:$X$629,AE$9,0)</f>
        <v>432</v>
      </c>
      <c r="AF392">
        <f>VLOOKUP($E392,[1]Sheet1!$E$10:$X$629,AF$9,0)</f>
        <v>432</v>
      </c>
      <c r="AG392">
        <f>VLOOKUP($E392,[1]Sheet1!$E$10:$X$629,AG$9,0)</f>
        <v>288</v>
      </c>
      <c r="AH392">
        <f>VLOOKUP($E392,[1]Sheet1!$E$10:$X$629,AH$9,0)</f>
        <v>288</v>
      </c>
      <c r="AJ392">
        <f t="shared" si="19"/>
        <v>720</v>
      </c>
      <c r="AK392">
        <f t="shared" si="20"/>
        <v>1584</v>
      </c>
      <c r="AL392">
        <f t="shared" si="21"/>
        <v>-864</v>
      </c>
    </row>
    <row r="393" spans="1:38" ht="39.6" x14ac:dyDescent="0.3">
      <c r="A393" s="4" t="s">
        <v>1143</v>
      </c>
      <c r="B393" s="5" t="s">
        <v>1144</v>
      </c>
      <c r="C393" s="21" t="s">
        <v>1145</v>
      </c>
      <c r="D393" s="20"/>
      <c r="E393" s="4">
        <v>1002183</v>
      </c>
      <c r="F393" s="4" t="s">
        <v>44</v>
      </c>
      <c r="G393" s="4" t="s">
        <v>45</v>
      </c>
      <c r="H393" s="4" t="s">
        <v>56</v>
      </c>
      <c r="I393" s="4" t="s">
        <v>57</v>
      </c>
      <c r="J393" s="4" t="s">
        <v>47</v>
      </c>
      <c r="K393" s="4">
        <v>10</v>
      </c>
      <c r="L393" s="4">
        <v>20</v>
      </c>
      <c r="M393" s="5">
        <v>2016</v>
      </c>
      <c r="N393" s="5">
        <v>1728</v>
      </c>
      <c r="O393" s="5">
        <v>2304</v>
      </c>
      <c r="P393" s="5">
        <v>2736</v>
      </c>
      <c r="Q393" s="5">
        <v>2736</v>
      </c>
      <c r="R393" s="5">
        <v>2448</v>
      </c>
      <c r="S393" s="5">
        <v>1728</v>
      </c>
      <c r="T393" s="5">
        <v>1872</v>
      </c>
      <c r="U393" s="5">
        <v>2592</v>
      </c>
      <c r="V393" s="5">
        <v>3456</v>
      </c>
      <c r="W393" s="5">
        <v>1728</v>
      </c>
      <c r="X393" s="5">
        <v>3312</v>
      </c>
      <c r="Z393" t="e">
        <f>VLOOKUP(E393,Sheet2!$A$1:$A$39,1,0)</f>
        <v>#N/A</v>
      </c>
      <c r="AA393">
        <f>VLOOKUP($E393,[1]Sheet1!$E$10:$X$629,AA$9,0)</f>
        <v>864</v>
      </c>
      <c r="AB393">
        <f>VLOOKUP($E393,[1]Sheet1!$E$10:$X$629,AB$9,0)</f>
        <v>864</v>
      </c>
      <c r="AC393">
        <f>VLOOKUP($E393,[1]Sheet1!$E$10:$X$629,AC$9,0)</f>
        <v>1296</v>
      </c>
      <c r="AD393">
        <f>VLOOKUP($E393,[1]Sheet1!$E$10:$X$629,AD$9,0)</f>
        <v>1584</v>
      </c>
      <c r="AE393">
        <f>VLOOKUP($E393,[1]Sheet1!$E$10:$X$629,AE$9,0)</f>
        <v>1440</v>
      </c>
      <c r="AF393">
        <f>VLOOKUP($E393,[1]Sheet1!$E$10:$X$629,AF$9,0)</f>
        <v>1440</v>
      </c>
      <c r="AG393">
        <f>VLOOKUP($E393,[1]Sheet1!$E$10:$X$629,AG$9,0)</f>
        <v>1008</v>
      </c>
      <c r="AH393">
        <f>VLOOKUP($E393,[1]Sheet1!$E$10:$X$629,AH$9,0)</f>
        <v>576</v>
      </c>
      <c r="AJ393">
        <f t="shared" si="19"/>
        <v>17568</v>
      </c>
      <c r="AK393">
        <f t="shared" si="20"/>
        <v>9072</v>
      </c>
      <c r="AL393">
        <f t="shared" si="21"/>
        <v>8496</v>
      </c>
    </row>
    <row r="394" spans="1:38" ht="39.6" x14ac:dyDescent="0.3">
      <c r="A394" s="4" t="s">
        <v>1146</v>
      </c>
      <c r="B394" s="5" t="s">
        <v>1147</v>
      </c>
      <c r="C394" s="21" t="s">
        <v>1148</v>
      </c>
      <c r="D394" s="20"/>
      <c r="E394" s="4">
        <v>1002184</v>
      </c>
      <c r="F394" s="4" t="s">
        <v>44</v>
      </c>
      <c r="G394" s="4" t="s">
        <v>45</v>
      </c>
      <c r="H394" s="4" t="s">
        <v>61</v>
      </c>
      <c r="I394" s="4" t="s">
        <v>57</v>
      </c>
      <c r="J394" s="4" t="s">
        <v>47</v>
      </c>
      <c r="K394" s="4">
        <v>10</v>
      </c>
      <c r="L394" s="4">
        <v>20</v>
      </c>
      <c r="M394" s="5">
        <v>288</v>
      </c>
      <c r="N394" s="5">
        <v>720</v>
      </c>
      <c r="O394" s="5">
        <v>720</v>
      </c>
      <c r="P394" s="5">
        <v>864</v>
      </c>
      <c r="Q394" s="5">
        <v>1008</v>
      </c>
      <c r="R394" s="5">
        <v>720</v>
      </c>
      <c r="S394" s="5">
        <v>1008</v>
      </c>
      <c r="T394" s="5">
        <v>720</v>
      </c>
      <c r="U394" s="5">
        <v>720</v>
      </c>
      <c r="V394" s="5">
        <v>1584</v>
      </c>
      <c r="W394" s="5">
        <v>1008</v>
      </c>
      <c r="X394" s="5">
        <v>1152</v>
      </c>
      <c r="Z394" t="e">
        <f>VLOOKUP(E394,Sheet2!$A$1:$A$39,1,0)</f>
        <v>#N/A</v>
      </c>
      <c r="AA394">
        <f>VLOOKUP($E394,[1]Sheet1!$E$10:$X$629,AA$9,0)</f>
        <v>576</v>
      </c>
      <c r="AB394">
        <f>VLOOKUP($E394,[1]Sheet1!$E$10:$X$629,AB$9,0)</f>
        <v>432</v>
      </c>
      <c r="AC394">
        <f>VLOOKUP($E394,[1]Sheet1!$E$10:$X$629,AC$9,0)</f>
        <v>1008</v>
      </c>
      <c r="AD394">
        <f>VLOOKUP($E394,[1]Sheet1!$E$10:$X$629,AD$9,0)</f>
        <v>1008</v>
      </c>
      <c r="AE394">
        <f>VLOOKUP($E394,[1]Sheet1!$E$10:$X$629,AE$9,0)</f>
        <v>1008</v>
      </c>
      <c r="AF394">
        <f>VLOOKUP($E394,[1]Sheet1!$E$10:$X$629,AF$9,0)</f>
        <v>864</v>
      </c>
      <c r="AG394">
        <f>VLOOKUP($E394,[1]Sheet1!$E$10:$X$629,AG$9,0)</f>
        <v>1008</v>
      </c>
      <c r="AH394">
        <f>VLOOKUP($E394,[1]Sheet1!$E$10:$X$629,AH$9,0)</f>
        <v>288</v>
      </c>
      <c r="AJ394">
        <f t="shared" si="19"/>
        <v>6048</v>
      </c>
      <c r="AK394">
        <f t="shared" si="20"/>
        <v>6192</v>
      </c>
      <c r="AL394">
        <f t="shared" si="21"/>
        <v>-144</v>
      </c>
    </row>
    <row r="395" spans="1:38" ht="39.6" x14ac:dyDescent="0.3">
      <c r="A395" s="4" t="s">
        <v>1149</v>
      </c>
      <c r="B395" s="5" t="s">
        <v>1150</v>
      </c>
      <c r="C395" s="21" t="s">
        <v>1151</v>
      </c>
      <c r="D395" s="20"/>
      <c r="E395" s="4">
        <v>1002537</v>
      </c>
      <c r="F395" s="4" t="s">
        <v>44</v>
      </c>
      <c r="G395" s="4" t="s">
        <v>45</v>
      </c>
      <c r="H395" s="4" t="s">
        <v>61</v>
      </c>
      <c r="I395" s="4" t="s">
        <v>57</v>
      </c>
      <c r="J395" s="4" t="s">
        <v>47</v>
      </c>
      <c r="K395" s="4">
        <v>10</v>
      </c>
      <c r="L395" s="4">
        <v>20</v>
      </c>
      <c r="M395" s="5">
        <v>0</v>
      </c>
      <c r="N395" s="5">
        <v>144</v>
      </c>
      <c r="O395" s="5">
        <v>0</v>
      </c>
      <c r="P395" s="5">
        <v>144</v>
      </c>
      <c r="Q395" s="5">
        <v>0</v>
      </c>
      <c r="R395" s="5">
        <v>144</v>
      </c>
      <c r="S395" s="5">
        <v>0</v>
      </c>
      <c r="T395" s="5">
        <v>288</v>
      </c>
      <c r="U395" s="5">
        <v>0</v>
      </c>
      <c r="V395" s="5">
        <v>288</v>
      </c>
      <c r="W395" s="5">
        <v>0</v>
      </c>
      <c r="X395" s="5">
        <v>288</v>
      </c>
      <c r="Z395" t="e">
        <f>VLOOKUP(E395,Sheet2!$A$1:$A$39,1,0)</f>
        <v>#N/A</v>
      </c>
      <c r="AA395">
        <f>VLOOKUP($E395,[1]Sheet1!$E$10:$X$629,AA$9,0)</f>
        <v>0</v>
      </c>
      <c r="AB395">
        <f>VLOOKUP($E395,[1]Sheet1!$E$10:$X$629,AB$9,0)</f>
        <v>144</v>
      </c>
      <c r="AC395">
        <f>VLOOKUP($E395,[1]Sheet1!$E$10:$X$629,AC$9,0)</f>
        <v>0</v>
      </c>
      <c r="AD395">
        <f>VLOOKUP($E395,[1]Sheet1!$E$10:$X$629,AD$9,0)</f>
        <v>0</v>
      </c>
      <c r="AE395">
        <f>VLOOKUP($E395,[1]Sheet1!$E$10:$X$629,AE$9,0)</f>
        <v>144</v>
      </c>
      <c r="AF395">
        <f>VLOOKUP($E395,[1]Sheet1!$E$10:$X$629,AF$9,0)</f>
        <v>0</v>
      </c>
      <c r="AG395">
        <f>VLOOKUP($E395,[1]Sheet1!$E$10:$X$629,AG$9,0)</f>
        <v>144</v>
      </c>
      <c r="AH395">
        <f>VLOOKUP($E395,[1]Sheet1!$E$10:$X$629,AH$9,0)</f>
        <v>144</v>
      </c>
      <c r="AJ395">
        <f t="shared" ref="AJ395:AJ458" si="22">SUM(M395:T395)</f>
        <v>720</v>
      </c>
      <c r="AK395">
        <f t="shared" ref="AK395:AK458" si="23">SUM(AA395:AH395)</f>
        <v>576</v>
      </c>
      <c r="AL395">
        <f t="shared" ref="AL395:AL458" si="24">IFERROR(AJ395-AK395,0)</f>
        <v>144</v>
      </c>
    </row>
    <row r="396" spans="1:38" ht="39.6" x14ac:dyDescent="0.3">
      <c r="A396" s="4" t="s">
        <v>1152</v>
      </c>
      <c r="B396" s="5" t="s">
        <v>1153</v>
      </c>
      <c r="C396" s="21" t="s">
        <v>1154</v>
      </c>
      <c r="D396" s="20"/>
      <c r="E396" s="4">
        <v>1100004</v>
      </c>
      <c r="F396" s="4" t="s">
        <v>44</v>
      </c>
      <c r="G396" s="4" t="s">
        <v>45</v>
      </c>
      <c r="H396" s="4" t="s">
        <v>51</v>
      </c>
      <c r="I396" s="4" t="s">
        <v>46</v>
      </c>
      <c r="J396" s="4" t="s">
        <v>47</v>
      </c>
      <c r="K396" s="4">
        <v>9</v>
      </c>
      <c r="L396" s="4">
        <v>1.8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Z396" t="e">
        <f>VLOOKUP(E396,Sheet2!$A$1:$A$39,1,0)</f>
        <v>#N/A</v>
      </c>
      <c r="AA396">
        <f>VLOOKUP($E396,[1]Sheet1!$E$10:$X$629,AA$9,0)</f>
        <v>0</v>
      </c>
      <c r="AB396">
        <f>VLOOKUP($E396,[1]Sheet1!$E$10:$X$629,AB$9,0)</f>
        <v>0</v>
      </c>
      <c r="AC396">
        <f>VLOOKUP($E396,[1]Sheet1!$E$10:$X$629,AC$9,0)</f>
        <v>0</v>
      </c>
      <c r="AD396">
        <f>VLOOKUP($E396,[1]Sheet1!$E$10:$X$629,AD$9,0)</f>
        <v>0</v>
      </c>
      <c r="AE396">
        <f>VLOOKUP($E396,[1]Sheet1!$E$10:$X$629,AE$9,0)</f>
        <v>0</v>
      </c>
      <c r="AF396">
        <f>VLOOKUP($E396,[1]Sheet1!$E$10:$X$629,AF$9,0)</f>
        <v>0</v>
      </c>
      <c r="AG396">
        <f>VLOOKUP($E396,[1]Sheet1!$E$10:$X$629,AG$9,0)</f>
        <v>0</v>
      </c>
      <c r="AH396">
        <f>VLOOKUP($E396,[1]Sheet1!$E$10:$X$629,AH$9,0)</f>
        <v>0</v>
      </c>
      <c r="AJ396">
        <f t="shared" si="22"/>
        <v>0</v>
      </c>
      <c r="AK396">
        <f t="shared" si="23"/>
        <v>0</v>
      </c>
      <c r="AL396">
        <f t="shared" si="24"/>
        <v>0</v>
      </c>
    </row>
    <row r="397" spans="1:38" ht="39.6" x14ac:dyDescent="0.3">
      <c r="A397" s="4" t="s">
        <v>1155</v>
      </c>
      <c r="B397" s="5" t="s">
        <v>1156</v>
      </c>
      <c r="C397" s="21" t="s">
        <v>1157</v>
      </c>
      <c r="D397" s="20"/>
      <c r="E397" s="4">
        <v>1100005</v>
      </c>
      <c r="F397" s="4" t="s">
        <v>44</v>
      </c>
      <c r="G397" s="4" t="s">
        <v>45</v>
      </c>
      <c r="H397" s="4" t="s">
        <v>51</v>
      </c>
      <c r="I397" s="4" t="s">
        <v>46</v>
      </c>
      <c r="J397" s="4" t="s">
        <v>47</v>
      </c>
      <c r="K397" s="4">
        <v>9</v>
      </c>
      <c r="L397" s="4">
        <v>1.8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Z397" t="e">
        <f>VLOOKUP(E397,Sheet2!$A$1:$A$39,1,0)</f>
        <v>#N/A</v>
      </c>
      <c r="AA397">
        <f>VLOOKUP($E397,[1]Sheet1!$E$10:$X$629,AA$9,0)</f>
        <v>0</v>
      </c>
      <c r="AB397">
        <f>VLOOKUP($E397,[1]Sheet1!$E$10:$X$629,AB$9,0)</f>
        <v>0</v>
      </c>
      <c r="AC397">
        <f>VLOOKUP($E397,[1]Sheet1!$E$10:$X$629,AC$9,0)</f>
        <v>0</v>
      </c>
      <c r="AD397">
        <f>VLOOKUP($E397,[1]Sheet1!$E$10:$X$629,AD$9,0)</f>
        <v>0</v>
      </c>
      <c r="AE397">
        <f>VLOOKUP($E397,[1]Sheet1!$E$10:$X$629,AE$9,0)</f>
        <v>0</v>
      </c>
      <c r="AF397">
        <f>VLOOKUP($E397,[1]Sheet1!$E$10:$X$629,AF$9,0)</f>
        <v>0</v>
      </c>
      <c r="AG397">
        <f>VLOOKUP($E397,[1]Sheet1!$E$10:$X$629,AG$9,0)</f>
        <v>0</v>
      </c>
      <c r="AH397">
        <f>VLOOKUP($E397,[1]Sheet1!$E$10:$X$629,AH$9,0)</f>
        <v>0</v>
      </c>
      <c r="AJ397">
        <f t="shared" si="22"/>
        <v>0</v>
      </c>
      <c r="AK397">
        <f t="shared" si="23"/>
        <v>0</v>
      </c>
      <c r="AL397">
        <f t="shared" si="24"/>
        <v>0</v>
      </c>
    </row>
    <row r="398" spans="1:38" ht="39.6" x14ac:dyDescent="0.3">
      <c r="A398" s="4" t="s">
        <v>1158</v>
      </c>
      <c r="B398" s="5" t="s">
        <v>1159</v>
      </c>
      <c r="C398" s="21" t="s">
        <v>1160</v>
      </c>
      <c r="D398" s="20"/>
      <c r="E398" s="4">
        <v>1100002</v>
      </c>
      <c r="F398" s="4" t="s">
        <v>44</v>
      </c>
      <c r="G398" s="4" t="s">
        <v>45</v>
      </c>
      <c r="H398" s="4" t="s">
        <v>51</v>
      </c>
      <c r="I398" s="4" t="s">
        <v>46</v>
      </c>
      <c r="J398" s="4" t="s">
        <v>47</v>
      </c>
      <c r="K398" s="4">
        <v>9</v>
      </c>
      <c r="L398" s="4">
        <v>1.8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Z398" t="e">
        <f>VLOOKUP(E398,Sheet2!$A$1:$A$39,1,0)</f>
        <v>#N/A</v>
      </c>
      <c r="AA398">
        <f>VLOOKUP($E398,[1]Sheet1!$E$10:$X$629,AA$9,0)</f>
        <v>0</v>
      </c>
      <c r="AB398">
        <f>VLOOKUP($E398,[1]Sheet1!$E$10:$X$629,AB$9,0)</f>
        <v>0</v>
      </c>
      <c r="AC398">
        <f>VLOOKUP($E398,[1]Sheet1!$E$10:$X$629,AC$9,0)</f>
        <v>0</v>
      </c>
      <c r="AD398">
        <f>VLOOKUP($E398,[1]Sheet1!$E$10:$X$629,AD$9,0)</f>
        <v>0</v>
      </c>
      <c r="AE398">
        <f>VLOOKUP($E398,[1]Sheet1!$E$10:$X$629,AE$9,0)</f>
        <v>0</v>
      </c>
      <c r="AF398">
        <f>VLOOKUP($E398,[1]Sheet1!$E$10:$X$629,AF$9,0)</f>
        <v>0</v>
      </c>
      <c r="AG398">
        <f>VLOOKUP($E398,[1]Sheet1!$E$10:$X$629,AG$9,0)</f>
        <v>0</v>
      </c>
      <c r="AH398">
        <f>VLOOKUP($E398,[1]Sheet1!$E$10:$X$629,AH$9,0)</f>
        <v>0</v>
      </c>
      <c r="AJ398">
        <f t="shared" si="22"/>
        <v>0</v>
      </c>
      <c r="AK398">
        <f t="shared" si="23"/>
        <v>0</v>
      </c>
      <c r="AL398">
        <f t="shared" si="24"/>
        <v>0</v>
      </c>
    </row>
    <row r="399" spans="1:38" ht="39.6" x14ac:dyDescent="0.3">
      <c r="A399" s="4" t="s">
        <v>1161</v>
      </c>
      <c r="B399" s="5" t="s">
        <v>1162</v>
      </c>
      <c r="C399" s="21" t="s">
        <v>1163</v>
      </c>
      <c r="D399" s="20"/>
      <c r="E399" s="4">
        <v>1100006</v>
      </c>
      <c r="F399" s="4" t="s">
        <v>44</v>
      </c>
      <c r="G399" s="4" t="s">
        <v>45</v>
      </c>
      <c r="H399" s="4" t="s">
        <v>615</v>
      </c>
      <c r="I399" s="4" t="s">
        <v>57</v>
      </c>
      <c r="J399" s="4" t="s">
        <v>47</v>
      </c>
      <c r="K399" s="4">
        <v>19</v>
      </c>
      <c r="L399" s="4">
        <v>38</v>
      </c>
      <c r="M399" s="5">
        <v>3792</v>
      </c>
      <c r="N399" s="5">
        <v>5136</v>
      </c>
      <c r="O399" s="5">
        <v>5328</v>
      </c>
      <c r="P399" s="5">
        <v>4032</v>
      </c>
      <c r="Q399" s="5">
        <v>3648</v>
      </c>
      <c r="R399" s="5">
        <v>4080</v>
      </c>
      <c r="S399" s="5">
        <v>3984</v>
      </c>
      <c r="T399" s="5">
        <v>6000</v>
      </c>
      <c r="U399" s="5">
        <v>8448</v>
      </c>
      <c r="V399" s="5">
        <v>9168</v>
      </c>
      <c r="W399" s="5">
        <v>3648</v>
      </c>
      <c r="X399" s="5">
        <v>9216</v>
      </c>
      <c r="Z399" t="e">
        <f>VLOOKUP(E399,Sheet2!$A$1:$A$39,1,0)</f>
        <v>#N/A</v>
      </c>
      <c r="AA399">
        <f>VLOOKUP($E399,[1]Sheet1!$E$10:$X$629,AA$9,0)</f>
        <v>3168</v>
      </c>
      <c r="AB399">
        <f>VLOOKUP($E399,[1]Sheet1!$E$10:$X$629,AB$9,0)</f>
        <v>3744</v>
      </c>
      <c r="AC399">
        <f>VLOOKUP($E399,[1]Sheet1!$E$10:$X$629,AC$9,0)</f>
        <v>3936</v>
      </c>
      <c r="AD399">
        <f>VLOOKUP($E399,[1]Sheet1!$E$10:$X$629,AD$9,0)</f>
        <v>3120</v>
      </c>
      <c r="AE399">
        <f>VLOOKUP($E399,[1]Sheet1!$E$10:$X$629,AE$9,0)</f>
        <v>2592</v>
      </c>
      <c r="AF399">
        <f>VLOOKUP($E399,[1]Sheet1!$E$10:$X$629,AF$9,0)</f>
        <v>3264</v>
      </c>
      <c r="AG399">
        <f>VLOOKUP($E399,[1]Sheet1!$E$10:$X$629,AG$9,0)</f>
        <v>2976</v>
      </c>
      <c r="AH399">
        <f>VLOOKUP($E399,[1]Sheet1!$E$10:$X$629,AH$9,0)</f>
        <v>1344</v>
      </c>
      <c r="AJ399">
        <f t="shared" si="22"/>
        <v>36000</v>
      </c>
      <c r="AK399">
        <f t="shared" si="23"/>
        <v>24144</v>
      </c>
      <c r="AL399">
        <f t="shared" si="24"/>
        <v>11856</v>
      </c>
    </row>
    <row r="400" spans="1:38" ht="39.6" x14ac:dyDescent="0.3">
      <c r="A400" s="4" t="s">
        <v>1164</v>
      </c>
      <c r="B400" s="5" t="s">
        <v>1165</v>
      </c>
      <c r="C400" s="21" t="s">
        <v>1166</v>
      </c>
      <c r="D400" s="20"/>
      <c r="E400" s="4">
        <v>1100001</v>
      </c>
      <c r="F400" s="4" t="s">
        <v>44</v>
      </c>
      <c r="G400" s="4" t="s">
        <v>45</v>
      </c>
      <c r="H400" s="4" t="s">
        <v>51</v>
      </c>
      <c r="I400" s="4" t="s">
        <v>46</v>
      </c>
      <c r="J400" s="4" t="s">
        <v>47</v>
      </c>
      <c r="K400" s="4">
        <v>9</v>
      </c>
      <c r="L400" s="4">
        <v>1.8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Z400" t="e">
        <f>VLOOKUP(E400,Sheet2!$A$1:$A$39,1,0)</f>
        <v>#N/A</v>
      </c>
      <c r="AA400">
        <f>VLOOKUP($E400,[1]Sheet1!$E$10:$X$629,AA$9,0)</f>
        <v>0</v>
      </c>
      <c r="AB400">
        <f>VLOOKUP($E400,[1]Sheet1!$E$10:$X$629,AB$9,0)</f>
        <v>0</v>
      </c>
      <c r="AC400">
        <f>VLOOKUP($E400,[1]Sheet1!$E$10:$X$629,AC$9,0)</f>
        <v>0</v>
      </c>
      <c r="AD400">
        <f>VLOOKUP($E400,[1]Sheet1!$E$10:$X$629,AD$9,0)</f>
        <v>0</v>
      </c>
      <c r="AE400">
        <f>VLOOKUP($E400,[1]Sheet1!$E$10:$X$629,AE$9,0)</f>
        <v>0</v>
      </c>
      <c r="AF400">
        <f>VLOOKUP($E400,[1]Sheet1!$E$10:$X$629,AF$9,0)</f>
        <v>0</v>
      </c>
      <c r="AG400">
        <f>VLOOKUP($E400,[1]Sheet1!$E$10:$X$629,AG$9,0)</f>
        <v>0</v>
      </c>
      <c r="AH400">
        <f>VLOOKUP($E400,[1]Sheet1!$E$10:$X$629,AH$9,0)</f>
        <v>0</v>
      </c>
      <c r="AJ400">
        <f t="shared" si="22"/>
        <v>0</v>
      </c>
      <c r="AK400">
        <f t="shared" si="23"/>
        <v>0</v>
      </c>
      <c r="AL400">
        <f t="shared" si="24"/>
        <v>0</v>
      </c>
    </row>
    <row r="401" spans="1:38" ht="39.6" x14ac:dyDescent="0.3">
      <c r="A401" s="4" t="s">
        <v>1167</v>
      </c>
      <c r="B401" s="5" t="s">
        <v>1168</v>
      </c>
      <c r="C401" s="21" t="s">
        <v>1169</v>
      </c>
      <c r="D401" s="20"/>
      <c r="E401" s="4">
        <v>1100003</v>
      </c>
      <c r="F401" s="4" t="s">
        <v>44</v>
      </c>
      <c r="G401" s="4" t="s">
        <v>45</v>
      </c>
      <c r="H401" s="4" t="s">
        <v>51</v>
      </c>
      <c r="I401" s="4" t="s">
        <v>46</v>
      </c>
      <c r="J401" s="4" t="s">
        <v>47</v>
      </c>
      <c r="K401" s="4">
        <v>9</v>
      </c>
      <c r="L401" s="4">
        <v>1.8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Z401" t="e">
        <f>VLOOKUP(E401,Sheet2!$A$1:$A$39,1,0)</f>
        <v>#N/A</v>
      </c>
      <c r="AA401">
        <f>VLOOKUP($E401,[1]Sheet1!$E$10:$X$629,AA$9,0)</f>
        <v>0</v>
      </c>
      <c r="AB401">
        <f>VLOOKUP($E401,[1]Sheet1!$E$10:$X$629,AB$9,0)</f>
        <v>0</v>
      </c>
      <c r="AC401">
        <f>VLOOKUP($E401,[1]Sheet1!$E$10:$X$629,AC$9,0)</f>
        <v>0</v>
      </c>
      <c r="AD401">
        <f>VLOOKUP($E401,[1]Sheet1!$E$10:$X$629,AD$9,0)</f>
        <v>0</v>
      </c>
      <c r="AE401">
        <f>VLOOKUP($E401,[1]Sheet1!$E$10:$X$629,AE$9,0)</f>
        <v>0</v>
      </c>
      <c r="AF401">
        <f>VLOOKUP($E401,[1]Sheet1!$E$10:$X$629,AF$9,0)</f>
        <v>0</v>
      </c>
      <c r="AG401">
        <f>VLOOKUP($E401,[1]Sheet1!$E$10:$X$629,AG$9,0)</f>
        <v>0</v>
      </c>
      <c r="AH401">
        <f>VLOOKUP($E401,[1]Sheet1!$E$10:$X$629,AH$9,0)</f>
        <v>0</v>
      </c>
      <c r="AJ401">
        <f t="shared" si="22"/>
        <v>0</v>
      </c>
      <c r="AK401">
        <f t="shared" si="23"/>
        <v>0</v>
      </c>
      <c r="AL401">
        <f t="shared" si="24"/>
        <v>0</v>
      </c>
    </row>
    <row r="402" spans="1:38" ht="39.6" x14ac:dyDescent="0.3">
      <c r="A402" s="4" t="s">
        <v>1170</v>
      </c>
      <c r="B402" s="5" t="s">
        <v>1171</v>
      </c>
      <c r="C402" s="21" t="s">
        <v>1172</v>
      </c>
      <c r="D402" s="20"/>
      <c r="E402" s="4">
        <v>1001832</v>
      </c>
      <c r="F402" s="4" t="s">
        <v>44</v>
      </c>
      <c r="G402" s="4" t="s">
        <v>45</v>
      </c>
      <c r="H402" s="4" t="s">
        <v>61</v>
      </c>
      <c r="I402" s="4" t="s">
        <v>57</v>
      </c>
      <c r="J402" s="4" t="s">
        <v>47</v>
      </c>
      <c r="K402" s="4">
        <v>7.5</v>
      </c>
      <c r="L402" s="4">
        <v>15</v>
      </c>
      <c r="M402" s="5">
        <v>432</v>
      </c>
      <c r="N402" s="5">
        <v>288</v>
      </c>
      <c r="O402" s="5">
        <v>288</v>
      </c>
      <c r="P402" s="5">
        <v>288</v>
      </c>
      <c r="Q402" s="5">
        <v>576</v>
      </c>
      <c r="R402" s="5">
        <v>288</v>
      </c>
      <c r="S402" s="5">
        <v>432</v>
      </c>
      <c r="T402" s="5">
        <v>432</v>
      </c>
      <c r="U402" s="5">
        <v>432</v>
      </c>
      <c r="V402" s="5">
        <v>576</v>
      </c>
      <c r="W402" s="5">
        <v>432</v>
      </c>
      <c r="X402" s="5">
        <v>576</v>
      </c>
      <c r="Z402" t="e">
        <f>VLOOKUP(E402,Sheet2!$A$1:$A$39,1,0)</f>
        <v>#N/A</v>
      </c>
      <c r="AA402">
        <f>VLOOKUP($E402,[1]Sheet1!$E$10:$X$629,AA$9,0)</f>
        <v>144</v>
      </c>
      <c r="AB402">
        <f>VLOOKUP($E402,[1]Sheet1!$E$10:$X$629,AB$9,0)</f>
        <v>288</v>
      </c>
      <c r="AC402">
        <f>VLOOKUP($E402,[1]Sheet1!$E$10:$X$629,AC$9,0)</f>
        <v>576</v>
      </c>
      <c r="AD402">
        <f>VLOOKUP($E402,[1]Sheet1!$E$10:$X$629,AD$9,0)</f>
        <v>0</v>
      </c>
      <c r="AE402">
        <f>VLOOKUP($E402,[1]Sheet1!$E$10:$X$629,AE$9,0)</f>
        <v>432</v>
      </c>
      <c r="AF402">
        <f>VLOOKUP($E402,[1]Sheet1!$E$10:$X$629,AF$9,0)</f>
        <v>576</v>
      </c>
      <c r="AG402">
        <f>VLOOKUP($E402,[1]Sheet1!$E$10:$X$629,AG$9,0)</f>
        <v>144</v>
      </c>
      <c r="AH402">
        <f>VLOOKUP($E402,[1]Sheet1!$E$10:$X$629,AH$9,0)</f>
        <v>288</v>
      </c>
      <c r="AJ402">
        <f t="shared" si="22"/>
        <v>3024</v>
      </c>
      <c r="AK402">
        <f t="shared" si="23"/>
        <v>2448</v>
      </c>
      <c r="AL402">
        <f t="shared" si="24"/>
        <v>576</v>
      </c>
    </row>
    <row r="403" spans="1:38" ht="39.6" x14ac:dyDescent="0.3">
      <c r="A403" s="4" t="s">
        <v>1173</v>
      </c>
      <c r="B403" s="5" t="s">
        <v>1174</v>
      </c>
      <c r="C403" s="21" t="s">
        <v>1175</v>
      </c>
      <c r="D403" s="20"/>
      <c r="E403" s="4">
        <v>1002628</v>
      </c>
      <c r="F403" s="4" t="s">
        <v>44</v>
      </c>
      <c r="G403" s="4" t="s">
        <v>45</v>
      </c>
      <c r="H403" s="4" t="s">
        <v>61</v>
      </c>
      <c r="I403" s="4" t="s">
        <v>57</v>
      </c>
      <c r="J403" s="4" t="s">
        <v>47</v>
      </c>
      <c r="K403" s="4">
        <v>10</v>
      </c>
      <c r="L403" s="4">
        <v>20</v>
      </c>
      <c r="M403" s="5">
        <v>288</v>
      </c>
      <c r="N403" s="5">
        <v>0</v>
      </c>
      <c r="O403" s="5">
        <v>0</v>
      </c>
      <c r="P403" s="5">
        <v>288</v>
      </c>
      <c r="Q403" s="5">
        <v>0</v>
      </c>
      <c r="R403" s="5">
        <v>144</v>
      </c>
      <c r="S403" s="5">
        <v>432</v>
      </c>
      <c r="T403" s="5">
        <v>0</v>
      </c>
      <c r="U403" s="5">
        <v>288</v>
      </c>
      <c r="V403" s="5">
        <v>0</v>
      </c>
      <c r="W403" s="5">
        <v>432</v>
      </c>
      <c r="X403" s="5">
        <v>0</v>
      </c>
      <c r="Z403" t="e">
        <f>VLOOKUP(E403,Sheet2!$A$1:$A$39,1,0)</f>
        <v>#N/A</v>
      </c>
      <c r="AA403">
        <f>VLOOKUP($E403,[1]Sheet1!$E$10:$X$629,AA$9,0)</f>
        <v>288</v>
      </c>
      <c r="AB403">
        <f>VLOOKUP($E403,[1]Sheet1!$E$10:$X$629,AB$9,0)</f>
        <v>144</v>
      </c>
      <c r="AC403">
        <f>VLOOKUP($E403,[1]Sheet1!$E$10:$X$629,AC$9,0)</f>
        <v>432</v>
      </c>
      <c r="AD403">
        <f>VLOOKUP($E403,[1]Sheet1!$E$10:$X$629,AD$9,0)</f>
        <v>144</v>
      </c>
      <c r="AE403">
        <f>VLOOKUP($E403,[1]Sheet1!$E$10:$X$629,AE$9,0)</f>
        <v>144</v>
      </c>
      <c r="AF403">
        <f>VLOOKUP($E403,[1]Sheet1!$E$10:$X$629,AF$9,0)</f>
        <v>432</v>
      </c>
      <c r="AG403">
        <f>VLOOKUP($E403,[1]Sheet1!$E$10:$X$629,AG$9,0)</f>
        <v>144</v>
      </c>
      <c r="AH403">
        <f>VLOOKUP($E403,[1]Sheet1!$E$10:$X$629,AH$9,0)</f>
        <v>144</v>
      </c>
      <c r="AJ403">
        <f t="shared" si="22"/>
        <v>1152</v>
      </c>
      <c r="AK403">
        <f t="shared" si="23"/>
        <v>1872</v>
      </c>
      <c r="AL403">
        <f t="shared" si="24"/>
        <v>-720</v>
      </c>
    </row>
    <row r="404" spans="1:38" ht="39.6" x14ac:dyDescent="0.3">
      <c r="A404" s="4" t="s">
        <v>1176</v>
      </c>
      <c r="B404" s="5" t="s">
        <v>1177</v>
      </c>
      <c r="C404" s="21" t="s">
        <v>1178</v>
      </c>
      <c r="D404" s="20"/>
      <c r="E404" s="4">
        <v>1002629</v>
      </c>
      <c r="F404" s="4" t="s">
        <v>44</v>
      </c>
      <c r="G404" s="4" t="s">
        <v>45</v>
      </c>
      <c r="H404" s="4" t="s">
        <v>61</v>
      </c>
      <c r="I404" s="4" t="s">
        <v>57</v>
      </c>
      <c r="J404" s="4" t="s">
        <v>1179</v>
      </c>
      <c r="K404" s="4">
        <v>10</v>
      </c>
      <c r="L404" s="4">
        <v>20</v>
      </c>
      <c r="M404" s="5">
        <v>0</v>
      </c>
      <c r="N404" s="5">
        <v>144</v>
      </c>
      <c r="O404" s="5">
        <v>144</v>
      </c>
      <c r="P404" s="5">
        <v>144</v>
      </c>
      <c r="Q404" s="5">
        <v>144</v>
      </c>
      <c r="R404" s="5">
        <v>288</v>
      </c>
      <c r="S404" s="5">
        <v>288</v>
      </c>
      <c r="T404" s="5">
        <v>144</v>
      </c>
      <c r="U404" s="5">
        <v>144</v>
      </c>
      <c r="V404" s="5">
        <v>288</v>
      </c>
      <c r="W404" s="5">
        <v>576</v>
      </c>
      <c r="X404" s="5">
        <v>432</v>
      </c>
      <c r="Z404" t="e">
        <f>VLOOKUP(E404,Sheet2!$A$1:$A$39,1,0)</f>
        <v>#N/A</v>
      </c>
      <c r="AA404">
        <f>VLOOKUP($E404,[1]Sheet1!$E$10:$X$629,AA$9,0)</f>
        <v>0</v>
      </c>
      <c r="AB404">
        <f>VLOOKUP($E404,[1]Sheet1!$E$10:$X$629,AB$9,0)</f>
        <v>144</v>
      </c>
      <c r="AC404">
        <f>VLOOKUP($E404,[1]Sheet1!$E$10:$X$629,AC$9,0)</f>
        <v>288</v>
      </c>
      <c r="AD404">
        <f>VLOOKUP($E404,[1]Sheet1!$E$10:$X$629,AD$9,0)</f>
        <v>144</v>
      </c>
      <c r="AE404">
        <f>VLOOKUP($E404,[1]Sheet1!$E$10:$X$629,AE$9,0)</f>
        <v>288</v>
      </c>
      <c r="AF404">
        <f>VLOOKUP($E404,[1]Sheet1!$E$10:$X$629,AF$9,0)</f>
        <v>288</v>
      </c>
      <c r="AG404">
        <f>VLOOKUP($E404,[1]Sheet1!$E$10:$X$629,AG$9,0)</f>
        <v>288</v>
      </c>
      <c r="AH404">
        <f>VLOOKUP($E404,[1]Sheet1!$E$10:$X$629,AH$9,0)</f>
        <v>0</v>
      </c>
      <c r="AJ404">
        <f t="shared" si="22"/>
        <v>1296</v>
      </c>
      <c r="AK404">
        <f t="shared" si="23"/>
        <v>1440</v>
      </c>
      <c r="AL404">
        <f t="shared" si="24"/>
        <v>-144</v>
      </c>
    </row>
    <row r="405" spans="1:38" ht="39.6" x14ac:dyDescent="0.3">
      <c r="A405" s="4" t="s">
        <v>1180</v>
      </c>
      <c r="B405" s="5" t="s">
        <v>1181</v>
      </c>
      <c r="C405" s="21" t="s">
        <v>1182</v>
      </c>
      <c r="D405" s="20"/>
      <c r="E405" s="4">
        <v>1002630</v>
      </c>
      <c r="F405" s="4" t="s">
        <v>44</v>
      </c>
      <c r="G405" s="4" t="s">
        <v>45</v>
      </c>
      <c r="H405" s="4" t="s">
        <v>61</v>
      </c>
      <c r="I405" s="4" t="s">
        <v>57</v>
      </c>
      <c r="J405" s="4" t="s">
        <v>47</v>
      </c>
      <c r="K405" s="4">
        <v>10</v>
      </c>
      <c r="L405" s="4">
        <v>20</v>
      </c>
      <c r="M405" s="5">
        <v>144</v>
      </c>
      <c r="N405" s="5">
        <v>432</v>
      </c>
      <c r="O405" s="5">
        <v>432</v>
      </c>
      <c r="P405" s="5">
        <v>576</v>
      </c>
      <c r="Q405" s="5">
        <v>288</v>
      </c>
      <c r="R405" s="5">
        <v>864</v>
      </c>
      <c r="S405" s="5">
        <v>432</v>
      </c>
      <c r="T405" s="5">
        <v>576</v>
      </c>
      <c r="U405" s="5">
        <v>576</v>
      </c>
      <c r="V405" s="5">
        <v>864</v>
      </c>
      <c r="W405" s="5">
        <v>576</v>
      </c>
      <c r="X405" s="5">
        <v>576</v>
      </c>
      <c r="Z405" t="e">
        <f>VLOOKUP(E405,Sheet2!$A$1:$A$39,1,0)</f>
        <v>#N/A</v>
      </c>
      <c r="AA405">
        <f>VLOOKUP($E405,[1]Sheet1!$E$10:$X$629,AA$9,0)</f>
        <v>288</v>
      </c>
      <c r="AB405">
        <f>VLOOKUP($E405,[1]Sheet1!$E$10:$X$629,AB$9,0)</f>
        <v>432</v>
      </c>
      <c r="AC405">
        <f>VLOOKUP($E405,[1]Sheet1!$E$10:$X$629,AC$9,0)</f>
        <v>576</v>
      </c>
      <c r="AD405">
        <f>VLOOKUP($E405,[1]Sheet1!$E$10:$X$629,AD$9,0)</f>
        <v>576</v>
      </c>
      <c r="AE405">
        <f>VLOOKUP($E405,[1]Sheet1!$E$10:$X$629,AE$9,0)</f>
        <v>432</v>
      </c>
      <c r="AF405">
        <f>VLOOKUP($E405,[1]Sheet1!$E$10:$X$629,AF$9,0)</f>
        <v>720</v>
      </c>
      <c r="AG405">
        <f>VLOOKUP($E405,[1]Sheet1!$E$10:$X$629,AG$9,0)</f>
        <v>1008</v>
      </c>
      <c r="AH405">
        <f>VLOOKUP($E405,[1]Sheet1!$E$10:$X$629,AH$9,0)</f>
        <v>0</v>
      </c>
      <c r="AJ405">
        <f t="shared" si="22"/>
        <v>3744</v>
      </c>
      <c r="AK405">
        <f t="shared" si="23"/>
        <v>4032</v>
      </c>
      <c r="AL405">
        <f t="shared" si="24"/>
        <v>-288</v>
      </c>
    </row>
    <row r="406" spans="1:38" ht="39.6" x14ac:dyDescent="0.3">
      <c r="A406" s="4" t="s">
        <v>1183</v>
      </c>
      <c r="B406" s="5" t="s">
        <v>1184</v>
      </c>
      <c r="C406" s="21" t="s">
        <v>1185</v>
      </c>
      <c r="D406" s="20"/>
      <c r="E406" s="4">
        <v>1002631</v>
      </c>
      <c r="F406" s="4" t="s">
        <v>44</v>
      </c>
      <c r="G406" s="4" t="s">
        <v>45</v>
      </c>
      <c r="H406" s="4" t="s">
        <v>61</v>
      </c>
      <c r="I406" s="4" t="s">
        <v>57</v>
      </c>
      <c r="J406" s="4" t="s">
        <v>47</v>
      </c>
      <c r="K406" s="4">
        <v>10</v>
      </c>
      <c r="L406" s="4">
        <v>20</v>
      </c>
      <c r="M406" s="5">
        <v>0</v>
      </c>
      <c r="N406" s="5">
        <v>288</v>
      </c>
      <c r="O406" s="5">
        <v>288</v>
      </c>
      <c r="P406" s="5">
        <v>144</v>
      </c>
      <c r="Q406" s="5">
        <v>0</v>
      </c>
      <c r="R406" s="5">
        <v>432</v>
      </c>
      <c r="S406" s="5">
        <v>144</v>
      </c>
      <c r="T406" s="5">
        <v>144</v>
      </c>
      <c r="U406" s="5">
        <v>288</v>
      </c>
      <c r="V406" s="5">
        <v>144</v>
      </c>
      <c r="W406" s="5">
        <v>432</v>
      </c>
      <c r="X406" s="5">
        <v>288</v>
      </c>
      <c r="Z406" t="e">
        <f>VLOOKUP(E406,Sheet2!$A$1:$A$39,1,0)</f>
        <v>#N/A</v>
      </c>
      <c r="AA406">
        <f>VLOOKUP($E406,[1]Sheet1!$E$10:$X$629,AA$9,0)</f>
        <v>288</v>
      </c>
      <c r="AB406">
        <f>VLOOKUP($E406,[1]Sheet1!$E$10:$X$629,AB$9,0)</f>
        <v>0</v>
      </c>
      <c r="AC406">
        <f>VLOOKUP($E406,[1]Sheet1!$E$10:$X$629,AC$9,0)</f>
        <v>432</v>
      </c>
      <c r="AD406">
        <f>VLOOKUP($E406,[1]Sheet1!$E$10:$X$629,AD$9,0)</f>
        <v>144</v>
      </c>
      <c r="AE406">
        <f>VLOOKUP($E406,[1]Sheet1!$E$10:$X$629,AE$9,0)</f>
        <v>144</v>
      </c>
      <c r="AF406">
        <f>VLOOKUP($E406,[1]Sheet1!$E$10:$X$629,AF$9,0)</f>
        <v>432</v>
      </c>
      <c r="AG406">
        <f>VLOOKUP($E406,[1]Sheet1!$E$10:$X$629,AG$9,0)</f>
        <v>0</v>
      </c>
      <c r="AH406">
        <f>VLOOKUP($E406,[1]Sheet1!$E$10:$X$629,AH$9,0)</f>
        <v>432</v>
      </c>
      <c r="AJ406">
        <f t="shared" si="22"/>
        <v>1440</v>
      </c>
      <c r="AK406">
        <f t="shared" si="23"/>
        <v>1872</v>
      </c>
      <c r="AL406">
        <f t="shared" si="24"/>
        <v>-432</v>
      </c>
    </row>
    <row r="407" spans="1:38" ht="39.6" x14ac:dyDescent="0.3">
      <c r="A407" s="4" t="s">
        <v>1186</v>
      </c>
      <c r="B407" s="5" t="s">
        <v>1187</v>
      </c>
      <c r="C407" s="21" t="s">
        <v>1188</v>
      </c>
      <c r="D407" s="20"/>
      <c r="E407" s="4">
        <v>1002639</v>
      </c>
      <c r="F407" s="4" t="s">
        <v>44</v>
      </c>
      <c r="G407" s="4" t="s">
        <v>45</v>
      </c>
      <c r="H407" s="4" t="s">
        <v>61</v>
      </c>
      <c r="I407" s="4" t="s">
        <v>57</v>
      </c>
      <c r="J407" s="4" t="s">
        <v>47</v>
      </c>
      <c r="K407" s="4">
        <v>6</v>
      </c>
      <c r="L407" s="4">
        <v>12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Z407" t="e">
        <f>VLOOKUP(E407,Sheet2!$A$1:$A$39,1,0)</f>
        <v>#N/A</v>
      </c>
      <c r="AA407">
        <f>VLOOKUP($E407,[1]Sheet1!$E$10:$X$629,AA$9,0)</f>
        <v>0</v>
      </c>
      <c r="AB407">
        <f>VLOOKUP($E407,[1]Sheet1!$E$10:$X$629,AB$9,0)</f>
        <v>0</v>
      </c>
      <c r="AC407">
        <f>VLOOKUP($E407,[1]Sheet1!$E$10:$X$629,AC$9,0)</f>
        <v>0</v>
      </c>
      <c r="AD407">
        <f>VLOOKUP($E407,[1]Sheet1!$E$10:$X$629,AD$9,0)</f>
        <v>0</v>
      </c>
      <c r="AE407">
        <f>VLOOKUP($E407,[1]Sheet1!$E$10:$X$629,AE$9,0)</f>
        <v>0</v>
      </c>
      <c r="AF407">
        <f>VLOOKUP($E407,[1]Sheet1!$E$10:$X$629,AF$9,0)</f>
        <v>0</v>
      </c>
      <c r="AG407">
        <f>VLOOKUP($E407,[1]Sheet1!$E$10:$X$629,AG$9,0)</f>
        <v>0</v>
      </c>
      <c r="AH407">
        <f>VLOOKUP($E407,[1]Sheet1!$E$10:$X$629,AH$9,0)</f>
        <v>0</v>
      </c>
      <c r="AJ407">
        <f t="shared" si="22"/>
        <v>0</v>
      </c>
      <c r="AK407">
        <f t="shared" si="23"/>
        <v>0</v>
      </c>
      <c r="AL407">
        <f t="shared" si="24"/>
        <v>0</v>
      </c>
    </row>
    <row r="408" spans="1:38" ht="39.6" x14ac:dyDescent="0.3">
      <c r="A408" s="4" t="s">
        <v>1189</v>
      </c>
      <c r="B408" s="5" t="s">
        <v>1190</v>
      </c>
      <c r="C408" s="21" t="s">
        <v>1191</v>
      </c>
      <c r="D408" s="20"/>
      <c r="E408" s="4">
        <v>1002632</v>
      </c>
      <c r="F408" s="4" t="s">
        <v>44</v>
      </c>
      <c r="G408" s="4" t="s">
        <v>45</v>
      </c>
      <c r="H408" s="4" t="s">
        <v>56</v>
      </c>
      <c r="I408" s="4" t="s">
        <v>57</v>
      </c>
      <c r="J408" s="4" t="s">
        <v>47</v>
      </c>
      <c r="K408" s="4">
        <v>10</v>
      </c>
      <c r="L408" s="4">
        <v>20</v>
      </c>
      <c r="M408" s="5">
        <v>144</v>
      </c>
      <c r="N408" s="5">
        <v>144</v>
      </c>
      <c r="O408" s="5">
        <v>288</v>
      </c>
      <c r="P408" s="5">
        <v>288</v>
      </c>
      <c r="Q408" s="5">
        <v>144</v>
      </c>
      <c r="R408" s="5">
        <v>432</v>
      </c>
      <c r="S408" s="5">
        <v>288</v>
      </c>
      <c r="T408" s="5">
        <v>432</v>
      </c>
      <c r="U408" s="5">
        <v>432</v>
      </c>
      <c r="V408" s="5">
        <v>432</v>
      </c>
      <c r="W408" s="5">
        <v>432</v>
      </c>
      <c r="X408" s="5">
        <v>864</v>
      </c>
      <c r="Z408" t="e">
        <f>VLOOKUP(E408,Sheet2!$A$1:$A$39,1,0)</f>
        <v>#N/A</v>
      </c>
      <c r="AA408">
        <f>VLOOKUP($E408,[1]Sheet1!$E$10:$X$629,AA$9,0)</f>
        <v>144</v>
      </c>
      <c r="AB408">
        <f>VLOOKUP($E408,[1]Sheet1!$E$10:$X$629,AB$9,0)</f>
        <v>288</v>
      </c>
      <c r="AC408">
        <f>VLOOKUP($E408,[1]Sheet1!$E$10:$X$629,AC$9,0)</f>
        <v>288</v>
      </c>
      <c r="AD408">
        <f>VLOOKUP($E408,[1]Sheet1!$E$10:$X$629,AD$9,0)</f>
        <v>288</v>
      </c>
      <c r="AE408">
        <f>VLOOKUP($E408,[1]Sheet1!$E$10:$X$629,AE$9,0)</f>
        <v>288</v>
      </c>
      <c r="AF408">
        <f>VLOOKUP($E408,[1]Sheet1!$E$10:$X$629,AF$9,0)</f>
        <v>432</v>
      </c>
      <c r="AG408">
        <f>VLOOKUP($E408,[1]Sheet1!$E$10:$X$629,AG$9,0)</f>
        <v>432</v>
      </c>
      <c r="AH408">
        <f>VLOOKUP($E408,[1]Sheet1!$E$10:$X$629,AH$9,0)</f>
        <v>144</v>
      </c>
      <c r="AJ408">
        <f t="shared" si="22"/>
        <v>2160</v>
      </c>
      <c r="AK408">
        <f t="shared" si="23"/>
        <v>2304</v>
      </c>
      <c r="AL408">
        <f t="shared" si="24"/>
        <v>-144</v>
      </c>
    </row>
    <row r="409" spans="1:38" ht="39.6" x14ac:dyDescent="0.3">
      <c r="A409" s="4" t="s">
        <v>1192</v>
      </c>
      <c r="B409" s="5" t="s">
        <v>1193</v>
      </c>
      <c r="C409" s="21" t="s">
        <v>1194</v>
      </c>
      <c r="D409" s="20"/>
      <c r="E409" s="4">
        <v>1002636</v>
      </c>
      <c r="F409" s="4" t="s">
        <v>44</v>
      </c>
      <c r="G409" s="4" t="s">
        <v>45</v>
      </c>
      <c r="H409" s="4" t="s">
        <v>56</v>
      </c>
      <c r="I409" s="4" t="s">
        <v>57</v>
      </c>
      <c r="J409" s="4" t="s">
        <v>47</v>
      </c>
      <c r="K409" s="4">
        <v>6</v>
      </c>
      <c r="L409" s="4">
        <v>12</v>
      </c>
      <c r="M409" s="5">
        <v>432</v>
      </c>
      <c r="N409" s="5">
        <v>864</v>
      </c>
      <c r="O409" s="5">
        <v>1152</v>
      </c>
      <c r="P409" s="5">
        <v>720</v>
      </c>
      <c r="Q409" s="5">
        <v>1152</v>
      </c>
      <c r="R409" s="5">
        <v>1440</v>
      </c>
      <c r="S409" s="5">
        <v>1008</v>
      </c>
      <c r="T409" s="5">
        <v>1152</v>
      </c>
      <c r="U409" s="5">
        <v>1440</v>
      </c>
      <c r="V409" s="5">
        <v>2304</v>
      </c>
      <c r="W409" s="5">
        <v>720</v>
      </c>
      <c r="X409" s="5">
        <v>2160</v>
      </c>
      <c r="Z409" t="e">
        <f>VLOOKUP(E409,Sheet2!$A$1:$A$39,1,0)</f>
        <v>#N/A</v>
      </c>
      <c r="AA409">
        <f>VLOOKUP($E409,[1]Sheet1!$E$10:$X$629,AA$9,0)</f>
        <v>1296</v>
      </c>
      <c r="AB409">
        <f>VLOOKUP($E409,[1]Sheet1!$E$10:$X$629,AB$9,0)</f>
        <v>1440</v>
      </c>
      <c r="AC409">
        <f>VLOOKUP($E409,[1]Sheet1!$E$10:$X$629,AC$9,0)</f>
        <v>1440</v>
      </c>
      <c r="AD409">
        <f>VLOOKUP($E409,[1]Sheet1!$E$10:$X$629,AD$9,0)</f>
        <v>2016</v>
      </c>
      <c r="AE409">
        <f>VLOOKUP($E409,[1]Sheet1!$E$10:$X$629,AE$9,0)</f>
        <v>2160</v>
      </c>
      <c r="AF409">
        <f>VLOOKUP($E409,[1]Sheet1!$E$10:$X$629,AF$9,0)</f>
        <v>2304</v>
      </c>
      <c r="AG409">
        <f>VLOOKUP($E409,[1]Sheet1!$E$10:$X$629,AG$9,0)</f>
        <v>1872</v>
      </c>
      <c r="AH409">
        <f>VLOOKUP($E409,[1]Sheet1!$E$10:$X$629,AH$9,0)</f>
        <v>1008</v>
      </c>
      <c r="AJ409">
        <f t="shared" si="22"/>
        <v>7920</v>
      </c>
      <c r="AK409">
        <f t="shared" si="23"/>
        <v>13536</v>
      </c>
      <c r="AL409">
        <f t="shared" si="24"/>
        <v>-5616</v>
      </c>
    </row>
    <row r="410" spans="1:38" ht="39.6" x14ac:dyDescent="0.3">
      <c r="A410" s="4" t="s">
        <v>1195</v>
      </c>
      <c r="B410" s="5" t="s">
        <v>1196</v>
      </c>
      <c r="C410" s="21" t="s">
        <v>1197</v>
      </c>
      <c r="D410" s="20"/>
      <c r="E410" s="4">
        <v>1002640</v>
      </c>
      <c r="F410" s="4" t="s">
        <v>44</v>
      </c>
      <c r="G410" s="4" t="s">
        <v>45</v>
      </c>
      <c r="H410" s="4" t="s">
        <v>61</v>
      </c>
      <c r="I410" s="4" t="s">
        <v>57</v>
      </c>
      <c r="J410" s="4" t="s">
        <v>47</v>
      </c>
      <c r="K410" s="4">
        <v>6</v>
      </c>
      <c r="L410" s="4">
        <v>12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144</v>
      </c>
      <c r="U410" s="5">
        <v>0</v>
      </c>
      <c r="V410" s="5">
        <v>144</v>
      </c>
      <c r="W410" s="5">
        <v>288</v>
      </c>
      <c r="X410" s="5">
        <v>576</v>
      </c>
      <c r="Z410" t="e">
        <f>VLOOKUP(E410,Sheet2!$A$1:$A$39,1,0)</f>
        <v>#N/A</v>
      </c>
      <c r="AA410">
        <f>VLOOKUP($E410,[1]Sheet1!$E$10:$X$629,AA$9,0)</f>
        <v>0</v>
      </c>
      <c r="AB410">
        <f>VLOOKUP($E410,[1]Sheet1!$E$10:$X$629,AB$9,0)</f>
        <v>144</v>
      </c>
      <c r="AC410">
        <f>VLOOKUP($E410,[1]Sheet1!$E$10:$X$629,AC$9,0)</f>
        <v>432</v>
      </c>
      <c r="AD410">
        <f>VLOOKUP($E410,[1]Sheet1!$E$10:$X$629,AD$9,0)</f>
        <v>432</v>
      </c>
      <c r="AE410">
        <f>VLOOKUP($E410,[1]Sheet1!$E$10:$X$629,AE$9,0)</f>
        <v>288</v>
      </c>
      <c r="AF410">
        <f>VLOOKUP($E410,[1]Sheet1!$E$10:$X$629,AF$9,0)</f>
        <v>720</v>
      </c>
      <c r="AG410">
        <f>VLOOKUP($E410,[1]Sheet1!$E$10:$X$629,AG$9,0)</f>
        <v>576</v>
      </c>
      <c r="AH410">
        <f>VLOOKUP($E410,[1]Sheet1!$E$10:$X$629,AH$9,0)</f>
        <v>288</v>
      </c>
      <c r="AJ410">
        <f t="shared" si="22"/>
        <v>144</v>
      </c>
      <c r="AK410">
        <f t="shared" si="23"/>
        <v>2880</v>
      </c>
      <c r="AL410">
        <f t="shared" si="24"/>
        <v>-2736</v>
      </c>
    </row>
    <row r="411" spans="1:38" ht="39.6" x14ac:dyDescent="0.3">
      <c r="A411" s="4" t="s">
        <v>1198</v>
      </c>
      <c r="B411" s="5" t="s">
        <v>1199</v>
      </c>
      <c r="C411" s="21" t="s">
        <v>1200</v>
      </c>
      <c r="D411" s="20"/>
      <c r="E411" s="4">
        <v>1002634</v>
      </c>
      <c r="F411" s="4" t="s">
        <v>44</v>
      </c>
      <c r="G411" s="4" t="s">
        <v>45</v>
      </c>
      <c r="H411" s="4" t="s">
        <v>56</v>
      </c>
      <c r="I411" s="4" t="s">
        <v>57</v>
      </c>
      <c r="J411" s="4" t="s">
        <v>47</v>
      </c>
      <c r="K411" s="4">
        <v>10</v>
      </c>
      <c r="L411" s="4">
        <v>20</v>
      </c>
      <c r="M411" s="5">
        <v>0</v>
      </c>
      <c r="N411" s="5">
        <v>144</v>
      </c>
      <c r="O411" s="5">
        <v>144</v>
      </c>
      <c r="P411" s="5">
        <v>144</v>
      </c>
      <c r="Q411" s="5">
        <v>144</v>
      </c>
      <c r="R411" s="5">
        <v>144</v>
      </c>
      <c r="S411" s="5">
        <v>0</v>
      </c>
      <c r="T411" s="5">
        <v>288</v>
      </c>
      <c r="U411" s="5">
        <v>288</v>
      </c>
      <c r="V411" s="5">
        <v>576</v>
      </c>
      <c r="W411" s="5">
        <v>144</v>
      </c>
      <c r="X411" s="5">
        <v>720</v>
      </c>
      <c r="Z411" t="e">
        <f>VLOOKUP(E411,Sheet2!$A$1:$A$39,1,0)</f>
        <v>#N/A</v>
      </c>
      <c r="AA411">
        <f>VLOOKUP($E411,[1]Sheet1!$E$10:$X$629,AA$9,0)</f>
        <v>144</v>
      </c>
      <c r="AB411">
        <f>VLOOKUP($E411,[1]Sheet1!$E$10:$X$629,AB$9,0)</f>
        <v>144</v>
      </c>
      <c r="AC411">
        <f>VLOOKUP($E411,[1]Sheet1!$E$10:$X$629,AC$9,0)</f>
        <v>144</v>
      </c>
      <c r="AD411">
        <f>VLOOKUP($E411,[1]Sheet1!$E$10:$X$629,AD$9,0)</f>
        <v>288</v>
      </c>
      <c r="AE411">
        <f>VLOOKUP($E411,[1]Sheet1!$E$10:$X$629,AE$9,0)</f>
        <v>144</v>
      </c>
      <c r="AF411">
        <f>VLOOKUP($E411,[1]Sheet1!$E$10:$X$629,AF$9,0)</f>
        <v>576</v>
      </c>
      <c r="AG411">
        <f>VLOOKUP($E411,[1]Sheet1!$E$10:$X$629,AG$9,0)</f>
        <v>288</v>
      </c>
      <c r="AH411">
        <f>VLOOKUP($E411,[1]Sheet1!$E$10:$X$629,AH$9,0)</f>
        <v>144</v>
      </c>
      <c r="AJ411">
        <f t="shared" si="22"/>
        <v>1008</v>
      </c>
      <c r="AK411">
        <f t="shared" si="23"/>
        <v>1872</v>
      </c>
      <c r="AL411">
        <f t="shared" si="24"/>
        <v>-864</v>
      </c>
    </row>
    <row r="412" spans="1:38" ht="39.6" x14ac:dyDescent="0.3">
      <c r="A412" s="4" t="s">
        <v>1201</v>
      </c>
      <c r="B412" s="5" t="s">
        <v>1202</v>
      </c>
      <c r="C412" s="21" t="s">
        <v>1203</v>
      </c>
      <c r="D412" s="20"/>
      <c r="E412" s="4">
        <v>1002635</v>
      </c>
      <c r="F412" s="4" t="s">
        <v>44</v>
      </c>
      <c r="G412" s="4" t="s">
        <v>45</v>
      </c>
      <c r="H412" s="4" t="s">
        <v>61</v>
      </c>
      <c r="I412" s="4" t="s">
        <v>57</v>
      </c>
      <c r="J412" s="4" t="s">
        <v>47</v>
      </c>
      <c r="K412" s="4">
        <v>10</v>
      </c>
      <c r="L412" s="4">
        <v>20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Z412" t="e">
        <f>VLOOKUP(E412,Sheet2!$A$1:$A$39,1,0)</f>
        <v>#N/A</v>
      </c>
      <c r="AA412">
        <f>VLOOKUP($E412,[1]Sheet1!$E$10:$X$629,AA$9,0)</f>
        <v>0</v>
      </c>
      <c r="AB412">
        <f>VLOOKUP($E412,[1]Sheet1!$E$10:$X$629,AB$9,0)</f>
        <v>0</v>
      </c>
      <c r="AC412">
        <f>VLOOKUP($E412,[1]Sheet1!$E$10:$X$629,AC$9,0)</f>
        <v>0</v>
      </c>
      <c r="AD412">
        <f>VLOOKUP($E412,[1]Sheet1!$E$10:$X$629,AD$9,0)</f>
        <v>0</v>
      </c>
      <c r="AE412">
        <f>VLOOKUP($E412,[1]Sheet1!$E$10:$X$629,AE$9,0)</f>
        <v>0</v>
      </c>
      <c r="AF412">
        <f>VLOOKUP($E412,[1]Sheet1!$E$10:$X$629,AF$9,0)</f>
        <v>0</v>
      </c>
      <c r="AG412">
        <f>VLOOKUP($E412,[1]Sheet1!$E$10:$X$629,AG$9,0)</f>
        <v>0</v>
      </c>
      <c r="AH412">
        <f>VLOOKUP($E412,[1]Sheet1!$E$10:$X$629,AH$9,0)</f>
        <v>0</v>
      </c>
      <c r="AJ412">
        <f t="shared" si="22"/>
        <v>0</v>
      </c>
      <c r="AK412">
        <f t="shared" si="23"/>
        <v>0</v>
      </c>
      <c r="AL412">
        <f t="shared" si="24"/>
        <v>0</v>
      </c>
    </row>
    <row r="413" spans="1:38" ht="39.6" x14ac:dyDescent="0.3">
      <c r="A413" s="4" t="s">
        <v>1204</v>
      </c>
      <c r="B413" s="5" t="s">
        <v>1205</v>
      </c>
      <c r="C413" s="21" t="s">
        <v>1206</v>
      </c>
      <c r="D413" s="20"/>
      <c r="E413" s="4">
        <v>1002638</v>
      </c>
      <c r="F413" s="4" t="s">
        <v>44</v>
      </c>
      <c r="G413" s="4" t="s">
        <v>45</v>
      </c>
      <c r="H413" s="4" t="s">
        <v>61</v>
      </c>
      <c r="I413" s="4" t="s">
        <v>57</v>
      </c>
      <c r="J413" s="4" t="s">
        <v>47</v>
      </c>
      <c r="K413" s="4">
        <v>6</v>
      </c>
      <c r="L413" s="4">
        <v>12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144</v>
      </c>
      <c r="W413" s="5">
        <v>0</v>
      </c>
      <c r="X413" s="5">
        <v>0</v>
      </c>
      <c r="Z413" t="e">
        <f>VLOOKUP(E413,Sheet2!$A$1:$A$39,1,0)</f>
        <v>#N/A</v>
      </c>
      <c r="AA413">
        <f>VLOOKUP($E413,[1]Sheet1!$E$10:$X$629,AA$9,0)</f>
        <v>0</v>
      </c>
      <c r="AB413">
        <f>VLOOKUP($E413,[1]Sheet1!$E$10:$X$629,AB$9,0)</f>
        <v>0</v>
      </c>
      <c r="AC413">
        <f>VLOOKUP($E413,[1]Sheet1!$E$10:$X$629,AC$9,0)</f>
        <v>0</v>
      </c>
      <c r="AD413">
        <f>VLOOKUP($E413,[1]Sheet1!$E$10:$X$629,AD$9,0)</f>
        <v>0</v>
      </c>
      <c r="AE413">
        <f>VLOOKUP($E413,[1]Sheet1!$E$10:$X$629,AE$9,0)</f>
        <v>0</v>
      </c>
      <c r="AF413">
        <f>VLOOKUP($E413,[1]Sheet1!$E$10:$X$629,AF$9,0)</f>
        <v>0</v>
      </c>
      <c r="AG413">
        <f>VLOOKUP($E413,[1]Sheet1!$E$10:$X$629,AG$9,0)</f>
        <v>144</v>
      </c>
      <c r="AH413">
        <f>VLOOKUP($E413,[1]Sheet1!$E$10:$X$629,AH$9,0)</f>
        <v>0</v>
      </c>
      <c r="AJ413">
        <f t="shared" si="22"/>
        <v>0</v>
      </c>
      <c r="AK413">
        <f t="shared" si="23"/>
        <v>144</v>
      </c>
      <c r="AL413">
        <f t="shared" si="24"/>
        <v>-144</v>
      </c>
    </row>
    <row r="414" spans="1:38" ht="39.6" x14ac:dyDescent="0.3">
      <c r="A414" s="4" t="s">
        <v>1207</v>
      </c>
      <c r="B414" s="5" t="s">
        <v>1208</v>
      </c>
      <c r="C414" s="21" t="s">
        <v>1209</v>
      </c>
      <c r="D414" s="20"/>
      <c r="E414" s="4">
        <v>1002633</v>
      </c>
      <c r="F414" s="4" t="s">
        <v>44</v>
      </c>
      <c r="G414" s="4" t="s">
        <v>45</v>
      </c>
      <c r="H414" s="4" t="s">
        <v>61</v>
      </c>
      <c r="I414" s="4" t="s">
        <v>57</v>
      </c>
      <c r="J414" s="4" t="s">
        <v>47</v>
      </c>
      <c r="K414" s="4">
        <v>10</v>
      </c>
      <c r="L414" s="4">
        <v>20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144</v>
      </c>
      <c r="V414" s="5">
        <v>144</v>
      </c>
      <c r="W414" s="5">
        <v>0</v>
      </c>
      <c r="X414" s="5">
        <v>144</v>
      </c>
      <c r="Z414" t="e">
        <f>VLOOKUP(E414,Sheet2!$A$1:$A$39,1,0)</f>
        <v>#N/A</v>
      </c>
      <c r="AA414">
        <f>VLOOKUP($E414,[1]Sheet1!$E$10:$X$629,AA$9,0)</f>
        <v>0</v>
      </c>
      <c r="AB414">
        <f>VLOOKUP($E414,[1]Sheet1!$E$10:$X$629,AB$9,0)</f>
        <v>0</v>
      </c>
      <c r="AC414">
        <f>VLOOKUP($E414,[1]Sheet1!$E$10:$X$629,AC$9,0)</f>
        <v>0</v>
      </c>
      <c r="AD414">
        <f>VLOOKUP($E414,[1]Sheet1!$E$10:$X$629,AD$9,0)</f>
        <v>0</v>
      </c>
      <c r="AE414">
        <f>VLOOKUP($E414,[1]Sheet1!$E$10:$X$629,AE$9,0)</f>
        <v>0</v>
      </c>
      <c r="AF414">
        <f>VLOOKUP($E414,[1]Sheet1!$E$10:$X$629,AF$9,0)</f>
        <v>144</v>
      </c>
      <c r="AG414">
        <f>VLOOKUP($E414,[1]Sheet1!$E$10:$X$629,AG$9,0)</f>
        <v>144</v>
      </c>
      <c r="AH414">
        <f>VLOOKUP($E414,[1]Sheet1!$E$10:$X$629,AH$9,0)</f>
        <v>0</v>
      </c>
      <c r="AJ414">
        <f t="shared" si="22"/>
        <v>0</v>
      </c>
      <c r="AK414">
        <f t="shared" si="23"/>
        <v>288</v>
      </c>
      <c r="AL414">
        <f t="shared" si="24"/>
        <v>-288</v>
      </c>
    </row>
    <row r="415" spans="1:38" ht="39.6" x14ac:dyDescent="0.3">
      <c r="A415" s="4" t="s">
        <v>1210</v>
      </c>
      <c r="B415" s="5" t="s">
        <v>1211</v>
      </c>
      <c r="C415" s="21" t="s">
        <v>1212</v>
      </c>
      <c r="D415" s="20"/>
      <c r="E415" s="4">
        <v>1002637</v>
      </c>
      <c r="F415" s="4" t="s">
        <v>44</v>
      </c>
      <c r="G415" s="4" t="s">
        <v>45</v>
      </c>
      <c r="H415" s="4" t="s">
        <v>61</v>
      </c>
      <c r="I415" s="4" t="s">
        <v>57</v>
      </c>
      <c r="J415" s="4" t="s">
        <v>47</v>
      </c>
      <c r="K415" s="4">
        <v>6</v>
      </c>
      <c r="L415" s="4">
        <v>12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144</v>
      </c>
      <c r="Z415" t="e">
        <f>VLOOKUP(E415,Sheet2!$A$1:$A$39,1,0)</f>
        <v>#N/A</v>
      </c>
      <c r="AA415">
        <f>VLOOKUP($E415,[1]Sheet1!$E$10:$X$629,AA$9,0)</f>
        <v>0</v>
      </c>
      <c r="AB415">
        <f>VLOOKUP($E415,[1]Sheet1!$E$10:$X$629,AB$9,0)</f>
        <v>0</v>
      </c>
      <c r="AC415">
        <f>VLOOKUP($E415,[1]Sheet1!$E$10:$X$629,AC$9,0)</f>
        <v>0</v>
      </c>
      <c r="AD415">
        <f>VLOOKUP($E415,[1]Sheet1!$E$10:$X$629,AD$9,0)</f>
        <v>0</v>
      </c>
      <c r="AE415">
        <f>VLOOKUP($E415,[1]Sheet1!$E$10:$X$629,AE$9,0)</f>
        <v>0</v>
      </c>
      <c r="AF415">
        <f>VLOOKUP($E415,[1]Sheet1!$E$10:$X$629,AF$9,0)</f>
        <v>0</v>
      </c>
      <c r="AG415">
        <f>VLOOKUP($E415,[1]Sheet1!$E$10:$X$629,AG$9,0)</f>
        <v>0</v>
      </c>
      <c r="AH415">
        <f>VLOOKUP($E415,[1]Sheet1!$E$10:$X$629,AH$9,0)</f>
        <v>0</v>
      </c>
      <c r="AJ415">
        <f t="shared" si="22"/>
        <v>0</v>
      </c>
      <c r="AK415">
        <f t="shared" si="23"/>
        <v>0</v>
      </c>
      <c r="AL415">
        <f t="shared" si="24"/>
        <v>0</v>
      </c>
    </row>
    <row r="416" spans="1:38" ht="39.6" x14ac:dyDescent="0.3">
      <c r="A416" s="4" t="s">
        <v>1213</v>
      </c>
      <c r="B416" s="5" t="s">
        <v>1214</v>
      </c>
      <c r="C416" s="21" t="s">
        <v>1215</v>
      </c>
      <c r="D416" s="20"/>
      <c r="E416" s="4">
        <v>1200053</v>
      </c>
      <c r="F416" s="4" t="s">
        <v>44</v>
      </c>
      <c r="G416" s="4" t="s">
        <v>45</v>
      </c>
      <c r="H416" s="4" t="s">
        <v>61</v>
      </c>
      <c r="I416" s="4" t="s">
        <v>57</v>
      </c>
      <c r="J416" s="4" t="s">
        <v>47</v>
      </c>
      <c r="K416" s="4">
        <v>7.5</v>
      </c>
      <c r="L416" s="4">
        <v>15</v>
      </c>
      <c r="M416" s="5">
        <v>144</v>
      </c>
      <c r="N416" s="5">
        <v>432</v>
      </c>
      <c r="O416" s="5">
        <v>288</v>
      </c>
      <c r="P416" s="5">
        <v>144</v>
      </c>
      <c r="Q416" s="5">
        <v>288</v>
      </c>
      <c r="R416" s="5">
        <v>576</v>
      </c>
      <c r="S416" s="5">
        <v>144</v>
      </c>
      <c r="T416" s="5">
        <v>432</v>
      </c>
      <c r="U416" s="5">
        <v>288</v>
      </c>
      <c r="V416" s="5">
        <v>576</v>
      </c>
      <c r="W416" s="5">
        <v>576</v>
      </c>
      <c r="X416" s="5">
        <v>432</v>
      </c>
      <c r="Z416" t="e">
        <f>VLOOKUP(E416,Sheet2!$A$1:$A$39,1,0)</f>
        <v>#N/A</v>
      </c>
      <c r="AA416">
        <f>VLOOKUP($E416,[1]Sheet1!$E$10:$X$629,AA$9,0)</f>
        <v>432</v>
      </c>
      <c r="AB416">
        <f>VLOOKUP($E416,[1]Sheet1!$E$10:$X$629,AB$9,0)</f>
        <v>288</v>
      </c>
      <c r="AC416">
        <f>VLOOKUP($E416,[1]Sheet1!$E$10:$X$629,AC$9,0)</f>
        <v>576</v>
      </c>
      <c r="AD416">
        <f>VLOOKUP($E416,[1]Sheet1!$E$10:$X$629,AD$9,0)</f>
        <v>432</v>
      </c>
      <c r="AE416">
        <f>VLOOKUP($E416,[1]Sheet1!$E$10:$X$629,AE$9,0)</f>
        <v>432</v>
      </c>
      <c r="AF416">
        <f>VLOOKUP($E416,[1]Sheet1!$E$10:$X$629,AF$9,0)</f>
        <v>432</v>
      </c>
      <c r="AG416">
        <f>VLOOKUP($E416,[1]Sheet1!$E$10:$X$629,AG$9,0)</f>
        <v>432</v>
      </c>
      <c r="AH416">
        <f>VLOOKUP($E416,[1]Sheet1!$E$10:$X$629,AH$9,0)</f>
        <v>576</v>
      </c>
      <c r="AJ416">
        <f t="shared" si="22"/>
        <v>2448</v>
      </c>
      <c r="AK416">
        <f t="shared" si="23"/>
        <v>3600</v>
      </c>
      <c r="AL416">
        <f t="shared" si="24"/>
        <v>-1152</v>
      </c>
    </row>
    <row r="417" spans="1:38" ht="39.6" x14ac:dyDescent="0.3">
      <c r="A417" s="4" t="s">
        <v>1216</v>
      </c>
      <c r="B417" s="5" t="s">
        <v>1217</v>
      </c>
      <c r="C417" s="21" t="s">
        <v>1218</v>
      </c>
      <c r="D417" s="20"/>
      <c r="E417" s="4">
        <v>1200054</v>
      </c>
      <c r="F417" s="4" t="s">
        <v>44</v>
      </c>
      <c r="G417" s="4" t="s">
        <v>45</v>
      </c>
      <c r="H417" s="4" t="s">
        <v>61</v>
      </c>
      <c r="I417" s="4" t="s">
        <v>57</v>
      </c>
      <c r="J417" s="4" t="s">
        <v>47</v>
      </c>
      <c r="K417" s="4">
        <v>7.5</v>
      </c>
      <c r="L417" s="4">
        <v>15</v>
      </c>
      <c r="M417" s="5">
        <v>288</v>
      </c>
      <c r="N417" s="5">
        <v>0</v>
      </c>
      <c r="O417" s="5">
        <v>288</v>
      </c>
      <c r="P417" s="5">
        <v>144</v>
      </c>
      <c r="Q417" s="5">
        <v>144</v>
      </c>
      <c r="R417" s="5">
        <v>288</v>
      </c>
      <c r="S417" s="5">
        <v>288</v>
      </c>
      <c r="T417" s="5">
        <v>0</v>
      </c>
      <c r="U417" s="5">
        <v>288</v>
      </c>
      <c r="V417" s="5">
        <v>432</v>
      </c>
      <c r="W417" s="5">
        <v>0</v>
      </c>
      <c r="X417" s="5">
        <v>432</v>
      </c>
      <c r="Z417" t="e">
        <f>VLOOKUP(E417,Sheet2!$A$1:$A$39,1,0)</f>
        <v>#N/A</v>
      </c>
      <c r="AA417">
        <f>VLOOKUP($E417,[1]Sheet1!$E$10:$X$629,AA$9,0)</f>
        <v>144</v>
      </c>
      <c r="AB417">
        <f>VLOOKUP($E417,[1]Sheet1!$E$10:$X$629,AB$9,0)</f>
        <v>144</v>
      </c>
      <c r="AC417">
        <f>VLOOKUP($E417,[1]Sheet1!$E$10:$X$629,AC$9,0)</f>
        <v>432</v>
      </c>
      <c r="AD417">
        <f>VLOOKUP($E417,[1]Sheet1!$E$10:$X$629,AD$9,0)</f>
        <v>144</v>
      </c>
      <c r="AE417">
        <f>VLOOKUP($E417,[1]Sheet1!$E$10:$X$629,AE$9,0)</f>
        <v>144</v>
      </c>
      <c r="AF417">
        <f>VLOOKUP($E417,[1]Sheet1!$E$10:$X$629,AF$9,0)</f>
        <v>576</v>
      </c>
      <c r="AG417">
        <f>VLOOKUP($E417,[1]Sheet1!$E$10:$X$629,AG$9,0)</f>
        <v>144</v>
      </c>
      <c r="AH417">
        <f>VLOOKUP($E417,[1]Sheet1!$E$10:$X$629,AH$9,0)</f>
        <v>144</v>
      </c>
      <c r="AJ417">
        <f t="shared" si="22"/>
        <v>1440</v>
      </c>
      <c r="AK417">
        <f t="shared" si="23"/>
        <v>1872</v>
      </c>
      <c r="AL417">
        <f t="shared" si="24"/>
        <v>-432</v>
      </c>
    </row>
    <row r="418" spans="1:38" ht="39.6" x14ac:dyDescent="0.3">
      <c r="A418" s="4" t="s">
        <v>1219</v>
      </c>
      <c r="B418" s="5" t="s">
        <v>1220</v>
      </c>
      <c r="C418" s="21" t="s">
        <v>1221</v>
      </c>
      <c r="D418" s="20"/>
      <c r="E418" s="4">
        <v>1200055</v>
      </c>
      <c r="F418" s="4" t="s">
        <v>44</v>
      </c>
      <c r="G418" s="4" t="s">
        <v>45</v>
      </c>
      <c r="H418" s="4" t="s">
        <v>61</v>
      </c>
      <c r="I418" s="4" t="s">
        <v>57</v>
      </c>
      <c r="J418" s="4" t="s">
        <v>47</v>
      </c>
      <c r="K418" s="4">
        <v>7.5</v>
      </c>
      <c r="L418" s="4">
        <v>15</v>
      </c>
      <c r="M418" s="5">
        <v>0</v>
      </c>
      <c r="N418" s="5">
        <v>0</v>
      </c>
      <c r="O418" s="5">
        <v>432</v>
      </c>
      <c r="P418" s="5">
        <v>0</v>
      </c>
      <c r="Q418" s="5">
        <v>144</v>
      </c>
      <c r="R418" s="5">
        <v>288</v>
      </c>
      <c r="S418" s="5">
        <v>288</v>
      </c>
      <c r="T418" s="5">
        <v>288</v>
      </c>
      <c r="U418" s="5">
        <v>144</v>
      </c>
      <c r="V418" s="5">
        <v>576</v>
      </c>
      <c r="W418" s="5">
        <v>0</v>
      </c>
      <c r="X418" s="5">
        <v>576</v>
      </c>
      <c r="Z418" t="e">
        <f>VLOOKUP(E418,Sheet2!$A$1:$A$39,1,0)</f>
        <v>#N/A</v>
      </c>
      <c r="AA418">
        <f>VLOOKUP($E418,[1]Sheet1!$E$10:$X$629,AA$9,0)</f>
        <v>576</v>
      </c>
      <c r="AB418">
        <f>VLOOKUP($E418,[1]Sheet1!$E$10:$X$629,AB$9,0)</f>
        <v>144</v>
      </c>
      <c r="AC418">
        <f>VLOOKUP($E418,[1]Sheet1!$E$10:$X$629,AC$9,0)</f>
        <v>288</v>
      </c>
      <c r="AD418">
        <f>VLOOKUP($E418,[1]Sheet1!$E$10:$X$629,AD$9,0)</f>
        <v>288</v>
      </c>
      <c r="AE418">
        <f>VLOOKUP($E418,[1]Sheet1!$E$10:$X$629,AE$9,0)</f>
        <v>432</v>
      </c>
      <c r="AF418">
        <f>VLOOKUP($E418,[1]Sheet1!$E$10:$X$629,AF$9,0)</f>
        <v>576</v>
      </c>
      <c r="AG418">
        <f>VLOOKUP($E418,[1]Sheet1!$E$10:$X$629,AG$9,0)</f>
        <v>0</v>
      </c>
      <c r="AH418">
        <f>VLOOKUP($E418,[1]Sheet1!$E$10:$X$629,AH$9,0)</f>
        <v>288</v>
      </c>
      <c r="AJ418">
        <f t="shared" si="22"/>
        <v>1440</v>
      </c>
      <c r="AK418">
        <f t="shared" si="23"/>
        <v>2592</v>
      </c>
      <c r="AL418">
        <f t="shared" si="24"/>
        <v>-1152</v>
      </c>
    </row>
    <row r="419" spans="1:38" ht="39.6" x14ac:dyDescent="0.3">
      <c r="A419" s="4" t="s">
        <v>1222</v>
      </c>
      <c r="B419" s="5" t="s">
        <v>1223</v>
      </c>
      <c r="C419" s="21" t="s">
        <v>1224</v>
      </c>
      <c r="D419" s="20"/>
      <c r="E419" s="4">
        <v>1200056</v>
      </c>
      <c r="F419" s="4" t="s">
        <v>44</v>
      </c>
      <c r="G419" s="4" t="s">
        <v>45</v>
      </c>
      <c r="H419" s="4" t="s">
        <v>61</v>
      </c>
      <c r="I419" s="4" t="s">
        <v>57</v>
      </c>
      <c r="J419" s="4" t="s">
        <v>47</v>
      </c>
      <c r="K419" s="4">
        <v>7.5</v>
      </c>
      <c r="L419" s="4">
        <v>15</v>
      </c>
      <c r="M419" s="5">
        <v>0</v>
      </c>
      <c r="N419" s="5">
        <v>432</v>
      </c>
      <c r="O419" s="5">
        <v>144</v>
      </c>
      <c r="P419" s="5">
        <v>288</v>
      </c>
      <c r="Q419" s="5">
        <v>288</v>
      </c>
      <c r="R419" s="5">
        <v>288</v>
      </c>
      <c r="S419" s="5">
        <v>288</v>
      </c>
      <c r="T419" s="5">
        <v>288</v>
      </c>
      <c r="U419" s="5">
        <v>288</v>
      </c>
      <c r="V419" s="5">
        <v>432</v>
      </c>
      <c r="W419" s="5">
        <v>288</v>
      </c>
      <c r="X419" s="5">
        <v>576</v>
      </c>
      <c r="Z419" t="e">
        <f>VLOOKUP(E419,Sheet2!$A$1:$A$39,1,0)</f>
        <v>#N/A</v>
      </c>
      <c r="AA419">
        <f>VLOOKUP($E419,[1]Sheet1!$E$10:$X$629,AA$9,0)</f>
        <v>0</v>
      </c>
      <c r="AB419">
        <f>VLOOKUP($E419,[1]Sheet1!$E$10:$X$629,AB$9,0)</f>
        <v>720</v>
      </c>
      <c r="AC419">
        <f>VLOOKUP($E419,[1]Sheet1!$E$10:$X$629,AC$9,0)</f>
        <v>144</v>
      </c>
      <c r="AD419">
        <f>VLOOKUP($E419,[1]Sheet1!$E$10:$X$629,AD$9,0)</f>
        <v>576</v>
      </c>
      <c r="AE419">
        <f>VLOOKUP($E419,[1]Sheet1!$E$10:$X$629,AE$9,0)</f>
        <v>144</v>
      </c>
      <c r="AF419">
        <f>VLOOKUP($E419,[1]Sheet1!$E$10:$X$629,AF$9,0)</f>
        <v>576</v>
      </c>
      <c r="AG419">
        <f>VLOOKUP($E419,[1]Sheet1!$E$10:$X$629,AG$9,0)</f>
        <v>288</v>
      </c>
      <c r="AH419">
        <f>VLOOKUP($E419,[1]Sheet1!$E$10:$X$629,AH$9,0)</f>
        <v>576</v>
      </c>
      <c r="AJ419">
        <f t="shared" si="22"/>
        <v>2016</v>
      </c>
      <c r="AK419">
        <f t="shared" si="23"/>
        <v>3024</v>
      </c>
      <c r="AL419">
        <f t="shared" si="24"/>
        <v>-1008</v>
      </c>
    </row>
    <row r="420" spans="1:38" ht="39.6" x14ac:dyDescent="0.3">
      <c r="A420" s="4" t="s">
        <v>1225</v>
      </c>
      <c r="B420" s="5" t="s">
        <v>1226</v>
      </c>
      <c r="C420" s="21" t="s">
        <v>1227</v>
      </c>
      <c r="D420" s="20"/>
      <c r="E420" s="4">
        <v>1200057</v>
      </c>
      <c r="F420" s="4" t="s">
        <v>44</v>
      </c>
      <c r="G420" s="4" t="s">
        <v>45</v>
      </c>
      <c r="H420" s="4" t="s">
        <v>61</v>
      </c>
      <c r="I420" s="4" t="s">
        <v>57</v>
      </c>
      <c r="J420" s="4" t="s">
        <v>47</v>
      </c>
      <c r="K420" s="4">
        <v>7.5</v>
      </c>
      <c r="L420" s="4">
        <v>15</v>
      </c>
      <c r="M420" s="5">
        <v>0</v>
      </c>
      <c r="N420" s="5">
        <v>576</v>
      </c>
      <c r="O420" s="5">
        <v>144</v>
      </c>
      <c r="P420" s="5">
        <v>288</v>
      </c>
      <c r="Q420" s="5">
        <v>288</v>
      </c>
      <c r="R420" s="5">
        <v>432</v>
      </c>
      <c r="S420" s="5">
        <v>288</v>
      </c>
      <c r="T420" s="5">
        <v>288</v>
      </c>
      <c r="U420" s="5">
        <v>288</v>
      </c>
      <c r="V420" s="5">
        <v>432</v>
      </c>
      <c r="W420" s="5">
        <v>432</v>
      </c>
      <c r="X420" s="5">
        <v>432</v>
      </c>
      <c r="Z420" t="e">
        <f>VLOOKUP(E420,Sheet2!$A$1:$A$39,1,0)</f>
        <v>#N/A</v>
      </c>
      <c r="AA420">
        <f>VLOOKUP($E420,[1]Sheet1!$E$10:$X$629,AA$9,0)</f>
        <v>432</v>
      </c>
      <c r="AB420">
        <f>VLOOKUP($E420,[1]Sheet1!$E$10:$X$629,AB$9,0)</f>
        <v>288</v>
      </c>
      <c r="AC420">
        <f>VLOOKUP($E420,[1]Sheet1!$E$10:$X$629,AC$9,0)</f>
        <v>288</v>
      </c>
      <c r="AD420">
        <f>VLOOKUP($E420,[1]Sheet1!$E$10:$X$629,AD$9,0)</f>
        <v>576</v>
      </c>
      <c r="AE420">
        <f>VLOOKUP($E420,[1]Sheet1!$E$10:$X$629,AE$9,0)</f>
        <v>288</v>
      </c>
      <c r="AF420">
        <f>VLOOKUP($E420,[1]Sheet1!$E$10:$X$629,AF$9,0)</f>
        <v>432</v>
      </c>
      <c r="AG420">
        <f>VLOOKUP($E420,[1]Sheet1!$E$10:$X$629,AG$9,0)</f>
        <v>576</v>
      </c>
      <c r="AH420">
        <f>VLOOKUP($E420,[1]Sheet1!$E$10:$X$629,AH$9,0)</f>
        <v>288</v>
      </c>
      <c r="AJ420">
        <f t="shared" si="22"/>
        <v>2304</v>
      </c>
      <c r="AK420">
        <f t="shared" si="23"/>
        <v>3168</v>
      </c>
      <c r="AL420">
        <f t="shared" si="24"/>
        <v>-864</v>
      </c>
    </row>
    <row r="421" spans="1:38" ht="39.6" x14ac:dyDescent="0.3">
      <c r="A421" s="4" t="s">
        <v>1228</v>
      </c>
      <c r="B421" s="5" t="s">
        <v>1229</v>
      </c>
      <c r="C421" s="21" t="s">
        <v>1230</v>
      </c>
      <c r="D421" s="20"/>
      <c r="E421" s="4">
        <v>1200058</v>
      </c>
      <c r="F421" s="4" t="s">
        <v>44</v>
      </c>
      <c r="G421" s="4" t="s">
        <v>45</v>
      </c>
      <c r="H421" s="4" t="s">
        <v>61</v>
      </c>
      <c r="I421" s="4" t="s">
        <v>57</v>
      </c>
      <c r="J421" s="4" t="s">
        <v>47</v>
      </c>
      <c r="K421" s="4">
        <v>7.5</v>
      </c>
      <c r="L421" s="4">
        <v>15</v>
      </c>
      <c r="M421" s="5">
        <v>288</v>
      </c>
      <c r="N421" s="5">
        <v>432</v>
      </c>
      <c r="O421" s="5">
        <v>432</v>
      </c>
      <c r="P421" s="5">
        <v>288</v>
      </c>
      <c r="Q421" s="5">
        <v>576</v>
      </c>
      <c r="R421" s="5">
        <v>720</v>
      </c>
      <c r="S421" s="5">
        <v>144</v>
      </c>
      <c r="T421" s="5">
        <v>576</v>
      </c>
      <c r="U421" s="5">
        <v>576</v>
      </c>
      <c r="V421" s="5">
        <v>720</v>
      </c>
      <c r="W421" s="5">
        <v>432</v>
      </c>
      <c r="X421" s="5">
        <v>720</v>
      </c>
      <c r="Z421" t="e">
        <f>VLOOKUP(E421,Sheet2!$A$1:$A$39,1,0)</f>
        <v>#N/A</v>
      </c>
      <c r="AA421">
        <f>VLOOKUP($E421,[1]Sheet1!$E$10:$X$629,AA$9,0)</f>
        <v>432</v>
      </c>
      <c r="AB421">
        <f>VLOOKUP($E421,[1]Sheet1!$E$10:$X$629,AB$9,0)</f>
        <v>576</v>
      </c>
      <c r="AC421">
        <f>VLOOKUP($E421,[1]Sheet1!$E$10:$X$629,AC$9,0)</f>
        <v>720</v>
      </c>
      <c r="AD421">
        <f>VLOOKUP($E421,[1]Sheet1!$E$10:$X$629,AD$9,0)</f>
        <v>144</v>
      </c>
      <c r="AE421">
        <f>VLOOKUP($E421,[1]Sheet1!$E$10:$X$629,AE$9,0)</f>
        <v>576</v>
      </c>
      <c r="AF421">
        <f>VLOOKUP($E421,[1]Sheet1!$E$10:$X$629,AF$9,0)</f>
        <v>720</v>
      </c>
      <c r="AG421">
        <f>VLOOKUP($E421,[1]Sheet1!$E$10:$X$629,AG$9,0)</f>
        <v>720</v>
      </c>
      <c r="AH421">
        <f>VLOOKUP($E421,[1]Sheet1!$E$10:$X$629,AH$9,0)</f>
        <v>288</v>
      </c>
      <c r="AJ421">
        <f t="shared" si="22"/>
        <v>3456</v>
      </c>
      <c r="AK421">
        <f t="shared" si="23"/>
        <v>4176</v>
      </c>
      <c r="AL421">
        <f t="shared" si="24"/>
        <v>-720</v>
      </c>
    </row>
    <row r="422" spans="1:38" ht="39.6" x14ac:dyDescent="0.3">
      <c r="A422" s="4" t="s">
        <v>1231</v>
      </c>
      <c r="B422" s="5" t="s">
        <v>1232</v>
      </c>
      <c r="C422" s="21" t="s">
        <v>1233</v>
      </c>
      <c r="D422" s="20"/>
      <c r="E422" s="4">
        <v>1200059</v>
      </c>
      <c r="F422" s="4" t="s">
        <v>44</v>
      </c>
      <c r="G422" s="4" t="s">
        <v>45</v>
      </c>
      <c r="H422" s="4" t="s">
        <v>61</v>
      </c>
      <c r="I422" s="4" t="s">
        <v>57</v>
      </c>
      <c r="J422" s="4" t="s">
        <v>47</v>
      </c>
      <c r="K422" s="4">
        <v>7.5</v>
      </c>
      <c r="L422" s="4">
        <v>15</v>
      </c>
      <c r="M422" s="5">
        <v>144</v>
      </c>
      <c r="N422" s="5">
        <v>144</v>
      </c>
      <c r="O422" s="5">
        <v>144</v>
      </c>
      <c r="P422" s="5">
        <v>144</v>
      </c>
      <c r="Q422" s="5">
        <v>144</v>
      </c>
      <c r="R422" s="5">
        <v>288</v>
      </c>
      <c r="S422" s="5">
        <v>144</v>
      </c>
      <c r="T422" s="5">
        <v>144</v>
      </c>
      <c r="U422" s="5">
        <v>144</v>
      </c>
      <c r="V422" s="5">
        <v>288</v>
      </c>
      <c r="W422" s="5">
        <v>288</v>
      </c>
      <c r="X422" s="5">
        <v>144</v>
      </c>
      <c r="Z422" t="e">
        <f>VLOOKUP(E422,Sheet2!$A$1:$A$39,1,0)</f>
        <v>#N/A</v>
      </c>
      <c r="AA422">
        <f>VLOOKUP($E422,[1]Sheet1!$E$10:$X$629,AA$9,0)</f>
        <v>288</v>
      </c>
      <c r="AB422">
        <f>VLOOKUP($E422,[1]Sheet1!$E$10:$X$629,AB$9,0)</f>
        <v>0</v>
      </c>
      <c r="AC422">
        <f>VLOOKUP($E422,[1]Sheet1!$E$10:$X$629,AC$9,0)</f>
        <v>576</v>
      </c>
      <c r="AD422">
        <f>VLOOKUP($E422,[1]Sheet1!$E$10:$X$629,AD$9,0)</f>
        <v>144</v>
      </c>
      <c r="AE422">
        <f>VLOOKUP($E422,[1]Sheet1!$E$10:$X$629,AE$9,0)</f>
        <v>288</v>
      </c>
      <c r="AF422">
        <f>VLOOKUP($E422,[1]Sheet1!$E$10:$X$629,AF$9,0)</f>
        <v>288</v>
      </c>
      <c r="AG422">
        <f>VLOOKUP($E422,[1]Sheet1!$E$10:$X$629,AG$9,0)</f>
        <v>432</v>
      </c>
      <c r="AH422">
        <f>VLOOKUP($E422,[1]Sheet1!$E$10:$X$629,AH$9,0)</f>
        <v>0</v>
      </c>
      <c r="AJ422">
        <f t="shared" si="22"/>
        <v>1296</v>
      </c>
      <c r="AK422">
        <f t="shared" si="23"/>
        <v>2016</v>
      </c>
      <c r="AL422">
        <f t="shared" si="24"/>
        <v>-720</v>
      </c>
    </row>
    <row r="423" spans="1:38" ht="39.6" x14ac:dyDescent="0.3">
      <c r="A423" s="4" t="s">
        <v>1234</v>
      </c>
      <c r="B423" s="5" t="s">
        <v>1235</v>
      </c>
      <c r="C423" s="21" t="s">
        <v>1236</v>
      </c>
      <c r="D423" s="20"/>
      <c r="E423" s="4">
        <v>1200060</v>
      </c>
      <c r="F423" s="4" t="s">
        <v>44</v>
      </c>
      <c r="G423" s="4" t="s">
        <v>45</v>
      </c>
      <c r="H423" s="4" t="s">
        <v>61</v>
      </c>
      <c r="I423" s="4" t="s">
        <v>57</v>
      </c>
      <c r="J423" s="4" t="s">
        <v>47</v>
      </c>
      <c r="K423" s="4">
        <v>7.5</v>
      </c>
      <c r="L423" s="4">
        <v>15</v>
      </c>
      <c r="M423" s="5">
        <v>0</v>
      </c>
      <c r="N423" s="5">
        <v>144</v>
      </c>
      <c r="O423" s="5">
        <v>0</v>
      </c>
      <c r="P423" s="5">
        <v>0</v>
      </c>
      <c r="Q423" s="5">
        <v>288</v>
      </c>
      <c r="R423" s="5">
        <v>0</v>
      </c>
      <c r="S423" s="5">
        <v>0</v>
      </c>
      <c r="T423" s="5">
        <v>144</v>
      </c>
      <c r="U423" s="5">
        <v>144</v>
      </c>
      <c r="V423" s="5">
        <v>144</v>
      </c>
      <c r="W423" s="5">
        <v>144</v>
      </c>
      <c r="X423" s="5">
        <v>144</v>
      </c>
      <c r="Z423" t="e">
        <f>VLOOKUP(E423,Sheet2!$A$1:$A$39,1,0)</f>
        <v>#N/A</v>
      </c>
      <c r="AA423">
        <f>VLOOKUP($E423,[1]Sheet1!$E$10:$X$629,AA$9,0)</f>
        <v>144</v>
      </c>
      <c r="AB423">
        <f>VLOOKUP($E423,[1]Sheet1!$E$10:$X$629,AB$9,0)</f>
        <v>144</v>
      </c>
      <c r="AC423">
        <f>VLOOKUP($E423,[1]Sheet1!$E$10:$X$629,AC$9,0)</f>
        <v>0</v>
      </c>
      <c r="AD423">
        <f>VLOOKUP($E423,[1]Sheet1!$E$10:$X$629,AD$9,0)</f>
        <v>144</v>
      </c>
      <c r="AE423">
        <f>VLOOKUP($E423,[1]Sheet1!$E$10:$X$629,AE$9,0)</f>
        <v>288</v>
      </c>
      <c r="AF423">
        <f>VLOOKUP($E423,[1]Sheet1!$E$10:$X$629,AF$9,0)</f>
        <v>0</v>
      </c>
      <c r="AG423">
        <f>VLOOKUP($E423,[1]Sheet1!$E$10:$X$629,AG$9,0)</f>
        <v>576</v>
      </c>
      <c r="AH423">
        <f>VLOOKUP($E423,[1]Sheet1!$E$10:$X$629,AH$9,0)</f>
        <v>0</v>
      </c>
      <c r="AJ423">
        <f t="shared" si="22"/>
        <v>576</v>
      </c>
      <c r="AK423">
        <f t="shared" si="23"/>
        <v>1296</v>
      </c>
      <c r="AL423">
        <f t="shared" si="24"/>
        <v>-720</v>
      </c>
    </row>
    <row r="424" spans="1:38" ht="39.6" x14ac:dyDescent="0.3">
      <c r="A424" s="4" t="s">
        <v>1237</v>
      </c>
      <c r="B424" s="5" t="s">
        <v>1238</v>
      </c>
      <c r="C424" s="21" t="s">
        <v>1239</v>
      </c>
      <c r="D424" s="20"/>
      <c r="E424" s="4">
        <v>1200061</v>
      </c>
      <c r="F424" s="4" t="s">
        <v>44</v>
      </c>
      <c r="G424" s="4" t="s">
        <v>45</v>
      </c>
      <c r="H424" s="4" t="s">
        <v>61</v>
      </c>
      <c r="I424" s="4" t="s">
        <v>57</v>
      </c>
      <c r="J424" s="4" t="s">
        <v>47</v>
      </c>
      <c r="K424" s="4">
        <v>7.5</v>
      </c>
      <c r="L424" s="4">
        <v>15</v>
      </c>
      <c r="M424" s="5">
        <v>0</v>
      </c>
      <c r="N424" s="5">
        <v>144</v>
      </c>
      <c r="O424" s="5">
        <v>0</v>
      </c>
      <c r="P424" s="5">
        <v>0</v>
      </c>
      <c r="Q424" s="5">
        <v>0</v>
      </c>
      <c r="R424" s="5">
        <v>288</v>
      </c>
      <c r="S424" s="5">
        <v>144</v>
      </c>
      <c r="T424" s="5">
        <v>0</v>
      </c>
      <c r="U424" s="5">
        <v>144</v>
      </c>
      <c r="V424" s="5">
        <v>0</v>
      </c>
      <c r="W424" s="5">
        <v>432</v>
      </c>
      <c r="X424" s="5">
        <v>144</v>
      </c>
      <c r="Z424" t="e">
        <f>VLOOKUP(E424,Sheet2!$A$1:$A$39,1,0)</f>
        <v>#N/A</v>
      </c>
      <c r="AA424">
        <f>VLOOKUP($E424,[1]Sheet1!$E$10:$X$629,AA$9,0)</f>
        <v>144</v>
      </c>
      <c r="AB424">
        <f>VLOOKUP($E424,[1]Sheet1!$E$10:$X$629,AB$9,0)</f>
        <v>288</v>
      </c>
      <c r="AC424">
        <f>VLOOKUP($E424,[1]Sheet1!$E$10:$X$629,AC$9,0)</f>
        <v>144</v>
      </c>
      <c r="AD424">
        <f>VLOOKUP($E424,[1]Sheet1!$E$10:$X$629,AD$9,0)</f>
        <v>144</v>
      </c>
      <c r="AE424">
        <f>VLOOKUP($E424,[1]Sheet1!$E$10:$X$629,AE$9,0)</f>
        <v>432</v>
      </c>
      <c r="AF424">
        <f>VLOOKUP($E424,[1]Sheet1!$E$10:$X$629,AF$9,0)</f>
        <v>144</v>
      </c>
      <c r="AG424">
        <f>VLOOKUP($E424,[1]Sheet1!$E$10:$X$629,AG$9,0)</f>
        <v>432</v>
      </c>
      <c r="AH424">
        <f>VLOOKUP($E424,[1]Sheet1!$E$10:$X$629,AH$9,0)</f>
        <v>144</v>
      </c>
      <c r="AJ424">
        <f t="shared" si="22"/>
        <v>576</v>
      </c>
      <c r="AK424">
        <f t="shared" si="23"/>
        <v>1872</v>
      </c>
      <c r="AL424">
        <f t="shared" si="24"/>
        <v>-1296</v>
      </c>
    </row>
    <row r="425" spans="1:38" ht="39.6" x14ac:dyDescent="0.3">
      <c r="A425" s="4" t="s">
        <v>1240</v>
      </c>
      <c r="B425" s="5" t="s">
        <v>1241</v>
      </c>
      <c r="C425" s="21" t="s">
        <v>1242</v>
      </c>
      <c r="D425" s="20"/>
      <c r="E425" s="4">
        <v>1200062</v>
      </c>
      <c r="F425" s="4" t="s">
        <v>44</v>
      </c>
      <c r="G425" s="4" t="s">
        <v>45</v>
      </c>
      <c r="H425" s="4" t="s">
        <v>61</v>
      </c>
      <c r="I425" s="4" t="s">
        <v>57</v>
      </c>
      <c r="J425" s="4" t="s">
        <v>47</v>
      </c>
      <c r="K425" s="4">
        <v>7.5</v>
      </c>
      <c r="L425" s="4">
        <v>15</v>
      </c>
      <c r="M425" s="5">
        <v>144</v>
      </c>
      <c r="N425" s="5">
        <v>288</v>
      </c>
      <c r="O425" s="5">
        <v>144</v>
      </c>
      <c r="P425" s="5">
        <v>144</v>
      </c>
      <c r="Q425" s="5">
        <v>288</v>
      </c>
      <c r="R425" s="5">
        <v>144</v>
      </c>
      <c r="S425" s="5">
        <v>144</v>
      </c>
      <c r="T425" s="5">
        <v>432</v>
      </c>
      <c r="U425" s="5">
        <v>0</v>
      </c>
      <c r="V425" s="5">
        <v>144</v>
      </c>
      <c r="W425" s="5">
        <v>576</v>
      </c>
      <c r="X425" s="5">
        <v>0</v>
      </c>
      <c r="Z425" t="e">
        <f>VLOOKUP(E425,Sheet2!$A$1:$A$39,1,0)</f>
        <v>#N/A</v>
      </c>
      <c r="AA425">
        <f>VLOOKUP($E425,[1]Sheet1!$E$10:$X$629,AA$9,0)</f>
        <v>0</v>
      </c>
      <c r="AB425">
        <f>VLOOKUP($E425,[1]Sheet1!$E$10:$X$629,AB$9,0)</f>
        <v>432</v>
      </c>
      <c r="AC425">
        <f>VLOOKUP($E425,[1]Sheet1!$E$10:$X$629,AC$9,0)</f>
        <v>288</v>
      </c>
      <c r="AD425">
        <f>VLOOKUP($E425,[1]Sheet1!$E$10:$X$629,AD$9,0)</f>
        <v>144</v>
      </c>
      <c r="AE425">
        <f>VLOOKUP($E425,[1]Sheet1!$E$10:$X$629,AE$9,0)</f>
        <v>288</v>
      </c>
      <c r="AF425">
        <f>VLOOKUP($E425,[1]Sheet1!$E$10:$X$629,AF$9,0)</f>
        <v>576</v>
      </c>
      <c r="AG425">
        <f>VLOOKUP($E425,[1]Sheet1!$E$10:$X$629,AG$9,0)</f>
        <v>288</v>
      </c>
      <c r="AH425">
        <f>VLOOKUP($E425,[1]Sheet1!$E$10:$X$629,AH$9,0)</f>
        <v>0</v>
      </c>
      <c r="AJ425">
        <f t="shared" si="22"/>
        <v>1728</v>
      </c>
      <c r="AK425">
        <f t="shared" si="23"/>
        <v>2016</v>
      </c>
      <c r="AL425">
        <f t="shared" si="24"/>
        <v>-288</v>
      </c>
    </row>
    <row r="426" spans="1:38" ht="39.6" x14ac:dyDescent="0.3">
      <c r="A426" s="4" t="s">
        <v>1243</v>
      </c>
      <c r="B426" s="5" t="s">
        <v>1244</v>
      </c>
      <c r="C426" s="21" t="s">
        <v>1245</v>
      </c>
      <c r="D426" s="20"/>
      <c r="E426" s="4">
        <v>1200063</v>
      </c>
      <c r="F426" s="4" t="s">
        <v>44</v>
      </c>
      <c r="G426" s="4" t="s">
        <v>45</v>
      </c>
      <c r="H426" s="4" t="s">
        <v>61</v>
      </c>
      <c r="I426" s="4" t="s">
        <v>57</v>
      </c>
      <c r="J426" s="4" t="s">
        <v>47</v>
      </c>
      <c r="K426" s="4">
        <v>7.5</v>
      </c>
      <c r="L426" s="4">
        <v>15</v>
      </c>
      <c r="M426" s="5">
        <v>0</v>
      </c>
      <c r="N426" s="5">
        <v>576</v>
      </c>
      <c r="O426" s="5">
        <v>144</v>
      </c>
      <c r="P426" s="5">
        <v>288</v>
      </c>
      <c r="Q426" s="5">
        <v>288</v>
      </c>
      <c r="R426" s="5">
        <v>432</v>
      </c>
      <c r="S426" s="5">
        <v>288</v>
      </c>
      <c r="T426" s="5">
        <v>288</v>
      </c>
      <c r="U426" s="5">
        <v>288</v>
      </c>
      <c r="V426" s="5">
        <v>576</v>
      </c>
      <c r="W426" s="5">
        <v>288</v>
      </c>
      <c r="X426" s="5">
        <v>432</v>
      </c>
      <c r="Z426" t="e">
        <f>VLOOKUP(E426,Sheet2!$A$1:$A$39,1,0)</f>
        <v>#N/A</v>
      </c>
      <c r="AA426">
        <f>VLOOKUP($E426,[1]Sheet1!$E$10:$X$629,AA$9,0)</f>
        <v>288</v>
      </c>
      <c r="AB426">
        <f>VLOOKUP($E426,[1]Sheet1!$E$10:$X$629,AB$9,0)</f>
        <v>432</v>
      </c>
      <c r="AC426">
        <f>VLOOKUP($E426,[1]Sheet1!$E$10:$X$629,AC$9,0)</f>
        <v>288</v>
      </c>
      <c r="AD426">
        <f>VLOOKUP($E426,[1]Sheet1!$E$10:$X$629,AD$9,0)</f>
        <v>432</v>
      </c>
      <c r="AE426">
        <f>VLOOKUP($E426,[1]Sheet1!$E$10:$X$629,AE$9,0)</f>
        <v>288</v>
      </c>
      <c r="AF426">
        <f>VLOOKUP($E426,[1]Sheet1!$E$10:$X$629,AF$9,0)</f>
        <v>576</v>
      </c>
      <c r="AG426">
        <f>VLOOKUP($E426,[1]Sheet1!$E$10:$X$629,AG$9,0)</f>
        <v>432</v>
      </c>
      <c r="AH426">
        <f>VLOOKUP($E426,[1]Sheet1!$E$10:$X$629,AH$9,0)</f>
        <v>144</v>
      </c>
      <c r="AJ426">
        <f t="shared" si="22"/>
        <v>2304</v>
      </c>
      <c r="AK426">
        <f t="shared" si="23"/>
        <v>2880</v>
      </c>
      <c r="AL426">
        <f t="shared" si="24"/>
        <v>-576</v>
      </c>
    </row>
    <row r="427" spans="1:38" ht="39.6" x14ac:dyDescent="0.3">
      <c r="A427" s="4" t="s">
        <v>1246</v>
      </c>
      <c r="B427" s="5" t="s">
        <v>1247</v>
      </c>
      <c r="C427" s="21" t="s">
        <v>1248</v>
      </c>
      <c r="D427" s="20"/>
      <c r="E427" s="4">
        <v>1200065</v>
      </c>
      <c r="F427" s="4" t="s">
        <v>44</v>
      </c>
      <c r="G427" s="4" t="s">
        <v>45</v>
      </c>
      <c r="H427" s="4" t="s">
        <v>61</v>
      </c>
      <c r="I427" s="4" t="s">
        <v>57</v>
      </c>
      <c r="J427" s="4" t="s">
        <v>47</v>
      </c>
      <c r="K427" s="4">
        <v>7.5</v>
      </c>
      <c r="L427" s="4">
        <v>15</v>
      </c>
      <c r="M427" s="5">
        <v>432</v>
      </c>
      <c r="N427" s="5">
        <v>144</v>
      </c>
      <c r="O427" s="5">
        <v>576</v>
      </c>
      <c r="P427" s="5">
        <v>144</v>
      </c>
      <c r="Q427" s="5">
        <v>432</v>
      </c>
      <c r="R427" s="5">
        <v>720</v>
      </c>
      <c r="S427" s="5">
        <v>0</v>
      </c>
      <c r="T427" s="5">
        <v>576</v>
      </c>
      <c r="U427" s="5">
        <v>432</v>
      </c>
      <c r="V427" s="5">
        <v>720</v>
      </c>
      <c r="W427" s="5">
        <v>432</v>
      </c>
      <c r="X427" s="5">
        <v>288</v>
      </c>
      <c r="Z427" t="e">
        <f>VLOOKUP(E427,Sheet2!$A$1:$A$39,1,0)</f>
        <v>#N/A</v>
      </c>
      <c r="AA427">
        <f>VLOOKUP($E427,[1]Sheet1!$E$10:$X$629,AA$9,0)</f>
        <v>288</v>
      </c>
      <c r="AB427">
        <f>VLOOKUP($E427,[1]Sheet1!$E$10:$X$629,AB$9,0)</f>
        <v>432</v>
      </c>
      <c r="AC427">
        <f>VLOOKUP($E427,[1]Sheet1!$E$10:$X$629,AC$9,0)</f>
        <v>432</v>
      </c>
      <c r="AD427">
        <f>VLOOKUP($E427,[1]Sheet1!$E$10:$X$629,AD$9,0)</f>
        <v>288</v>
      </c>
      <c r="AE427">
        <f>VLOOKUP($E427,[1]Sheet1!$E$10:$X$629,AE$9,0)</f>
        <v>288</v>
      </c>
      <c r="AF427">
        <f>VLOOKUP($E427,[1]Sheet1!$E$10:$X$629,AF$9,0)</f>
        <v>720</v>
      </c>
      <c r="AG427">
        <f>VLOOKUP($E427,[1]Sheet1!$E$10:$X$629,AG$9,0)</f>
        <v>576</v>
      </c>
      <c r="AH427">
        <f>VLOOKUP($E427,[1]Sheet1!$E$10:$X$629,AH$9,0)</f>
        <v>0</v>
      </c>
      <c r="AJ427">
        <f t="shared" si="22"/>
        <v>3024</v>
      </c>
      <c r="AK427">
        <f t="shared" si="23"/>
        <v>3024</v>
      </c>
      <c r="AL427">
        <f t="shared" si="24"/>
        <v>0</v>
      </c>
    </row>
    <row r="428" spans="1:38" ht="39.6" x14ac:dyDescent="0.3">
      <c r="A428" s="4" t="s">
        <v>1249</v>
      </c>
      <c r="B428" s="5" t="s">
        <v>1250</v>
      </c>
      <c r="C428" s="21" t="s">
        <v>1251</v>
      </c>
      <c r="D428" s="20"/>
      <c r="E428" s="4">
        <v>1002557</v>
      </c>
      <c r="F428" s="4" t="s">
        <v>44</v>
      </c>
      <c r="G428" s="4" t="s">
        <v>45</v>
      </c>
      <c r="H428" s="4" t="s">
        <v>61</v>
      </c>
      <c r="I428" s="4" t="s">
        <v>57</v>
      </c>
      <c r="J428" s="4" t="s">
        <v>1179</v>
      </c>
      <c r="K428" s="4">
        <v>7.5</v>
      </c>
      <c r="L428" s="4">
        <v>15</v>
      </c>
      <c r="M428" s="5">
        <v>0</v>
      </c>
      <c r="N428" s="5">
        <v>144</v>
      </c>
      <c r="O428" s="5">
        <v>144</v>
      </c>
      <c r="P428" s="5">
        <v>0</v>
      </c>
      <c r="Q428" s="5">
        <v>144</v>
      </c>
      <c r="R428" s="5">
        <v>288</v>
      </c>
      <c r="S428" s="5">
        <v>288</v>
      </c>
      <c r="T428" s="5">
        <v>0</v>
      </c>
      <c r="U428" s="5">
        <v>576</v>
      </c>
      <c r="V428" s="5">
        <v>144</v>
      </c>
      <c r="W428" s="5">
        <v>432</v>
      </c>
      <c r="X428" s="5">
        <v>288</v>
      </c>
      <c r="Z428" t="e">
        <f>VLOOKUP(E428,Sheet2!$A$1:$A$39,1,0)</f>
        <v>#N/A</v>
      </c>
      <c r="AA428">
        <f>VLOOKUP($E428,[1]Sheet1!$E$10:$X$629,AA$9,0)</f>
        <v>288</v>
      </c>
      <c r="AB428">
        <f>VLOOKUP($E428,[1]Sheet1!$E$10:$X$629,AB$9,0)</f>
        <v>0</v>
      </c>
      <c r="AC428">
        <f>VLOOKUP($E428,[1]Sheet1!$E$10:$X$629,AC$9,0)</f>
        <v>144</v>
      </c>
      <c r="AD428">
        <f>VLOOKUP($E428,[1]Sheet1!$E$10:$X$629,AD$9,0)</f>
        <v>144</v>
      </c>
      <c r="AE428">
        <f>VLOOKUP($E428,[1]Sheet1!$E$10:$X$629,AE$9,0)</f>
        <v>288</v>
      </c>
      <c r="AF428">
        <f>VLOOKUP($E428,[1]Sheet1!$E$10:$X$629,AF$9,0)</f>
        <v>576</v>
      </c>
      <c r="AG428">
        <f>VLOOKUP($E428,[1]Sheet1!$E$10:$X$629,AG$9,0)</f>
        <v>144</v>
      </c>
      <c r="AH428">
        <f>VLOOKUP($E428,[1]Sheet1!$E$10:$X$629,AH$9,0)</f>
        <v>0</v>
      </c>
      <c r="AJ428">
        <f t="shared" si="22"/>
        <v>1008</v>
      </c>
      <c r="AK428">
        <f t="shared" si="23"/>
        <v>1584</v>
      </c>
      <c r="AL428">
        <f t="shared" si="24"/>
        <v>-576</v>
      </c>
    </row>
    <row r="429" spans="1:38" ht="39.6" x14ac:dyDescent="0.3">
      <c r="A429" s="4" t="s">
        <v>1252</v>
      </c>
      <c r="B429" s="5" t="s">
        <v>1253</v>
      </c>
      <c r="C429" s="21" t="s">
        <v>1254</v>
      </c>
      <c r="D429" s="20"/>
      <c r="E429" s="4">
        <v>1002558</v>
      </c>
      <c r="F429" s="4" t="s">
        <v>44</v>
      </c>
      <c r="G429" s="4" t="s">
        <v>45</v>
      </c>
      <c r="H429" s="4" t="s">
        <v>61</v>
      </c>
      <c r="I429" s="4" t="s">
        <v>57</v>
      </c>
      <c r="J429" s="4" t="s">
        <v>1179</v>
      </c>
      <c r="K429" s="4">
        <v>7.5</v>
      </c>
      <c r="L429" s="4">
        <v>15</v>
      </c>
      <c r="M429" s="5">
        <v>0</v>
      </c>
      <c r="N429" s="5">
        <v>432</v>
      </c>
      <c r="O429" s="5">
        <v>0</v>
      </c>
      <c r="P429" s="5">
        <v>0</v>
      </c>
      <c r="Q429" s="5">
        <v>144</v>
      </c>
      <c r="R429" s="5">
        <v>288</v>
      </c>
      <c r="S429" s="5">
        <v>288</v>
      </c>
      <c r="T429" s="5">
        <v>0</v>
      </c>
      <c r="U429" s="5">
        <v>144</v>
      </c>
      <c r="V429" s="5">
        <v>288</v>
      </c>
      <c r="W429" s="5">
        <v>144</v>
      </c>
      <c r="X429" s="5">
        <v>288</v>
      </c>
      <c r="Z429" t="e">
        <f>VLOOKUP(E429,Sheet2!$A$1:$A$39,1,0)</f>
        <v>#N/A</v>
      </c>
      <c r="AA429">
        <f>VLOOKUP($E429,[1]Sheet1!$E$10:$X$629,AA$9,0)</f>
        <v>144</v>
      </c>
      <c r="AB429">
        <f>VLOOKUP($E429,[1]Sheet1!$E$10:$X$629,AB$9,0)</f>
        <v>288</v>
      </c>
      <c r="AC429">
        <f>VLOOKUP($E429,[1]Sheet1!$E$10:$X$629,AC$9,0)</f>
        <v>288</v>
      </c>
      <c r="AD429">
        <f>VLOOKUP($E429,[1]Sheet1!$E$10:$X$629,AD$9,0)</f>
        <v>288</v>
      </c>
      <c r="AE429">
        <f>VLOOKUP($E429,[1]Sheet1!$E$10:$X$629,AE$9,0)</f>
        <v>144</v>
      </c>
      <c r="AF429">
        <f>VLOOKUP($E429,[1]Sheet1!$E$10:$X$629,AF$9,0)</f>
        <v>432</v>
      </c>
      <c r="AG429">
        <f>VLOOKUP($E429,[1]Sheet1!$E$10:$X$629,AG$9,0)</f>
        <v>288</v>
      </c>
      <c r="AH429">
        <f>VLOOKUP($E429,[1]Sheet1!$E$10:$X$629,AH$9,0)</f>
        <v>144</v>
      </c>
      <c r="AJ429">
        <f t="shared" si="22"/>
        <v>1152</v>
      </c>
      <c r="AK429">
        <f t="shared" si="23"/>
        <v>2016</v>
      </c>
      <c r="AL429">
        <f t="shared" si="24"/>
        <v>-864</v>
      </c>
    </row>
    <row r="430" spans="1:38" ht="39.6" x14ac:dyDescent="0.3">
      <c r="A430" s="4" t="s">
        <v>1255</v>
      </c>
      <c r="B430" s="5" t="s">
        <v>1256</v>
      </c>
      <c r="C430" s="21" t="s">
        <v>1257</v>
      </c>
      <c r="D430" s="20"/>
      <c r="E430" s="4">
        <v>1002555</v>
      </c>
      <c r="F430" s="4" t="s">
        <v>44</v>
      </c>
      <c r="G430" s="4" t="s">
        <v>45</v>
      </c>
      <c r="H430" s="4" t="s">
        <v>61</v>
      </c>
      <c r="I430" s="4" t="s">
        <v>57</v>
      </c>
      <c r="J430" s="4" t="s">
        <v>1179</v>
      </c>
      <c r="K430" s="4">
        <v>7.5</v>
      </c>
      <c r="L430" s="4">
        <v>15</v>
      </c>
      <c r="M430" s="5">
        <v>432</v>
      </c>
      <c r="N430" s="5">
        <v>288</v>
      </c>
      <c r="O430" s="5">
        <v>144</v>
      </c>
      <c r="P430" s="5">
        <v>576</v>
      </c>
      <c r="Q430" s="5">
        <v>288</v>
      </c>
      <c r="R430" s="5">
        <v>432</v>
      </c>
      <c r="S430" s="5">
        <v>288</v>
      </c>
      <c r="T430" s="5">
        <v>432</v>
      </c>
      <c r="U430" s="5">
        <v>432</v>
      </c>
      <c r="V430" s="5">
        <v>432</v>
      </c>
      <c r="W430" s="5">
        <v>432</v>
      </c>
      <c r="X430" s="5">
        <v>432</v>
      </c>
      <c r="Z430" t="e">
        <f>VLOOKUP(E430,Sheet2!$A$1:$A$39,1,0)</f>
        <v>#N/A</v>
      </c>
      <c r="AA430">
        <f>VLOOKUP($E430,[1]Sheet1!$E$10:$X$629,AA$9,0)</f>
        <v>432</v>
      </c>
      <c r="AB430">
        <f>VLOOKUP($E430,[1]Sheet1!$E$10:$X$629,AB$9,0)</f>
        <v>288</v>
      </c>
      <c r="AC430">
        <f>VLOOKUP($E430,[1]Sheet1!$E$10:$X$629,AC$9,0)</f>
        <v>576</v>
      </c>
      <c r="AD430">
        <f>VLOOKUP($E430,[1]Sheet1!$E$10:$X$629,AD$9,0)</f>
        <v>576</v>
      </c>
      <c r="AE430">
        <f>VLOOKUP($E430,[1]Sheet1!$E$10:$X$629,AE$9,0)</f>
        <v>288</v>
      </c>
      <c r="AF430">
        <f>VLOOKUP($E430,[1]Sheet1!$E$10:$X$629,AF$9,0)</f>
        <v>576</v>
      </c>
      <c r="AG430">
        <f>VLOOKUP($E430,[1]Sheet1!$E$10:$X$629,AG$9,0)</f>
        <v>288</v>
      </c>
      <c r="AH430">
        <f>VLOOKUP($E430,[1]Sheet1!$E$10:$X$629,AH$9,0)</f>
        <v>432</v>
      </c>
      <c r="AJ430">
        <f t="shared" si="22"/>
        <v>2880</v>
      </c>
      <c r="AK430">
        <f t="shared" si="23"/>
        <v>3456</v>
      </c>
      <c r="AL430">
        <f t="shared" si="24"/>
        <v>-576</v>
      </c>
    </row>
    <row r="431" spans="1:38" ht="39.6" x14ac:dyDescent="0.3">
      <c r="A431" s="4" t="s">
        <v>1258</v>
      </c>
      <c r="B431" s="5" t="s">
        <v>1259</v>
      </c>
      <c r="C431" s="21" t="s">
        <v>1260</v>
      </c>
      <c r="D431" s="20"/>
      <c r="E431" s="4">
        <v>1002556</v>
      </c>
      <c r="F431" s="4" t="s">
        <v>44</v>
      </c>
      <c r="G431" s="4" t="s">
        <v>45</v>
      </c>
      <c r="H431" s="4" t="s">
        <v>61</v>
      </c>
      <c r="I431" s="4" t="s">
        <v>57</v>
      </c>
      <c r="J431" s="4" t="s">
        <v>1179</v>
      </c>
      <c r="K431" s="4">
        <v>7.5</v>
      </c>
      <c r="L431" s="4">
        <v>15</v>
      </c>
      <c r="M431" s="5">
        <v>288</v>
      </c>
      <c r="N431" s="5">
        <v>0</v>
      </c>
      <c r="O431" s="5">
        <v>432</v>
      </c>
      <c r="P431" s="5">
        <v>144</v>
      </c>
      <c r="Q431" s="5">
        <v>144</v>
      </c>
      <c r="R431" s="5">
        <v>144</v>
      </c>
      <c r="S431" s="5">
        <v>144</v>
      </c>
      <c r="T431" s="5">
        <v>432</v>
      </c>
      <c r="U431" s="5">
        <v>0</v>
      </c>
      <c r="V431" s="5">
        <v>288</v>
      </c>
      <c r="W431" s="5">
        <v>288</v>
      </c>
      <c r="X431" s="5">
        <v>144</v>
      </c>
      <c r="Z431" t="e">
        <f>VLOOKUP(E431,Sheet2!$A$1:$A$39,1,0)</f>
        <v>#N/A</v>
      </c>
      <c r="AA431">
        <f>VLOOKUP($E431,[1]Sheet1!$E$10:$X$629,AA$9,0)</f>
        <v>144</v>
      </c>
      <c r="AB431">
        <f>VLOOKUP($E431,[1]Sheet1!$E$10:$X$629,AB$9,0)</f>
        <v>288</v>
      </c>
      <c r="AC431">
        <f>VLOOKUP($E431,[1]Sheet1!$E$10:$X$629,AC$9,0)</f>
        <v>288</v>
      </c>
      <c r="AD431">
        <f>VLOOKUP($E431,[1]Sheet1!$E$10:$X$629,AD$9,0)</f>
        <v>144</v>
      </c>
      <c r="AE431">
        <f>VLOOKUP($E431,[1]Sheet1!$E$10:$X$629,AE$9,0)</f>
        <v>432</v>
      </c>
      <c r="AF431">
        <f>VLOOKUP($E431,[1]Sheet1!$E$10:$X$629,AF$9,0)</f>
        <v>144</v>
      </c>
      <c r="AG431">
        <f>VLOOKUP($E431,[1]Sheet1!$E$10:$X$629,AG$9,0)</f>
        <v>288</v>
      </c>
      <c r="AH431">
        <f>VLOOKUP($E431,[1]Sheet1!$E$10:$X$629,AH$9,0)</f>
        <v>288</v>
      </c>
      <c r="AJ431">
        <f t="shared" si="22"/>
        <v>1728</v>
      </c>
      <c r="AK431">
        <f t="shared" si="23"/>
        <v>2016</v>
      </c>
      <c r="AL431">
        <f t="shared" si="24"/>
        <v>-288</v>
      </c>
    </row>
    <row r="432" spans="1:38" ht="39.6" x14ac:dyDescent="0.3">
      <c r="A432" s="4" t="s">
        <v>1261</v>
      </c>
      <c r="B432" s="5" t="s">
        <v>1262</v>
      </c>
      <c r="C432" s="21" t="s">
        <v>1263</v>
      </c>
      <c r="D432" s="20"/>
      <c r="E432" s="4">
        <v>1002383</v>
      </c>
      <c r="F432" s="4" t="s">
        <v>44</v>
      </c>
      <c r="G432" s="4" t="s">
        <v>45</v>
      </c>
      <c r="H432" s="4" t="s">
        <v>51</v>
      </c>
      <c r="I432" s="4" t="s">
        <v>46</v>
      </c>
      <c r="J432" s="4" t="s">
        <v>1179</v>
      </c>
      <c r="K432" s="4">
        <v>18</v>
      </c>
      <c r="L432" s="4">
        <v>36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Z432" t="e">
        <f>VLOOKUP(E432,Sheet2!$A$1:$A$39,1,0)</f>
        <v>#N/A</v>
      </c>
      <c r="AA432">
        <f>VLOOKUP($E432,[1]Sheet1!$E$10:$X$629,AA$9,0)</f>
        <v>0</v>
      </c>
      <c r="AB432">
        <f>VLOOKUP($E432,[1]Sheet1!$E$10:$X$629,AB$9,0)</f>
        <v>0</v>
      </c>
      <c r="AC432">
        <f>VLOOKUP($E432,[1]Sheet1!$E$10:$X$629,AC$9,0)</f>
        <v>0</v>
      </c>
      <c r="AD432">
        <f>VLOOKUP($E432,[1]Sheet1!$E$10:$X$629,AD$9,0)</f>
        <v>0</v>
      </c>
      <c r="AE432">
        <f>VLOOKUP($E432,[1]Sheet1!$E$10:$X$629,AE$9,0)</f>
        <v>0</v>
      </c>
      <c r="AF432">
        <f>VLOOKUP($E432,[1]Sheet1!$E$10:$X$629,AF$9,0)</f>
        <v>0</v>
      </c>
      <c r="AG432">
        <f>VLOOKUP($E432,[1]Sheet1!$E$10:$X$629,AG$9,0)</f>
        <v>0</v>
      </c>
      <c r="AH432">
        <f>VLOOKUP($E432,[1]Sheet1!$E$10:$X$629,AH$9,0)</f>
        <v>0</v>
      </c>
      <c r="AJ432">
        <f t="shared" si="22"/>
        <v>0</v>
      </c>
      <c r="AK432">
        <f t="shared" si="23"/>
        <v>0</v>
      </c>
      <c r="AL432">
        <f t="shared" si="24"/>
        <v>0</v>
      </c>
    </row>
    <row r="433" spans="1:38" ht="39.6" x14ac:dyDescent="0.3">
      <c r="A433" s="4" t="s">
        <v>1264</v>
      </c>
      <c r="B433" s="5" t="s">
        <v>1265</v>
      </c>
      <c r="C433" s="21" t="s">
        <v>1266</v>
      </c>
      <c r="D433" s="20"/>
      <c r="E433" s="4">
        <v>1200168</v>
      </c>
      <c r="F433" s="4" t="s">
        <v>44</v>
      </c>
      <c r="G433" s="4" t="s">
        <v>45</v>
      </c>
      <c r="H433" s="4" t="s">
        <v>56</v>
      </c>
      <c r="I433" s="4" t="s">
        <v>57</v>
      </c>
      <c r="J433" s="4" t="s">
        <v>47</v>
      </c>
      <c r="K433" s="4">
        <v>7.5</v>
      </c>
      <c r="L433" s="4">
        <v>15</v>
      </c>
      <c r="M433" s="5">
        <v>720</v>
      </c>
      <c r="N433" s="5">
        <v>864</v>
      </c>
      <c r="O433" s="5">
        <v>576</v>
      </c>
      <c r="P433" s="5">
        <v>1008</v>
      </c>
      <c r="Q433" s="5">
        <v>432</v>
      </c>
      <c r="R433" s="5">
        <v>1008</v>
      </c>
      <c r="S433" s="5">
        <v>576</v>
      </c>
      <c r="T433" s="5">
        <v>864</v>
      </c>
      <c r="U433" s="5">
        <v>1296</v>
      </c>
      <c r="V433" s="5">
        <v>1584</v>
      </c>
      <c r="W433" s="5">
        <v>576</v>
      </c>
      <c r="X433" s="5">
        <v>1440</v>
      </c>
      <c r="Z433" t="e">
        <f>VLOOKUP(E433,Sheet2!$A$1:$A$39,1,0)</f>
        <v>#N/A</v>
      </c>
      <c r="AA433">
        <f>VLOOKUP($E433,[1]Sheet1!$E$10:$X$629,AA$9,0)</f>
        <v>1008</v>
      </c>
      <c r="AB433">
        <f>VLOOKUP($E433,[1]Sheet1!$E$10:$X$629,AB$9,0)</f>
        <v>864</v>
      </c>
      <c r="AC433">
        <f>VLOOKUP($E433,[1]Sheet1!$E$10:$X$629,AC$9,0)</f>
        <v>1296</v>
      </c>
      <c r="AD433">
        <f>VLOOKUP($E433,[1]Sheet1!$E$10:$X$629,AD$9,0)</f>
        <v>1008</v>
      </c>
      <c r="AE433">
        <f>VLOOKUP($E433,[1]Sheet1!$E$10:$X$629,AE$9,0)</f>
        <v>1008</v>
      </c>
      <c r="AF433">
        <f>VLOOKUP($E433,[1]Sheet1!$E$10:$X$629,AF$9,0)</f>
        <v>1152</v>
      </c>
      <c r="AG433">
        <f>VLOOKUP($E433,[1]Sheet1!$E$10:$X$629,AG$9,0)</f>
        <v>1152</v>
      </c>
      <c r="AH433">
        <f>VLOOKUP($E433,[1]Sheet1!$E$10:$X$629,AH$9,0)</f>
        <v>432</v>
      </c>
      <c r="AJ433">
        <f t="shared" si="22"/>
        <v>6048</v>
      </c>
      <c r="AK433">
        <f t="shared" si="23"/>
        <v>7920</v>
      </c>
      <c r="AL433">
        <f t="shared" si="24"/>
        <v>-1872</v>
      </c>
    </row>
    <row r="434" spans="1:38" ht="39.6" x14ac:dyDescent="0.3">
      <c r="A434" s="4" t="s">
        <v>1267</v>
      </c>
      <c r="B434" s="5" t="s">
        <v>1268</v>
      </c>
      <c r="C434" s="21" t="s">
        <v>1269</v>
      </c>
      <c r="D434" s="20"/>
      <c r="E434" s="4">
        <v>1200169</v>
      </c>
      <c r="F434" s="4" t="s">
        <v>44</v>
      </c>
      <c r="G434" s="4" t="s">
        <v>45</v>
      </c>
      <c r="H434" s="4" t="s">
        <v>56</v>
      </c>
      <c r="I434" s="4" t="s">
        <v>57</v>
      </c>
      <c r="J434" s="4" t="s">
        <v>47</v>
      </c>
      <c r="K434" s="4">
        <v>7.5</v>
      </c>
      <c r="L434" s="4">
        <v>15</v>
      </c>
      <c r="M434" s="5">
        <v>432</v>
      </c>
      <c r="N434" s="5">
        <v>576</v>
      </c>
      <c r="O434" s="5">
        <v>720</v>
      </c>
      <c r="P434" s="5">
        <v>432</v>
      </c>
      <c r="Q434" s="5">
        <v>720</v>
      </c>
      <c r="R434" s="5">
        <v>576</v>
      </c>
      <c r="S434" s="5">
        <v>576</v>
      </c>
      <c r="T434" s="5">
        <v>720</v>
      </c>
      <c r="U434" s="5">
        <v>864</v>
      </c>
      <c r="V434" s="5">
        <v>864</v>
      </c>
      <c r="W434" s="5">
        <v>720</v>
      </c>
      <c r="X434" s="5">
        <v>1152</v>
      </c>
      <c r="Z434" t="e">
        <f>VLOOKUP(E434,Sheet2!$A$1:$A$39,1,0)</f>
        <v>#N/A</v>
      </c>
      <c r="AA434">
        <f>VLOOKUP($E434,[1]Sheet1!$E$10:$X$629,AA$9,0)</f>
        <v>576</v>
      </c>
      <c r="AB434">
        <f>VLOOKUP($E434,[1]Sheet1!$E$10:$X$629,AB$9,0)</f>
        <v>1008</v>
      </c>
      <c r="AC434">
        <f>VLOOKUP($E434,[1]Sheet1!$E$10:$X$629,AC$9,0)</f>
        <v>864</v>
      </c>
      <c r="AD434">
        <f>VLOOKUP($E434,[1]Sheet1!$E$10:$X$629,AD$9,0)</f>
        <v>576</v>
      </c>
      <c r="AE434">
        <f>VLOOKUP($E434,[1]Sheet1!$E$10:$X$629,AE$9,0)</f>
        <v>864</v>
      </c>
      <c r="AF434">
        <f>VLOOKUP($E434,[1]Sheet1!$E$10:$X$629,AF$9,0)</f>
        <v>864</v>
      </c>
      <c r="AG434">
        <f>VLOOKUP($E434,[1]Sheet1!$E$10:$X$629,AG$9,0)</f>
        <v>720</v>
      </c>
      <c r="AH434">
        <f>VLOOKUP($E434,[1]Sheet1!$E$10:$X$629,AH$9,0)</f>
        <v>576</v>
      </c>
      <c r="AJ434">
        <f t="shared" si="22"/>
        <v>4752</v>
      </c>
      <c r="AK434">
        <f t="shared" si="23"/>
        <v>6048</v>
      </c>
      <c r="AL434">
        <f t="shared" si="24"/>
        <v>-1296</v>
      </c>
    </row>
    <row r="435" spans="1:38" ht="39.6" x14ac:dyDescent="0.3">
      <c r="A435" s="4" t="s">
        <v>1270</v>
      </c>
      <c r="B435" s="5" t="s">
        <v>1271</v>
      </c>
      <c r="C435" s="21" t="s">
        <v>1272</v>
      </c>
      <c r="D435" s="20"/>
      <c r="E435" s="4">
        <v>1200170</v>
      </c>
      <c r="F435" s="4" t="s">
        <v>44</v>
      </c>
      <c r="G435" s="4" t="s">
        <v>45</v>
      </c>
      <c r="H435" s="4" t="s">
        <v>56</v>
      </c>
      <c r="I435" s="4" t="s">
        <v>57</v>
      </c>
      <c r="J435" s="4" t="s">
        <v>47</v>
      </c>
      <c r="K435" s="4">
        <v>7.5</v>
      </c>
      <c r="L435" s="4">
        <v>15</v>
      </c>
      <c r="M435" s="5">
        <v>576</v>
      </c>
      <c r="N435" s="5">
        <v>576</v>
      </c>
      <c r="O435" s="5">
        <v>1152</v>
      </c>
      <c r="P435" s="5">
        <v>720</v>
      </c>
      <c r="Q435" s="5">
        <v>720</v>
      </c>
      <c r="R435" s="5">
        <v>1152</v>
      </c>
      <c r="S435" s="5">
        <v>864</v>
      </c>
      <c r="T435" s="5">
        <v>720</v>
      </c>
      <c r="U435" s="5">
        <v>1440</v>
      </c>
      <c r="V435" s="5">
        <v>1440</v>
      </c>
      <c r="W435" s="5">
        <v>720</v>
      </c>
      <c r="X435" s="5">
        <v>1584</v>
      </c>
      <c r="Z435" t="e">
        <f>VLOOKUP(E435,Sheet2!$A$1:$A$39,1,0)</f>
        <v>#N/A</v>
      </c>
      <c r="AA435">
        <f>VLOOKUP($E435,[1]Sheet1!$E$10:$X$629,AA$9,0)</f>
        <v>720</v>
      </c>
      <c r="AB435">
        <f>VLOOKUP($E435,[1]Sheet1!$E$10:$X$629,AB$9,0)</f>
        <v>720</v>
      </c>
      <c r="AC435">
        <f>VLOOKUP($E435,[1]Sheet1!$E$10:$X$629,AC$9,0)</f>
        <v>1152</v>
      </c>
      <c r="AD435">
        <f>VLOOKUP($E435,[1]Sheet1!$E$10:$X$629,AD$9,0)</f>
        <v>1008</v>
      </c>
      <c r="AE435">
        <f>VLOOKUP($E435,[1]Sheet1!$E$10:$X$629,AE$9,0)</f>
        <v>1008</v>
      </c>
      <c r="AF435">
        <f>VLOOKUP($E435,[1]Sheet1!$E$10:$X$629,AF$9,0)</f>
        <v>1008</v>
      </c>
      <c r="AG435">
        <f>VLOOKUP($E435,[1]Sheet1!$E$10:$X$629,AG$9,0)</f>
        <v>1008</v>
      </c>
      <c r="AH435">
        <f>VLOOKUP($E435,[1]Sheet1!$E$10:$X$629,AH$9,0)</f>
        <v>288</v>
      </c>
      <c r="AJ435">
        <f t="shared" si="22"/>
        <v>6480</v>
      </c>
      <c r="AK435">
        <f t="shared" si="23"/>
        <v>6912</v>
      </c>
      <c r="AL435">
        <f t="shared" si="24"/>
        <v>-432</v>
      </c>
    </row>
    <row r="436" spans="1:38" ht="39.6" x14ac:dyDescent="0.3">
      <c r="A436" s="4" t="s">
        <v>1273</v>
      </c>
      <c r="B436" s="5" t="s">
        <v>1274</v>
      </c>
      <c r="C436" s="21" t="s">
        <v>1275</v>
      </c>
      <c r="D436" s="20"/>
      <c r="E436" s="4">
        <v>1200171</v>
      </c>
      <c r="F436" s="4" t="s">
        <v>44</v>
      </c>
      <c r="G436" s="4" t="s">
        <v>45</v>
      </c>
      <c r="H436" s="4" t="s">
        <v>56</v>
      </c>
      <c r="I436" s="4" t="s">
        <v>57</v>
      </c>
      <c r="J436" s="4" t="s">
        <v>47</v>
      </c>
      <c r="K436" s="4">
        <v>7.5</v>
      </c>
      <c r="L436" s="4">
        <v>15</v>
      </c>
      <c r="M436" s="5">
        <v>432</v>
      </c>
      <c r="N436" s="5">
        <v>720</v>
      </c>
      <c r="O436" s="5">
        <v>576</v>
      </c>
      <c r="P436" s="5">
        <v>864</v>
      </c>
      <c r="Q436" s="5">
        <v>432</v>
      </c>
      <c r="R436" s="5">
        <v>864</v>
      </c>
      <c r="S436" s="5">
        <v>720</v>
      </c>
      <c r="T436" s="5">
        <v>720</v>
      </c>
      <c r="U436" s="5">
        <v>864</v>
      </c>
      <c r="V436" s="5">
        <v>1296</v>
      </c>
      <c r="W436" s="5">
        <v>576</v>
      </c>
      <c r="X436" s="5">
        <v>1296</v>
      </c>
      <c r="Z436" t="e">
        <f>VLOOKUP(E436,Sheet2!$A$1:$A$39,1,0)</f>
        <v>#N/A</v>
      </c>
      <c r="AA436">
        <f>VLOOKUP($E436,[1]Sheet1!$E$10:$X$629,AA$9,0)</f>
        <v>576</v>
      </c>
      <c r="AB436">
        <f>VLOOKUP($E436,[1]Sheet1!$E$10:$X$629,AB$9,0)</f>
        <v>720</v>
      </c>
      <c r="AC436">
        <f>VLOOKUP($E436,[1]Sheet1!$E$10:$X$629,AC$9,0)</f>
        <v>864</v>
      </c>
      <c r="AD436">
        <f>VLOOKUP($E436,[1]Sheet1!$E$10:$X$629,AD$9,0)</f>
        <v>576</v>
      </c>
      <c r="AE436">
        <f>VLOOKUP($E436,[1]Sheet1!$E$10:$X$629,AE$9,0)</f>
        <v>720</v>
      </c>
      <c r="AF436">
        <f>VLOOKUP($E436,[1]Sheet1!$E$10:$X$629,AF$9,0)</f>
        <v>1008</v>
      </c>
      <c r="AG436">
        <f>VLOOKUP($E436,[1]Sheet1!$E$10:$X$629,AG$9,0)</f>
        <v>864</v>
      </c>
      <c r="AH436">
        <f>VLOOKUP($E436,[1]Sheet1!$E$10:$X$629,AH$9,0)</f>
        <v>288</v>
      </c>
      <c r="AJ436">
        <f t="shared" si="22"/>
        <v>5328</v>
      </c>
      <c r="AK436">
        <f t="shared" si="23"/>
        <v>5616</v>
      </c>
      <c r="AL436">
        <f t="shared" si="24"/>
        <v>-288</v>
      </c>
    </row>
    <row r="437" spans="1:38" ht="39.6" x14ac:dyDescent="0.3">
      <c r="A437" s="4" t="s">
        <v>1276</v>
      </c>
      <c r="B437" s="5" t="s">
        <v>1277</v>
      </c>
      <c r="C437" s="21" t="s">
        <v>1278</v>
      </c>
      <c r="D437" s="20"/>
      <c r="E437" s="4">
        <v>1200173</v>
      </c>
      <c r="F437" s="4" t="s">
        <v>44</v>
      </c>
      <c r="G437" s="4" t="s">
        <v>45</v>
      </c>
      <c r="H437" s="4" t="s">
        <v>56</v>
      </c>
      <c r="I437" s="4" t="s">
        <v>57</v>
      </c>
      <c r="J437" s="4" t="s">
        <v>47</v>
      </c>
      <c r="K437" s="4">
        <v>7.5</v>
      </c>
      <c r="L437" s="4">
        <v>15</v>
      </c>
      <c r="M437" s="5">
        <v>288</v>
      </c>
      <c r="N437" s="5">
        <v>720</v>
      </c>
      <c r="O437" s="5">
        <v>576</v>
      </c>
      <c r="P437" s="5">
        <v>576</v>
      </c>
      <c r="Q437" s="5">
        <v>576</v>
      </c>
      <c r="R437" s="5">
        <v>1008</v>
      </c>
      <c r="S437" s="5">
        <v>432</v>
      </c>
      <c r="T437" s="5">
        <v>720</v>
      </c>
      <c r="U437" s="5">
        <v>1008</v>
      </c>
      <c r="V437" s="5">
        <v>1008</v>
      </c>
      <c r="W437" s="5">
        <v>720</v>
      </c>
      <c r="X437" s="5">
        <v>1008</v>
      </c>
      <c r="Z437" t="e">
        <f>VLOOKUP(E437,Sheet2!$A$1:$A$39,1,0)</f>
        <v>#N/A</v>
      </c>
      <c r="AA437">
        <f>VLOOKUP($E437,[1]Sheet1!$E$10:$X$629,AA$9,0)</f>
        <v>720</v>
      </c>
      <c r="AB437">
        <f>VLOOKUP($E437,[1]Sheet1!$E$10:$X$629,AB$9,0)</f>
        <v>864</v>
      </c>
      <c r="AC437">
        <f>VLOOKUP($E437,[1]Sheet1!$E$10:$X$629,AC$9,0)</f>
        <v>720</v>
      </c>
      <c r="AD437">
        <f>VLOOKUP($E437,[1]Sheet1!$E$10:$X$629,AD$9,0)</f>
        <v>864</v>
      </c>
      <c r="AE437">
        <f>VLOOKUP($E437,[1]Sheet1!$E$10:$X$629,AE$9,0)</f>
        <v>720</v>
      </c>
      <c r="AF437">
        <f>VLOOKUP($E437,[1]Sheet1!$E$10:$X$629,AF$9,0)</f>
        <v>864</v>
      </c>
      <c r="AG437">
        <f>VLOOKUP($E437,[1]Sheet1!$E$10:$X$629,AG$9,0)</f>
        <v>1008</v>
      </c>
      <c r="AH437">
        <f>VLOOKUP($E437,[1]Sheet1!$E$10:$X$629,AH$9,0)</f>
        <v>144</v>
      </c>
      <c r="AJ437">
        <f t="shared" si="22"/>
        <v>4896</v>
      </c>
      <c r="AK437">
        <f t="shared" si="23"/>
        <v>5904</v>
      </c>
      <c r="AL437">
        <f t="shared" si="24"/>
        <v>-1008</v>
      </c>
    </row>
    <row r="438" spans="1:38" ht="39.6" x14ac:dyDescent="0.3">
      <c r="A438" s="4" t="s">
        <v>1279</v>
      </c>
      <c r="B438" s="5" t="s">
        <v>1280</v>
      </c>
      <c r="C438" s="21" t="s">
        <v>1281</v>
      </c>
      <c r="D438" s="20"/>
      <c r="E438" s="4">
        <v>1200160</v>
      </c>
      <c r="F438" s="4" t="s">
        <v>44</v>
      </c>
      <c r="G438" s="4" t="s">
        <v>45</v>
      </c>
      <c r="H438" s="4"/>
      <c r="I438" s="4" t="s">
        <v>57</v>
      </c>
      <c r="J438" s="4" t="s">
        <v>47</v>
      </c>
      <c r="K438" s="4">
        <v>9</v>
      </c>
      <c r="L438" s="4">
        <v>18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Z438" t="e">
        <f>VLOOKUP(E438,Sheet2!$A$1:$A$39,1,0)</f>
        <v>#N/A</v>
      </c>
      <c r="AA438">
        <f>VLOOKUP($E438,[1]Sheet1!$E$10:$X$629,AA$9,0)</f>
        <v>0</v>
      </c>
      <c r="AB438">
        <f>VLOOKUP($E438,[1]Sheet1!$E$10:$X$629,AB$9,0)</f>
        <v>0</v>
      </c>
      <c r="AC438">
        <f>VLOOKUP($E438,[1]Sheet1!$E$10:$X$629,AC$9,0)</f>
        <v>0</v>
      </c>
      <c r="AD438">
        <f>VLOOKUP($E438,[1]Sheet1!$E$10:$X$629,AD$9,0)</f>
        <v>0</v>
      </c>
      <c r="AE438">
        <f>VLOOKUP($E438,[1]Sheet1!$E$10:$X$629,AE$9,0)</f>
        <v>0</v>
      </c>
      <c r="AF438">
        <f>VLOOKUP($E438,[1]Sheet1!$E$10:$X$629,AF$9,0)</f>
        <v>0</v>
      </c>
      <c r="AG438">
        <f>VLOOKUP($E438,[1]Sheet1!$E$10:$X$629,AG$9,0)</f>
        <v>0</v>
      </c>
      <c r="AH438">
        <f>VLOOKUP($E438,[1]Sheet1!$E$10:$X$629,AH$9,0)</f>
        <v>0</v>
      </c>
      <c r="AJ438">
        <f t="shared" si="22"/>
        <v>0</v>
      </c>
      <c r="AK438">
        <f t="shared" si="23"/>
        <v>0</v>
      </c>
      <c r="AL438">
        <f t="shared" si="24"/>
        <v>0</v>
      </c>
    </row>
    <row r="439" spans="1:38" ht="39.6" x14ac:dyDescent="0.3">
      <c r="A439" s="4" t="s">
        <v>1282</v>
      </c>
      <c r="B439" s="5" t="s">
        <v>1283</v>
      </c>
      <c r="C439" s="21" t="s">
        <v>1284</v>
      </c>
      <c r="D439" s="20"/>
      <c r="E439" s="4">
        <v>1200159</v>
      </c>
      <c r="F439" s="4" t="s">
        <v>44</v>
      </c>
      <c r="G439" s="4" t="s">
        <v>45</v>
      </c>
      <c r="H439" s="4" t="s">
        <v>61</v>
      </c>
      <c r="I439" s="4" t="s">
        <v>57</v>
      </c>
      <c r="J439" s="4" t="s">
        <v>47</v>
      </c>
      <c r="K439" s="4">
        <v>9</v>
      </c>
      <c r="L439" s="4">
        <v>18</v>
      </c>
      <c r="M439" s="5">
        <v>288</v>
      </c>
      <c r="N439" s="5">
        <v>144</v>
      </c>
      <c r="O439" s="5">
        <v>144</v>
      </c>
      <c r="P439" s="5">
        <v>432</v>
      </c>
      <c r="Q439" s="5">
        <v>288</v>
      </c>
      <c r="R439" s="5">
        <v>432</v>
      </c>
      <c r="S439" s="5">
        <v>432</v>
      </c>
      <c r="T439" s="5">
        <v>144</v>
      </c>
      <c r="U439" s="5">
        <v>576</v>
      </c>
      <c r="V439" s="5">
        <v>432</v>
      </c>
      <c r="W439" s="5">
        <v>576</v>
      </c>
      <c r="X439" s="5">
        <v>432</v>
      </c>
      <c r="Z439" t="e">
        <f>VLOOKUP(E439,Sheet2!$A$1:$A$39,1,0)</f>
        <v>#N/A</v>
      </c>
      <c r="AA439">
        <f>VLOOKUP($E439,[1]Sheet1!$E$10:$X$629,AA$9,0)</f>
        <v>432</v>
      </c>
      <c r="AB439">
        <f>VLOOKUP($E439,[1]Sheet1!$E$10:$X$629,AB$9,0)</f>
        <v>432</v>
      </c>
      <c r="AC439">
        <f>VLOOKUP($E439,[1]Sheet1!$E$10:$X$629,AC$9,0)</f>
        <v>432</v>
      </c>
      <c r="AD439">
        <f>VLOOKUP($E439,[1]Sheet1!$E$10:$X$629,AD$9,0)</f>
        <v>288</v>
      </c>
      <c r="AE439">
        <f>VLOOKUP($E439,[1]Sheet1!$E$10:$X$629,AE$9,0)</f>
        <v>432</v>
      </c>
      <c r="AF439">
        <f>VLOOKUP($E439,[1]Sheet1!$E$10:$X$629,AF$9,0)</f>
        <v>576</v>
      </c>
      <c r="AG439">
        <f>VLOOKUP($E439,[1]Sheet1!$E$10:$X$629,AG$9,0)</f>
        <v>432</v>
      </c>
      <c r="AH439">
        <f>VLOOKUP($E439,[1]Sheet1!$E$10:$X$629,AH$9,0)</f>
        <v>144</v>
      </c>
      <c r="AJ439">
        <f t="shared" si="22"/>
        <v>2304</v>
      </c>
      <c r="AK439">
        <f t="shared" si="23"/>
        <v>3168</v>
      </c>
      <c r="AL439">
        <f t="shared" si="24"/>
        <v>-864</v>
      </c>
    </row>
    <row r="440" spans="1:38" ht="39.6" x14ac:dyDescent="0.3">
      <c r="A440" s="4" t="s">
        <v>1285</v>
      </c>
      <c r="B440" s="5" t="s">
        <v>1286</v>
      </c>
      <c r="C440" s="21" t="s">
        <v>1287</v>
      </c>
      <c r="D440" s="20"/>
      <c r="E440" s="4">
        <v>1200161</v>
      </c>
      <c r="F440" s="4" t="s">
        <v>44</v>
      </c>
      <c r="G440" s="4" t="s">
        <v>45</v>
      </c>
      <c r="H440" s="4" t="s">
        <v>61</v>
      </c>
      <c r="I440" s="4" t="s">
        <v>57</v>
      </c>
      <c r="J440" s="4" t="s">
        <v>47</v>
      </c>
      <c r="K440" s="4">
        <v>9</v>
      </c>
      <c r="L440" s="4">
        <v>18</v>
      </c>
      <c r="M440" s="5">
        <v>144</v>
      </c>
      <c r="N440" s="5">
        <v>288</v>
      </c>
      <c r="O440" s="5">
        <v>144</v>
      </c>
      <c r="P440" s="5">
        <v>432</v>
      </c>
      <c r="Q440" s="5">
        <v>288</v>
      </c>
      <c r="R440" s="5">
        <v>432</v>
      </c>
      <c r="S440" s="5">
        <v>144</v>
      </c>
      <c r="T440" s="5">
        <v>288</v>
      </c>
      <c r="U440" s="5">
        <v>432</v>
      </c>
      <c r="V440" s="5">
        <v>288</v>
      </c>
      <c r="W440" s="5">
        <v>432</v>
      </c>
      <c r="X440" s="5">
        <v>288</v>
      </c>
      <c r="Z440" t="e">
        <f>VLOOKUP(E440,Sheet2!$A$1:$A$39,1,0)</f>
        <v>#N/A</v>
      </c>
      <c r="AA440">
        <f>VLOOKUP($E440,[1]Sheet1!$E$10:$X$629,AA$9,0)</f>
        <v>288</v>
      </c>
      <c r="AB440">
        <f>VLOOKUP($E440,[1]Sheet1!$E$10:$X$629,AB$9,0)</f>
        <v>144</v>
      </c>
      <c r="AC440">
        <f>VLOOKUP($E440,[1]Sheet1!$E$10:$X$629,AC$9,0)</f>
        <v>432</v>
      </c>
      <c r="AD440">
        <f>VLOOKUP($E440,[1]Sheet1!$E$10:$X$629,AD$9,0)</f>
        <v>720</v>
      </c>
      <c r="AE440">
        <f>VLOOKUP($E440,[1]Sheet1!$E$10:$X$629,AE$9,0)</f>
        <v>144</v>
      </c>
      <c r="AF440">
        <f>VLOOKUP($E440,[1]Sheet1!$E$10:$X$629,AF$9,0)</f>
        <v>576</v>
      </c>
      <c r="AG440">
        <f>VLOOKUP($E440,[1]Sheet1!$E$10:$X$629,AG$9,0)</f>
        <v>576</v>
      </c>
      <c r="AH440">
        <f>VLOOKUP($E440,[1]Sheet1!$E$10:$X$629,AH$9,0)</f>
        <v>144</v>
      </c>
      <c r="AJ440">
        <f t="shared" si="22"/>
        <v>2160</v>
      </c>
      <c r="AK440">
        <f t="shared" si="23"/>
        <v>3024</v>
      </c>
      <c r="AL440">
        <f t="shared" si="24"/>
        <v>-864</v>
      </c>
    </row>
    <row r="441" spans="1:38" ht="39.6" x14ac:dyDescent="0.3">
      <c r="A441" s="4" t="s">
        <v>1288</v>
      </c>
      <c r="B441" s="5" t="s">
        <v>1289</v>
      </c>
      <c r="C441" s="21" t="s">
        <v>1290</v>
      </c>
      <c r="D441" s="20"/>
      <c r="E441" s="4">
        <v>1200165</v>
      </c>
      <c r="F441" s="4" t="s">
        <v>44</v>
      </c>
      <c r="G441" s="4" t="s">
        <v>45</v>
      </c>
      <c r="H441" s="4" t="s">
        <v>56</v>
      </c>
      <c r="I441" s="4" t="s">
        <v>57</v>
      </c>
      <c r="J441" s="4" t="s">
        <v>47</v>
      </c>
      <c r="K441" s="4">
        <v>9</v>
      </c>
      <c r="L441" s="4">
        <v>18</v>
      </c>
      <c r="M441" s="5">
        <v>288</v>
      </c>
      <c r="N441" s="5">
        <v>288</v>
      </c>
      <c r="O441" s="5">
        <v>288</v>
      </c>
      <c r="P441" s="5">
        <v>288</v>
      </c>
      <c r="Q441" s="5">
        <v>288</v>
      </c>
      <c r="R441" s="5">
        <v>432</v>
      </c>
      <c r="S441" s="5">
        <v>576</v>
      </c>
      <c r="T441" s="5">
        <v>432</v>
      </c>
      <c r="U441" s="5">
        <v>864</v>
      </c>
      <c r="V441" s="5">
        <v>864</v>
      </c>
      <c r="W441" s="5">
        <v>576</v>
      </c>
      <c r="X441" s="5">
        <v>864</v>
      </c>
      <c r="Z441" t="e">
        <f>VLOOKUP(E441,Sheet2!$A$1:$A$39,1,0)</f>
        <v>#N/A</v>
      </c>
      <c r="AA441">
        <f>VLOOKUP($E441,[1]Sheet1!$E$10:$X$629,AA$9,0)</f>
        <v>288</v>
      </c>
      <c r="AB441">
        <f>VLOOKUP($E441,[1]Sheet1!$E$10:$X$629,AB$9,0)</f>
        <v>432</v>
      </c>
      <c r="AC441">
        <f>VLOOKUP($E441,[1]Sheet1!$E$10:$X$629,AC$9,0)</f>
        <v>720</v>
      </c>
      <c r="AD441">
        <f>VLOOKUP($E441,[1]Sheet1!$E$10:$X$629,AD$9,0)</f>
        <v>432</v>
      </c>
      <c r="AE441">
        <f>VLOOKUP($E441,[1]Sheet1!$E$10:$X$629,AE$9,0)</f>
        <v>576</v>
      </c>
      <c r="AF441">
        <f>VLOOKUP($E441,[1]Sheet1!$E$10:$X$629,AF$9,0)</f>
        <v>864</v>
      </c>
      <c r="AG441">
        <f>VLOOKUP($E441,[1]Sheet1!$E$10:$X$629,AG$9,0)</f>
        <v>576</v>
      </c>
      <c r="AH441">
        <f>VLOOKUP($E441,[1]Sheet1!$E$10:$X$629,AH$9,0)</f>
        <v>288</v>
      </c>
      <c r="AJ441">
        <f t="shared" si="22"/>
        <v>2880</v>
      </c>
      <c r="AK441">
        <f t="shared" si="23"/>
        <v>4176</v>
      </c>
      <c r="AL441">
        <f t="shared" si="24"/>
        <v>-1296</v>
      </c>
    </row>
    <row r="442" spans="1:38" ht="39.6" x14ac:dyDescent="0.3">
      <c r="A442" s="4" t="s">
        <v>1291</v>
      </c>
      <c r="B442" s="5" t="s">
        <v>1292</v>
      </c>
      <c r="C442" s="21" t="s">
        <v>1293</v>
      </c>
      <c r="D442" s="20"/>
      <c r="E442" s="4">
        <v>1200163</v>
      </c>
      <c r="F442" s="4" t="s">
        <v>44</v>
      </c>
      <c r="G442" s="4" t="s">
        <v>45</v>
      </c>
      <c r="H442" s="4" t="s">
        <v>56</v>
      </c>
      <c r="I442" s="4" t="s">
        <v>57</v>
      </c>
      <c r="J442" s="4" t="s">
        <v>47</v>
      </c>
      <c r="K442" s="4">
        <v>9</v>
      </c>
      <c r="L442" s="4">
        <v>18</v>
      </c>
      <c r="M442" s="5">
        <v>720</v>
      </c>
      <c r="N442" s="5">
        <v>576</v>
      </c>
      <c r="O442" s="5">
        <v>576</v>
      </c>
      <c r="P442" s="5">
        <v>576</v>
      </c>
      <c r="Q442" s="5">
        <v>720</v>
      </c>
      <c r="R442" s="5">
        <v>864</v>
      </c>
      <c r="S442" s="5">
        <v>576</v>
      </c>
      <c r="T442" s="5">
        <v>576</v>
      </c>
      <c r="U442" s="5">
        <v>864</v>
      </c>
      <c r="V442" s="5">
        <v>1008</v>
      </c>
      <c r="W442" s="5">
        <v>576</v>
      </c>
      <c r="X442" s="5">
        <v>864</v>
      </c>
      <c r="Z442" t="e">
        <f>VLOOKUP(E442,Sheet2!$A$1:$A$39,1,0)</f>
        <v>#N/A</v>
      </c>
      <c r="AA442">
        <f>VLOOKUP($E442,[1]Sheet1!$E$10:$X$629,AA$9,0)</f>
        <v>720</v>
      </c>
      <c r="AB442">
        <f>VLOOKUP($E442,[1]Sheet1!$E$10:$X$629,AB$9,0)</f>
        <v>576</v>
      </c>
      <c r="AC442">
        <f>VLOOKUP($E442,[1]Sheet1!$E$10:$X$629,AC$9,0)</f>
        <v>576</v>
      </c>
      <c r="AD442">
        <f>VLOOKUP($E442,[1]Sheet1!$E$10:$X$629,AD$9,0)</f>
        <v>576</v>
      </c>
      <c r="AE442">
        <f>VLOOKUP($E442,[1]Sheet1!$E$10:$X$629,AE$9,0)</f>
        <v>720</v>
      </c>
      <c r="AF442">
        <f>VLOOKUP($E442,[1]Sheet1!$E$10:$X$629,AF$9,0)</f>
        <v>864</v>
      </c>
      <c r="AG442">
        <f>VLOOKUP($E442,[1]Sheet1!$E$10:$X$629,AG$9,0)</f>
        <v>576</v>
      </c>
      <c r="AH442">
        <f>VLOOKUP($E442,[1]Sheet1!$E$10:$X$629,AH$9,0)</f>
        <v>432</v>
      </c>
      <c r="AJ442">
        <f t="shared" si="22"/>
        <v>5184</v>
      </c>
      <c r="AK442">
        <f t="shared" si="23"/>
        <v>5040</v>
      </c>
      <c r="AL442">
        <f t="shared" si="24"/>
        <v>144</v>
      </c>
    </row>
    <row r="443" spans="1:38" ht="39.6" x14ac:dyDescent="0.3">
      <c r="A443" s="4" t="s">
        <v>1294</v>
      </c>
      <c r="B443" s="5" t="s">
        <v>1295</v>
      </c>
      <c r="C443" s="21" t="s">
        <v>1296</v>
      </c>
      <c r="D443" s="20"/>
      <c r="E443" s="4">
        <v>1200164</v>
      </c>
      <c r="F443" s="4" t="s">
        <v>44</v>
      </c>
      <c r="G443" s="4" t="s">
        <v>45</v>
      </c>
      <c r="H443" s="4" t="s">
        <v>56</v>
      </c>
      <c r="I443" s="4" t="s">
        <v>57</v>
      </c>
      <c r="J443" s="4" t="s">
        <v>47</v>
      </c>
      <c r="K443" s="4">
        <v>9</v>
      </c>
      <c r="L443" s="4">
        <v>18</v>
      </c>
      <c r="M443" s="5">
        <v>720</v>
      </c>
      <c r="N443" s="5">
        <v>576</v>
      </c>
      <c r="O443" s="5">
        <v>720</v>
      </c>
      <c r="P443" s="5">
        <v>432</v>
      </c>
      <c r="Q443" s="5">
        <v>720</v>
      </c>
      <c r="R443" s="5">
        <v>720</v>
      </c>
      <c r="S443" s="5">
        <v>720</v>
      </c>
      <c r="T443" s="5">
        <v>576</v>
      </c>
      <c r="U443" s="5">
        <v>720</v>
      </c>
      <c r="V443" s="5">
        <v>1008</v>
      </c>
      <c r="W443" s="5">
        <v>720</v>
      </c>
      <c r="X443" s="5">
        <v>1008</v>
      </c>
      <c r="Z443" t="e">
        <f>VLOOKUP(E443,Sheet2!$A$1:$A$39,1,0)</f>
        <v>#N/A</v>
      </c>
      <c r="AA443">
        <f>VLOOKUP($E443,[1]Sheet1!$E$10:$X$629,AA$9,0)</f>
        <v>720</v>
      </c>
      <c r="AB443">
        <f>VLOOKUP($E443,[1]Sheet1!$E$10:$X$629,AB$9,0)</f>
        <v>576</v>
      </c>
      <c r="AC443">
        <f>VLOOKUP($E443,[1]Sheet1!$E$10:$X$629,AC$9,0)</f>
        <v>720</v>
      </c>
      <c r="AD443">
        <f>VLOOKUP($E443,[1]Sheet1!$E$10:$X$629,AD$9,0)</f>
        <v>864</v>
      </c>
      <c r="AE443">
        <f>VLOOKUP($E443,[1]Sheet1!$E$10:$X$629,AE$9,0)</f>
        <v>1008</v>
      </c>
      <c r="AF443">
        <f>VLOOKUP($E443,[1]Sheet1!$E$10:$X$629,AF$9,0)</f>
        <v>720</v>
      </c>
      <c r="AG443">
        <f>VLOOKUP($E443,[1]Sheet1!$E$10:$X$629,AG$9,0)</f>
        <v>864</v>
      </c>
      <c r="AH443">
        <f>VLOOKUP($E443,[1]Sheet1!$E$10:$X$629,AH$9,0)</f>
        <v>432</v>
      </c>
      <c r="AJ443">
        <f t="shared" si="22"/>
        <v>5184</v>
      </c>
      <c r="AK443">
        <f t="shared" si="23"/>
        <v>5904</v>
      </c>
      <c r="AL443">
        <f t="shared" si="24"/>
        <v>-720</v>
      </c>
    </row>
    <row r="444" spans="1:38" ht="39.6" x14ac:dyDescent="0.3">
      <c r="A444" s="4" t="s">
        <v>1297</v>
      </c>
      <c r="B444" s="5" t="s">
        <v>1298</v>
      </c>
      <c r="C444" s="21" t="s">
        <v>1299</v>
      </c>
      <c r="D444" s="20"/>
      <c r="E444" s="4">
        <v>1200162</v>
      </c>
      <c r="F444" s="4" t="s">
        <v>44</v>
      </c>
      <c r="G444" s="4" t="s">
        <v>45</v>
      </c>
      <c r="H444" s="4" t="s">
        <v>61</v>
      </c>
      <c r="I444" s="4" t="s">
        <v>57</v>
      </c>
      <c r="J444" s="4" t="s">
        <v>47</v>
      </c>
      <c r="K444" s="4">
        <v>9</v>
      </c>
      <c r="L444" s="4">
        <v>18</v>
      </c>
      <c r="M444" s="5">
        <v>432</v>
      </c>
      <c r="N444" s="5">
        <v>288</v>
      </c>
      <c r="O444" s="5">
        <v>432</v>
      </c>
      <c r="P444" s="5">
        <v>144</v>
      </c>
      <c r="Q444" s="5">
        <v>576</v>
      </c>
      <c r="R444" s="5">
        <v>288</v>
      </c>
      <c r="S444" s="5">
        <v>288</v>
      </c>
      <c r="T444" s="5">
        <v>432</v>
      </c>
      <c r="U444" s="5">
        <v>288</v>
      </c>
      <c r="V444" s="5">
        <v>576</v>
      </c>
      <c r="W444" s="5">
        <v>432</v>
      </c>
      <c r="X444" s="5">
        <v>576</v>
      </c>
      <c r="Z444" t="e">
        <f>VLOOKUP(E444,Sheet2!$A$1:$A$39,1,0)</f>
        <v>#N/A</v>
      </c>
      <c r="AA444">
        <f>VLOOKUP($E444,[1]Sheet1!$E$10:$X$629,AA$9,0)</f>
        <v>432</v>
      </c>
      <c r="AB444">
        <f>VLOOKUP($E444,[1]Sheet1!$E$10:$X$629,AB$9,0)</f>
        <v>288</v>
      </c>
      <c r="AC444">
        <f>VLOOKUP($E444,[1]Sheet1!$E$10:$X$629,AC$9,0)</f>
        <v>288</v>
      </c>
      <c r="AD444">
        <f>VLOOKUP($E444,[1]Sheet1!$E$10:$X$629,AD$9,0)</f>
        <v>576</v>
      </c>
      <c r="AE444">
        <f>VLOOKUP($E444,[1]Sheet1!$E$10:$X$629,AE$9,0)</f>
        <v>432</v>
      </c>
      <c r="AF444">
        <f>VLOOKUP($E444,[1]Sheet1!$E$10:$X$629,AF$9,0)</f>
        <v>288</v>
      </c>
      <c r="AG444">
        <f>VLOOKUP($E444,[1]Sheet1!$E$10:$X$629,AG$9,0)</f>
        <v>576</v>
      </c>
      <c r="AH444">
        <f>VLOOKUP($E444,[1]Sheet1!$E$10:$X$629,AH$9,0)</f>
        <v>288</v>
      </c>
      <c r="AJ444">
        <f t="shared" si="22"/>
        <v>2880</v>
      </c>
      <c r="AK444">
        <f t="shared" si="23"/>
        <v>3168</v>
      </c>
      <c r="AL444">
        <f t="shared" si="24"/>
        <v>-288</v>
      </c>
    </row>
    <row r="445" spans="1:38" ht="39.6" x14ac:dyDescent="0.3">
      <c r="A445" s="4" t="s">
        <v>1300</v>
      </c>
      <c r="B445" s="5" t="s">
        <v>1301</v>
      </c>
      <c r="C445" s="21" t="s">
        <v>1302</v>
      </c>
      <c r="D445" s="20"/>
      <c r="E445" s="4">
        <v>1200172</v>
      </c>
      <c r="F445" s="4" t="s">
        <v>44</v>
      </c>
      <c r="G445" s="4" t="s">
        <v>45</v>
      </c>
      <c r="H445" s="4" t="s">
        <v>56</v>
      </c>
      <c r="I445" s="4" t="s">
        <v>57</v>
      </c>
      <c r="J445" s="4" t="s">
        <v>47</v>
      </c>
      <c r="K445" s="4">
        <v>7.5</v>
      </c>
      <c r="L445" s="4">
        <v>15</v>
      </c>
      <c r="M445" s="5">
        <v>720</v>
      </c>
      <c r="N445" s="5">
        <v>576</v>
      </c>
      <c r="O445" s="5">
        <v>864</v>
      </c>
      <c r="P445" s="5">
        <v>576</v>
      </c>
      <c r="Q445" s="5">
        <v>720</v>
      </c>
      <c r="R445" s="5">
        <v>864</v>
      </c>
      <c r="S445" s="5">
        <v>720</v>
      </c>
      <c r="T445" s="5">
        <v>720</v>
      </c>
      <c r="U445" s="5">
        <v>1008</v>
      </c>
      <c r="V445" s="5">
        <v>1440</v>
      </c>
      <c r="W445" s="5">
        <v>432</v>
      </c>
      <c r="X445" s="5">
        <v>1440</v>
      </c>
      <c r="Z445" t="e">
        <f>VLOOKUP(E445,Sheet2!$A$1:$A$39,1,0)</f>
        <v>#N/A</v>
      </c>
      <c r="AA445">
        <f>VLOOKUP($E445,[1]Sheet1!$E$10:$X$629,AA$9,0)</f>
        <v>864</v>
      </c>
      <c r="AB445">
        <f>VLOOKUP($E445,[1]Sheet1!$E$10:$X$629,AB$9,0)</f>
        <v>720</v>
      </c>
      <c r="AC445">
        <f>VLOOKUP($E445,[1]Sheet1!$E$10:$X$629,AC$9,0)</f>
        <v>864</v>
      </c>
      <c r="AD445">
        <f>VLOOKUP($E445,[1]Sheet1!$E$10:$X$629,AD$9,0)</f>
        <v>864</v>
      </c>
      <c r="AE445">
        <f>VLOOKUP($E445,[1]Sheet1!$E$10:$X$629,AE$9,0)</f>
        <v>1008</v>
      </c>
      <c r="AF445">
        <f>VLOOKUP($E445,[1]Sheet1!$E$10:$X$629,AF$9,0)</f>
        <v>864</v>
      </c>
      <c r="AG445">
        <f>VLOOKUP($E445,[1]Sheet1!$E$10:$X$629,AG$9,0)</f>
        <v>864</v>
      </c>
      <c r="AH445">
        <f>VLOOKUP($E445,[1]Sheet1!$E$10:$X$629,AH$9,0)</f>
        <v>432</v>
      </c>
      <c r="AJ445">
        <f t="shared" si="22"/>
        <v>5760</v>
      </c>
      <c r="AK445">
        <f t="shared" si="23"/>
        <v>6480</v>
      </c>
      <c r="AL445">
        <f t="shared" si="24"/>
        <v>-720</v>
      </c>
    </row>
    <row r="446" spans="1:38" ht="39.6" x14ac:dyDescent="0.3">
      <c r="A446" s="4" t="s">
        <v>1303</v>
      </c>
      <c r="B446" s="5" t="s">
        <v>1304</v>
      </c>
      <c r="C446" s="21" t="s">
        <v>1305</v>
      </c>
      <c r="D446" s="20"/>
      <c r="E446" s="4">
        <v>1200176</v>
      </c>
      <c r="F446" s="4" t="s">
        <v>44</v>
      </c>
      <c r="G446" s="4" t="s">
        <v>45</v>
      </c>
      <c r="H446" s="4" t="s">
        <v>61</v>
      </c>
      <c r="I446" s="4" t="s">
        <v>57</v>
      </c>
      <c r="J446" s="4" t="s">
        <v>47</v>
      </c>
      <c r="K446" s="4">
        <v>7.5</v>
      </c>
      <c r="L446" s="4">
        <v>15</v>
      </c>
      <c r="M446" s="5">
        <v>0</v>
      </c>
      <c r="N446" s="5">
        <v>144</v>
      </c>
      <c r="O446" s="5">
        <v>144</v>
      </c>
      <c r="P446" s="5">
        <v>0</v>
      </c>
      <c r="Q446" s="5">
        <v>288</v>
      </c>
      <c r="R446" s="5">
        <v>144</v>
      </c>
      <c r="S446" s="5">
        <v>144</v>
      </c>
      <c r="T446" s="5">
        <v>144</v>
      </c>
      <c r="U446" s="5">
        <v>144</v>
      </c>
      <c r="V446" s="5">
        <v>144</v>
      </c>
      <c r="W446" s="5">
        <v>288</v>
      </c>
      <c r="X446" s="5">
        <v>144</v>
      </c>
      <c r="Z446" t="e">
        <f>VLOOKUP(E446,Sheet2!$A$1:$A$39,1,0)</f>
        <v>#N/A</v>
      </c>
      <c r="AA446">
        <f>VLOOKUP($E446,[1]Sheet1!$E$10:$X$629,AA$9,0)</f>
        <v>144</v>
      </c>
      <c r="AB446">
        <f>VLOOKUP($E446,[1]Sheet1!$E$10:$X$629,AB$9,0)</f>
        <v>144</v>
      </c>
      <c r="AC446">
        <f>VLOOKUP($E446,[1]Sheet1!$E$10:$X$629,AC$9,0)</f>
        <v>288</v>
      </c>
      <c r="AD446">
        <f>VLOOKUP($E446,[1]Sheet1!$E$10:$X$629,AD$9,0)</f>
        <v>144</v>
      </c>
      <c r="AE446">
        <f>VLOOKUP($E446,[1]Sheet1!$E$10:$X$629,AE$9,0)</f>
        <v>144</v>
      </c>
      <c r="AF446">
        <f>VLOOKUP($E446,[1]Sheet1!$E$10:$X$629,AF$9,0)</f>
        <v>288</v>
      </c>
      <c r="AG446">
        <f>VLOOKUP($E446,[1]Sheet1!$E$10:$X$629,AG$9,0)</f>
        <v>288</v>
      </c>
      <c r="AH446">
        <f>VLOOKUP($E446,[1]Sheet1!$E$10:$X$629,AH$9,0)</f>
        <v>0</v>
      </c>
      <c r="AJ446">
        <f t="shared" si="22"/>
        <v>1008</v>
      </c>
      <c r="AK446">
        <f t="shared" si="23"/>
        <v>1440</v>
      </c>
      <c r="AL446">
        <f t="shared" si="24"/>
        <v>-432</v>
      </c>
    </row>
    <row r="447" spans="1:38" ht="39.6" x14ac:dyDescent="0.3">
      <c r="A447" s="4" t="s">
        <v>1306</v>
      </c>
      <c r="B447" s="5" t="s">
        <v>1307</v>
      </c>
      <c r="C447" s="21" t="s">
        <v>1308</v>
      </c>
      <c r="D447" s="20"/>
      <c r="E447" s="4">
        <v>1200177</v>
      </c>
      <c r="F447" s="4" t="s">
        <v>44</v>
      </c>
      <c r="G447" s="4" t="s">
        <v>45</v>
      </c>
      <c r="H447" s="4" t="s">
        <v>61</v>
      </c>
      <c r="I447" s="4" t="s">
        <v>57</v>
      </c>
      <c r="J447" s="4" t="s">
        <v>47</v>
      </c>
      <c r="K447" s="4">
        <v>7.5</v>
      </c>
      <c r="L447" s="4">
        <v>15</v>
      </c>
      <c r="M447" s="5">
        <v>0</v>
      </c>
      <c r="N447" s="5">
        <v>144</v>
      </c>
      <c r="O447" s="5">
        <v>0</v>
      </c>
      <c r="P447" s="5">
        <v>288</v>
      </c>
      <c r="Q447" s="5">
        <v>144</v>
      </c>
      <c r="R447" s="5">
        <v>432</v>
      </c>
      <c r="S447" s="5">
        <v>288</v>
      </c>
      <c r="T447" s="5">
        <v>144</v>
      </c>
      <c r="U447" s="5">
        <v>432</v>
      </c>
      <c r="V447" s="5">
        <v>288</v>
      </c>
      <c r="W447" s="5">
        <v>432</v>
      </c>
      <c r="X447" s="5">
        <v>288</v>
      </c>
      <c r="Z447" t="e">
        <f>VLOOKUP(E447,Sheet2!$A$1:$A$39,1,0)</f>
        <v>#N/A</v>
      </c>
      <c r="AA447">
        <f>VLOOKUP($E447,[1]Sheet1!$E$10:$X$629,AA$9,0)</f>
        <v>288</v>
      </c>
      <c r="AB447">
        <f>VLOOKUP($E447,[1]Sheet1!$E$10:$X$629,AB$9,0)</f>
        <v>0</v>
      </c>
      <c r="AC447">
        <f>VLOOKUP($E447,[1]Sheet1!$E$10:$X$629,AC$9,0)</f>
        <v>432</v>
      </c>
      <c r="AD447">
        <f>VLOOKUP($E447,[1]Sheet1!$E$10:$X$629,AD$9,0)</f>
        <v>288</v>
      </c>
      <c r="AE447">
        <f>VLOOKUP($E447,[1]Sheet1!$E$10:$X$629,AE$9,0)</f>
        <v>288</v>
      </c>
      <c r="AF447">
        <f>VLOOKUP($E447,[1]Sheet1!$E$10:$X$629,AF$9,0)</f>
        <v>144</v>
      </c>
      <c r="AG447">
        <f>VLOOKUP($E447,[1]Sheet1!$E$10:$X$629,AG$9,0)</f>
        <v>432</v>
      </c>
      <c r="AH447">
        <f>VLOOKUP($E447,[1]Sheet1!$E$10:$X$629,AH$9,0)</f>
        <v>144</v>
      </c>
      <c r="AJ447">
        <f t="shared" si="22"/>
        <v>1440</v>
      </c>
      <c r="AK447">
        <f t="shared" si="23"/>
        <v>2016</v>
      </c>
      <c r="AL447">
        <f t="shared" si="24"/>
        <v>-576</v>
      </c>
    </row>
    <row r="448" spans="1:38" ht="39.6" x14ac:dyDescent="0.3">
      <c r="A448" s="4" t="s">
        <v>1309</v>
      </c>
      <c r="B448" s="5" t="s">
        <v>1310</v>
      </c>
      <c r="C448" s="21" t="s">
        <v>1311</v>
      </c>
      <c r="D448" s="20"/>
      <c r="E448" s="4">
        <v>1002586</v>
      </c>
      <c r="F448" s="4" t="s">
        <v>44</v>
      </c>
      <c r="G448" s="4" t="s">
        <v>45</v>
      </c>
      <c r="H448" s="4" t="s">
        <v>269</v>
      </c>
      <c r="I448" s="4" t="s">
        <v>57</v>
      </c>
      <c r="J448" s="4" t="s">
        <v>47</v>
      </c>
      <c r="K448" s="4">
        <v>9.5</v>
      </c>
      <c r="L448" s="4">
        <v>19</v>
      </c>
      <c r="M448" s="5">
        <v>1296</v>
      </c>
      <c r="N448" s="5">
        <v>1368</v>
      </c>
      <c r="O448" s="5">
        <v>1080</v>
      </c>
      <c r="P448" s="5">
        <v>864</v>
      </c>
      <c r="Q448" s="5">
        <v>1296</v>
      </c>
      <c r="R448" s="5">
        <v>1512</v>
      </c>
      <c r="S448" s="5">
        <v>1224</v>
      </c>
      <c r="T448" s="5">
        <v>1080</v>
      </c>
      <c r="U448" s="5">
        <v>1584</v>
      </c>
      <c r="V448" s="5">
        <v>1728</v>
      </c>
      <c r="W448" s="5">
        <v>1152</v>
      </c>
      <c r="X448" s="5">
        <v>1584</v>
      </c>
      <c r="Z448" t="e">
        <f>VLOOKUP(E448,Sheet2!$A$1:$A$39,1,0)</f>
        <v>#N/A</v>
      </c>
      <c r="AA448">
        <f>VLOOKUP($E448,[1]Sheet1!$E$10:$X$629,AA$9,0)</f>
        <v>1008</v>
      </c>
      <c r="AB448">
        <f>VLOOKUP($E448,[1]Sheet1!$E$10:$X$629,AB$9,0)</f>
        <v>864</v>
      </c>
      <c r="AC448">
        <f>VLOOKUP($E448,[1]Sheet1!$E$10:$X$629,AC$9,0)</f>
        <v>1080</v>
      </c>
      <c r="AD448">
        <f>VLOOKUP($E448,[1]Sheet1!$E$10:$X$629,AD$9,0)</f>
        <v>936</v>
      </c>
      <c r="AE448">
        <f>VLOOKUP($E448,[1]Sheet1!$E$10:$X$629,AE$9,0)</f>
        <v>936</v>
      </c>
      <c r="AF448">
        <f>VLOOKUP($E448,[1]Sheet1!$E$10:$X$629,AF$9,0)</f>
        <v>1224</v>
      </c>
      <c r="AG448">
        <f>VLOOKUP($E448,[1]Sheet1!$E$10:$X$629,AG$9,0)</f>
        <v>936</v>
      </c>
      <c r="AH448">
        <f>VLOOKUP($E448,[1]Sheet1!$E$10:$X$629,AH$9,0)</f>
        <v>360</v>
      </c>
      <c r="AJ448">
        <f t="shared" si="22"/>
        <v>9720</v>
      </c>
      <c r="AK448">
        <f t="shared" si="23"/>
        <v>7344</v>
      </c>
      <c r="AL448">
        <f t="shared" si="24"/>
        <v>2376</v>
      </c>
    </row>
    <row r="449" spans="1:38" ht="39.6" x14ac:dyDescent="0.3">
      <c r="A449" s="4" t="s">
        <v>1312</v>
      </c>
      <c r="B449" s="5" t="s">
        <v>1313</v>
      </c>
      <c r="C449" s="21" t="s">
        <v>1314</v>
      </c>
      <c r="D449" s="20"/>
      <c r="E449" s="4">
        <v>1200215</v>
      </c>
      <c r="F449" s="4" t="s">
        <v>44</v>
      </c>
      <c r="G449" s="4" t="s">
        <v>45</v>
      </c>
      <c r="H449" s="4" t="s">
        <v>61</v>
      </c>
      <c r="I449" s="4" t="s">
        <v>57</v>
      </c>
      <c r="J449" s="4" t="s">
        <v>47</v>
      </c>
      <c r="K449" s="4">
        <v>12.5</v>
      </c>
      <c r="L449" s="4">
        <v>25</v>
      </c>
      <c r="M449" s="5">
        <v>216</v>
      </c>
      <c r="N449" s="5">
        <v>72</v>
      </c>
      <c r="O449" s="5">
        <v>216</v>
      </c>
      <c r="P449" s="5">
        <v>288</v>
      </c>
      <c r="Q449" s="5">
        <v>144</v>
      </c>
      <c r="R449" s="5">
        <v>288</v>
      </c>
      <c r="S449" s="5">
        <v>216</v>
      </c>
      <c r="T449" s="5">
        <v>216</v>
      </c>
      <c r="U449" s="5">
        <v>144</v>
      </c>
      <c r="V449" s="5">
        <v>432</v>
      </c>
      <c r="W449" s="5">
        <v>360</v>
      </c>
      <c r="X449" s="5">
        <v>288</v>
      </c>
      <c r="Z449" t="e">
        <f>VLOOKUP(E449,Sheet2!$A$1:$A$39,1,0)</f>
        <v>#N/A</v>
      </c>
      <c r="AA449">
        <f>VLOOKUP($E449,[1]Sheet1!$E$10:$X$629,AA$9,0)</f>
        <v>144</v>
      </c>
      <c r="AB449">
        <f>VLOOKUP($E449,[1]Sheet1!$E$10:$X$629,AB$9,0)</f>
        <v>216</v>
      </c>
      <c r="AC449">
        <f>VLOOKUP($E449,[1]Sheet1!$E$10:$X$629,AC$9,0)</f>
        <v>288</v>
      </c>
      <c r="AD449">
        <f>VLOOKUP($E449,[1]Sheet1!$E$10:$X$629,AD$9,0)</f>
        <v>288</v>
      </c>
      <c r="AE449">
        <f>VLOOKUP($E449,[1]Sheet1!$E$10:$X$629,AE$9,0)</f>
        <v>72</v>
      </c>
      <c r="AF449">
        <f>VLOOKUP($E449,[1]Sheet1!$E$10:$X$629,AF$9,0)</f>
        <v>504</v>
      </c>
      <c r="AG449">
        <f>VLOOKUP($E449,[1]Sheet1!$E$10:$X$629,AG$9,0)</f>
        <v>144</v>
      </c>
      <c r="AH449">
        <f>VLOOKUP($E449,[1]Sheet1!$E$10:$X$629,AH$9,0)</f>
        <v>144</v>
      </c>
      <c r="AJ449">
        <f t="shared" si="22"/>
        <v>1656</v>
      </c>
      <c r="AK449">
        <f t="shared" si="23"/>
        <v>1800</v>
      </c>
      <c r="AL449">
        <f t="shared" si="24"/>
        <v>-144</v>
      </c>
    </row>
    <row r="450" spans="1:38" ht="39.6" x14ac:dyDescent="0.3">
      <c r="A450" s="4" t="s">
        <v>1315</v>
      </c>
      <c r="B450" s="5" t="s">
        <v>1316</v>
      </c>
      <c r="C450" s="21" t="s">
        <v>1317</v>
      </c>
      <c r="D450" s="20"/>
      <c r="E450" s="4">
        <v>1200217</v>
      </c>
      <c r="F450" s="4" t="s">
        <v>44</v>
      </c>
      <c r="G450" s="4" t="s">
        <v>45</v>
      </c>
      <c r="H450" s="4" t="s">
        <v>61</v>
      </c>
      <c r="I450" s="4" t="s">
        <v>57</v>
      </c>
      <c r="J450" s="4" t="s">
        <v>47</v>
      </c>
      <c r="K450" s="4">
        <v>12.5</v>
      </c>
      <c r="L450" s="4">
        <v>25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72</v>
      </c>
      <c r="S450" s="5">
        <v>0</v>
      </c>
      <c r="T450" s="5">
        <v>0</v>
      </c>
      <c r="U450" s="5">
        <v>0</v>
      </c>
      <c r="V450" s="5">
        <v>72</v>
      </c>
      <c r="W450" s="5">
        <v>72</v>
      </c>
      <c r="X450" s="5">
        <v>0</v>
      </c>
      <c r="Z450" t="e">
        <f>VLOOKUP(E450,Sheet2!$A$1:$A$39,1,0)</f>
        <v>#N/A</v>
      </c>
      <c r="AA450">
        <f>VLOOKUP($E450,[1]Sheet1!$E$10:$X$629,AA$9,0)</f>
        <v>0</v>
      </c>
      <c r="AB450">
        <f>VLOOKUP($E450,[1]Sheet1!$E$10:$X$629,AB$9,0)</f>
        <v>0</v>
      </c>
      <c r="AC450">
        <f>VLOOKUP($E450,[1]Sheet1!$E$10:$X$629,AC$9,0)</f>
        <v>0</v>
      </c>
      <c r="AD450">
        <f>VLOOKUP($E450,[1]Sheet1!$E$10:$X$629,AD$9,0)</f>
        <v>144</v>
      </c>
      <c r="AE450">
        <f>VLOOKUP($E450,[1]Sheet1!$E$10:$X$629,AE$9,0)</f>
        <v>0</v>
      </c>
      <c r="AF450">
        <f>VLOOKUP($E450,[1]Sheet1!$E$10:$X$629,AF$9,0)</f>
        <v>72</v>
      </c>
      <c r="AG450">
        <f>VLOOKUP($E450,[1]Sheet1!$E$10:$X$629,AG$9,0)</f>
        <v>72</v>
      </c>
      <c r="AH450">
        <f>VLOOKUP($E450,[1]Sheet1!$E$10:$X$629,AH$9,0)</f>
        <v>0</v>
      </c>
      <c r="AJ450">
        <f t="shared" si="22"/>
        <v>72</v>
      </c>
      <c r="AK450">
        <f t="shared" si="23"/>
        <v>288</v>
      </c>
      <c r="AL450">
        <f t="shared" si="24"/>
        <v>-216</v>
      </c>
    </row>
    <row r="451" spans="1:38" ht="39.6" x14ac:dyDescent="0.3">
      <c r="A451" s="4" t="s">
        <v>1318</v>
      </c>
      <c r="B451" s="5" t="s">
        <v>1319</v>
      </c>
      <c r="C451" s="21" t="s">
        <v>1320</v>
      </c>
      <c r="D451" s="20"/>
      <c r="E451" s="4">
        <v>1200212</v>
      </c>
      <c r="F451" s="4" t="s">
        <v>44</v>
      </c>
      <c r="G451" s="4" t="s">
        <v>45</v>
      </c>
      <c r="H451" s="4" t="s">
        <v>61</v>
      </c>
      <c r="I451" s="4" t="s">
        <v>57</v>
      </c>
      <c r="J451" s="4" t="s">
        <v>47</v>
      </c>
      <c r="K451" s="4">
        <v>12.5</v>
      </c>
      <c r="L451" s="4">
        <v>25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72</v>
      </c>
      <c r="Z451" t="e">
        <f>VLOOKUP(E451,Sheet2!$A$1:$A$39,1,0)</f>
        <v>#N/A</v>
      </c>
      <c r="AA451">
        <f>VLOOKUP($E451,[1]Sheet1!$E$10:$X$629,AA$9,0)</f>
        <v>0</v>
      </c>
      <c r="AB451">
        <f>VLOOKUP($E451,[1]Sheet1!$E$10:$X$629,AB$9,0)</f>
        <v>0</v>
      </c>
      <c r="AC451">
        <f>VLOOKUP($E451,[1]Sheet1!$E$10:$X$629,AC$9,0)</f>
        <v>0</v>
      </c>
      <c r="AD451">
        <f>VLOOKUP($E451,[1]Sheet1!$E$10:$X$629,AD$9,0)</f>
        <v>0</v>
      </c>
      <c r="AE451">
        <f>VLOOKUP($E451,[1]Sheet1!$E$10:$X$629,AE$9,0)</f>
        <v>0</v>
      </c>
      <c r="AF451">
        <f>VLOOKUP($E451,[1]Sheet1!$E$10:$X$629,AF$9,0)</f>
        <v>72</v>
      </c>
      <c r="AG451">
        <f>VLOOKUP($E451,[1]Sheet1!$E$10:$X$629,AG$9,0)</f>
        <v>0</v>
      </c>
      <c r="AH451">
        <f>VLOOKUP($E451,[1]Sheet1!$E$10:$X$629,AH$9,0)</f>
        <v>0</v>
      </c>
      <c r="AJ451">
        <f t="shared" si="22"/>
        <v>0</v>
      </c>
      <c r="AK451">
        <f t="shared" si="23"/>
        <v>72</v>
      </c>
      <c r="AL451">
        <f t="shared" si="24"/>
        <v>-72</v>
      </c>
    </row>
    <row r="452" spans="1:38" ht="39.6" x14ac:dyDescent="0.3">
      <c r="A452" s="4" t="s">
        <v>1321</v>
      </c>
      <c r="B452" s="5" t="s">
        <v>1322</v>
      </c>
      <c r="C452" s="21" t="s">
        <v>1323</v>
      </c>
      <c r="D452" s="20"/>
      <c r="E452" s="4">
        <v>1200211</v>
      </c>
      <c r="F452" s="4" t="s">
        <v>44</v>
      </c>
      <c r="G452" s="4" t="s">
        <v>45</v>
      </c>
      <c r="H452" s="4" t="s">
        <v>61</v>
      </c>
      <c r="I452" s="4" t="s">
        <v>57</v>
      </c>
      <c r="J452" s="4" t="s">
        <v>47</v>
      </c>
      <c r="K452" s="4">
        <v>12.5</v>
      </c>
      <c r="L452" s="4">
        <v>25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Z452" t="e">
        <f>VLOOKUP(E452,Sheet2!$A$1:$A$39,1,0)</f>
        <v>#N/A</v>
      </c>
      <c r="AA452">
        <f>VLOOKUP($E452,[1]Sheet1!$E$10:$X$629,AA$9,0)</f>
        <v>0</v>
      </c>
      <c r="AB452">
        <f>VLOOKUP($E452,[1]Sheet1!$E$10:$X$629,AB$9,0)</f>
        <v>0</v>
      </c>
      <c r="AC452">
        <f>VLOOKUP($E452,[1]Sheet1!$E$10:$X$629,AC$9,0)</f>
        <v>0</v>
      </c>
      <c r="AD452">
        <f>VLOOKUP($E452,[1]Sheet1!$E$10:$X$629,AD$9,0)</f>
        <v>0</v>
      </c>
      <c r="AE452">
        <f>VLOOKUP($E452,[1]Sheet1!$E$10:$X$629,AE$9,0)</f>
        <v>0</v>
      </c>
      <c r="AF452">
        <f>VLOOKUP($E452,[1]Sheet1!$E$10:$X$629,AF$9,0)</f>
        <v>0</v>
      </c>
      <c r="AG452">
        <f>VLOOKUP($E452,[1]Sheet1!$E$10:$X$629,AG$9,0)</f>
        <v>0</v>
      </c>
      <c r="AH452">
        <f>VLOOKUP($E452,[1]Sheet1!$E$10:$X$629,AH$9,0)</f>
        <v>0</v>
      </c>
      <c r="AJ452">
        <f t="shared" si="22"/>
        <v>0</v>
      </c>
      <c r="AK452">
        <f t="shared" si="23"/>
        <v>0</v>
      </c>
      <c r="AL452">
        <f t="shared" si="24"/>
        <v>0</v>
      </c>
    </row>
    <row r="453" spans="1:38" ht="39.6" x14ac:dyDescent="0.3">
      <c r="A453" s="4" t="s">
        <v>1324</v>
      </c>
      <c r="B453" s="5" t="s">
        <v>1325</v>
      </c>
      <c r="C453" s="21" t="s">
        <v>1326</v>
      </c>
      <c r="D453" s="20"/>
      <c r="E453" s="4">
        <v>1200213</v>
      </c>
      <c r="F453" s="4" t="s">
        <v>44</v>
      </c>
      <c r="G453" s="4" t="s">
        <v>45</v>
      </c>
      <c r="H453" s="4" t="s">
        <v>61</v>
      </c>
      <c r="I453" s="4" t="s">
        <v>57</v>
      </c>
      <c r="J453" s="4" t="s">
        <v>47</v>
      </c>
      <c r="K453" s="4">
        <v>12.5</v>
      </c>
      <c r="L453" s="4">
        <v>25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Z453" t="e">
        <f>VLOOKUP(E453,Sheet2!$A$1:$A$39,1,0)</f>
        <v>#N/A</v>
      </c>
      <c r="AA453">
        <f>VLOOKUP($E453,[1]Sheet1!$E$10:$X$629,AA$9,0)</f>
        <v>72</v>
      </c>
      <c r="AB453">
        <f>VLOOKUP($E453,[1]Sheet1!$E$10:$X$629,AB$9,0)</f>
        <v>0</v>
      </c>
      <c r="AC453">
        <f>VLOOKUP($E453,[1]Sheet1!$E$10:$X$629,AC$9,0)</f>
        <v>0</v>
      </c>
      <c r="AD453">
        <f>VLOOKUP($E453,[1]Sheet1!$E$10:$X$629,AD$9,0)</f>
        <v>0</v>
      </c>
      <c r="AE453">
        <f>VLOOKUP($E453,[1]Sheet1!$E$10:$X$629,AE$9,0)</f>
        <v>0</v>
      </c>
      <c r="AF453">
        <f>VLOOKUP($E453,[1]Sheet1!$E$10:$X$629,AF$9,0)</f>
        <v>0</v>
      </c>
      <c r="AG453">
        <f>VLOOKUP($E453,[1]Sheet1!$E$10:$X$629,AG$9,0)</f>
        <v>0</v>
      </c>
      <c r="AH453">
        <f>VLOOKUP($E453,[1]Sheet1!$E$10:$X$629,AH$9,0)</f>
        <v>0</v>
      </c>
      <c r="AJ453">
        <f t="shared" si="22"/>
        <v>0</v>
      </c>
      <c r="AK453">
        <f t="shared" si="23"/>
        <v>72</v>
      </c>
      <c r="AL453">
        <f t="shared" si="24"/>
        <v>-72</v>
      </c>
    </row>
    <row r="454" spans="1:38" ht="39.6" x14ac:dyDescent="0.3">
      <c r="A454" s="4" t="s">
        <v>1327</v>
      </c>
      <c r="B454" s="5" t="s">
        <v>1328</v>
      </c>
      <c r="C454" s="21" t="s">
        <v>1329</v>
      </c>
      <c r="D454" s="20"/>
      <c r="E454" s="4">
        <v>1200214</v>
      </c>
      <c r="F454" s="4" t="s">
        <v>44</v>
      </c>
      <c r="G454" s="4" t="s">
        <v>45</v>
      </c>
      <c r="H454" s="4" t="s">
        <v>61</v>
      </c>
      <c r="I454" s="4" t="s">
        <v>57</v>
      </c>
      <c r="J454" s="4" t="s">
        <v>47</v>
      </c>
      <c r="K454" s="4">
        <v>12.5</v>
      </c>
      <c r="L454" s="4">
        <v>25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72</v>
      </c>
      <c r="U454" s="5">
        <v>0</v>
      </c>
      <c r="V454" s="5">
        <v>72</v>
      </c>
      <c r="W454" s="5">
        <v>0</v>
      </c>
      <c r="X454" s="5">
        <v>0</v>
      </c>
      <c r="Z454" t="e">
        <f>VLOOKUP(E454,Sheet2!$A$1:$A$39,1,0)</f>
        <v>#N/A</v>
      </c>
      <c r="AA454">
        <f>VLOOKUP($E454,[1]Sheet1!$E$10:$X$629,AA$9,0)</f>
        <v>0</v>
      </c>
      <c r="AB454">
        <f>VLOOKUP($E454,[1]Sheet1!$E$10:$X$629,AB$9,0)</f>
        <v>72</v>
      </c>
      <c r="AC454">
        <f>VLOOKUP($E454,[1]Sheet1!$E$10:$X$629,AC$9,0)</f>
        <v>0</v>
      </c>
      <c r="AD454">
        <f>VLOOKUP($E454,[1]Sheet1!$E$10:$X$629,AD$9,0)</f>
        <v>0</v>
      </c>
      <c r="AE454">
        <f>VLOOKUP($E454,[1]Sheet1!$E$10:$X$629,AE$9,0)</f>
        <v>0</v>
      </c>
      <c r="AF454">
        <f>VLOOKUP($E454,[1]Sheet1!$E$10:$X$629,AF$9,0)</f>
        <v>0</v>
      </c>
      <c r="AG454">
        <f>VLOOKUP($E454,[1]Sheet1!$E$10:$X$629,AG$9,0)</f>
        <v>72</v>
      </c>
      <c r="AH454">
        <f>VLOOKUP($E454,[1]Sheet1!$E$10:$X$629,AH$9,0)</f>
        <v>0</v>
      </c>
      <c r="AJ454">
        <f t="shared" si="22"/>
        <v>72</v>
      </c>
      <c r="AK454">
        <f t="shared" si="23"/>
        <v>144</v>
      </c>
      <c r="AL454">
        <f t="shared" si="24"/>
        <v>-72</v>
      </c>
    </row>
    <row r="455" spans="1:38" ht="39.6" x14ac:dyDescent="0.3">
      <c r="A455" s="4" t="s">
        <v>1330</v>
      </c>
      <c r="B455" s="5" t="s">
        <v>1331</v>
      </c>
      <c r="C455" s="21" t="s">
        <v>1332</v>
      </c>
      <c r="D455" s="20"/>
      <c r="E455" s="4">
        <v>1200222</v>
      </c>
      <c r="F455" s="4" t="s">
        <v>44</v>
      </c>
      <c r="G455" s="4" t="s">
        <v>45</v>
      </c>
      <c r="H455" s="4" t="s">
        <v>61</v>
      </c>
      <c r="I455" s="4" t="s">
        <v>57</v>
      </c>
      <c r="J455" s="4" t="s">
        <v>47</v>
      </c>
      <c r="K455" s="4">
        <v>12.5</v>
      </c>
      <c r="L455" s="4">
        <v>25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Z455" t="e">
        <f>VLOOKUP(E455,Sheet2!$A$1:$A$39,1,0)</f>
        <v>#N/A</v>
      </c>
      <c r="AA455">
        <f>VLOOKUP($E455,[1]Sheet1!$E$10:$X$629,AA$9,0)</f>
        <v>0</v>
      </c>
      <c r="AB455">
        <f>VLOOKUP($E455,[1]Sheet1!$E$10:$X$629,AB$9,0)</f>
        <v>0</v>
      </c>
      <c r="AC455">
        <f>VLOOKUP($E455,[1]Sheet1!$E$10:$X$629,AC$9,0)</f>
        <v>0</v>
      </c>
      <c r="AD455">
        <f>VLOOKUP($E455,[1]Sheet1!$E$10:$X$629,AD$9,0)</f>
        <v>0</v>
      </c>
      <c r="AE455">
        <f>VLOOKUP($E455,[1]Sheet1!$E$10:$X$629,AE$9,0)</f>
        <v>0</v>
      </c>
      <c r="AF455">
        <f>VLOOKUP($E455,[1]Sheet1!$E$10:$X$629,AF$9,0)</f>
        <v>0</v>
      </c>
      <c r="AG455">
        <f>VLOOKUP($E455,[1]Sheet1!$E$10:$X$629,AG$9,0)</f>
        <v>72</v>
      </c>
      <c r="AH455">
        <f>VLOOKUP($E455,[1]Sheet1!$E$10:$X$629,AH$9,0)</f>
        <v>0</v>
      </c>
      <c r="AJ455">
        <f t="shared" si="22"/>
        <v>0</v>
      </c>
      <c r="AK455">
        <f t="shared" si="23"/>
        <v>72</v>
      </c>
      <c r="AL455">
        <f t="shared" si="24"/>
        <v>-72</v>
      </c>
    </row>
    <row r="456" spans="1:38" ht="39.6" x14ac:dyDescent="0.3">
      <c r="A456" s="4" t="s">
        <v>1333</v>
      </c>
      <c r="B456" s="5" t="s">
        <v>1334</v>
      </c>
      <c r="C456" s="21" t="s">
        <v>1335</v>
      </c>
      <c r="D456" s="20"/>
      <c r="E456" s="4">
        <v>1200216</v>
      </c>
      <c r="F456" s="4" t="s">
        <v>44</v>
      </c>
      <c r="G456" s="4" t="s">
        <v>45</v>
      </c>
      <c r="H456" s="4" t="s">
        <v>61</v>
      </c>
      <c r="I456" s="4" t="s">
        <v>57</v>
      </c>
      <c r="J456" s="4" t="s">
        <v>47</v>
      </c>
      <c r="K456" s="4">
        <v>12.5</v>
      </c>
      <c r="L456" s="4">
        <v>25</v>
      </c>
      <c r="M456" s="5">
        <v>0</v>
      </c>
      <c r="N456" s="5">
        <v>0</v>
      </c>
      <c r="O456" s="5">
        <v>72</v>
      </c>
      <c r="P456" s="5">
        <v>0</v>
      </c>
      <c r="Q456" s="5">
        <v>0</v>
      </c>
      <c r="R456" s="5">
        <v>144</v>
      </c>
      <c r="S456" s="5">
        <v>0</v>
      </c>
      <c r="T456" s="5">
        <v>72</v>
      </c>
      <c r="U456" s="5">
        <v>72</v>
      </c>
      <c r="V456" s="5">
        <v>72</v>
      </c>
      <c r="W456" s="5">
        <v>72</v>
      </c>
      <c r="X456" s="5">
        <v>144</v>
      </c>
      <c r="Z456" t="e">
        <f>VLOOKUP(E456,Sheet2!$A$1:$A$39,1,0)</f>
        <v>#N/A</v>
      </c>
      <c r="AA456">
        <f>VLOOKUP($E456,[1]Sheet1!$E$10:$X$629,AA$9,0)</f>
        <v>0</v>
      </c>
      <c r="AB456">
        <f>VLOOKUP($E456,[1]Sheet1!$E$10:$X$629,AB$9,0)</f>
        <v>72</v>
      </c>
      <c r="AC456">
        <f>VLOOKUP($E456,[1]Sheet1!$E$10:$X$629,AC$9,0)</f>
        <v>72</v>
      </c>
      <c r="AD456">
        <f>VLOOKUP($E456,[1]Sheet1!$E$10:$X$629,AD$9,0)</f>
        <v>72</v>
      </c>
      <c r="AE456">
        <f>VLOOKUP($E456,[1]Sheet1!$E$10:$X$629,AE$9,0)</f>
        <v>0</v>
      </c>
      <c r="AF456">
        <f>VLOOKUP($E456,[1]Sheet1!$E$10:$X$629,AF$9,0)</f>
        <v>144</v>
      </c>
      <c r="AG456">
        <f>VLOOKUP($E456,[1]Sheet1!$E$10:$X$629,AG$9,0)</f>
        <v>0</v>
      </c>
      <c r="AH456">
        <f>VLOOKUP($E456,[1]Sheet1!$E$10:$X$629,AH$9,0)</f>
        <v>144</v>
      </c>
      <c r="AJ456">
        <f t="shared" si="22"/>
        <v>288</v>
      </c>
      <c r="AK456">
        <f t="shared" si="23"/>
        <v>504</v>
      </c>
      <c r="AL456">
        <f t="shared" si="24"/>
        <v>-216</v>
      </c>
    </row>
    <row r="457" spans="1:38" ht="39.6" x14ac:dyDescent="0.3">
      <c r="A457" s="4" t="s">
        <v>1336</v>
      </c>
      <c r="B457" s="5" t="s">
        <v>1337</v>
      </c>
      <c r="C457" s="21" t="s">
        <v>1338</v>
      </c>
      <c r="D457" s="20"/>
      <c r="E457" s="4">
        <v>1200223</v>
      </c>
      <c r="F457" s="4" t="s">
        <v>44</v>
      </c>
      <c r="G457" s="4" t="s">
        <v>45</v>
      </c>
      <c r="H457" s="4" t="s">
        <v>61</v>
      </c>
      <c r="I457" s="4" t="s">
        <v>57</v>
      </c>
      <c r="J457" s="4" t="s">
        <v>47</v>
      </c>
      <c r="K457" s="4">
        <v>12.5</v>
      </c>
      <c r="L457" s="4">
        <v>25</v>
      </c>
      <c r="M457" s="5">
        <v>0</v>
      </c>
      <c r="N457" s="5">
        <v>0</v>
      </c>
      <c r="O457" s="5">
        <v>0</v>
      </c>
      <c r="P457" s="5">
        <v>72</v>
      </c>
      <c r="Q457" s="5">
        <v>0</v>
      </c>
      <c r="R457" s="5">
        <v>72</v>
      </c>
      <c r="S457" s="5">
        <v>72</v>
      </c>
      <c r="T457" s="5">
        <v>72</v>
      </c>
      <c r="U457" s="5">
        <v>72</v>
      </c>
      <c r="V457" s="5">
        <v>72</v>
      </c>
      <c r="W457" s="5">
        <v>72</v>
      </c>
      <c r="X457" s="5">
        <v>144</v>
      </c>
      <c r="Z457" t="e">
        <f>VLOOKUP(E457,Sheet2!$A$1:$A$39,1,0)</f>
        <v>#N/A</v>
      </c>
      <c r="AA457">
        <f>VLOOKUP($E457,[1]Sheet1!$E$10:$X$629,AA$9,0)</f>
        <v>144</v>
      </c>
      <c r="AB457">
        <f>VLOOKUP($E457,[1]Sheet1!$E$10:$X$629,AB$9,0)</f>
        <v>0</v>
      </c>
      <c r="AC457">
        <f>VLOOKUP($E457,[1]Sheet1!$E$10:$X$629,AC$9,0)</f>
        <v>0</v>
      </c>
      <c r="AD457">
        <f>VLOOKUP($E457,[1]Sheet1!$E$10:$X$629,AD$9,0)</f>
        <v>72</v>
      </c>
      <c r="AE457">
        <f>VLOOKUP($E457,[1]Sheet1!$E$10:$X$629,AE$9,0)</f>
        <v>0</v>
      </c>
      <c r="AF457">
        <f>VLOOKUP($E457,[1]Sheet1!$E$10:$X$629,AF$9,0)</f>
        <v>144</v>
      </c>
      <c r="AG457">
        <f>VLOOKUP($E457,[1]Sheet1!$E$10:$X$629,AG$9,0)</f>
        <v>0</v>
      </c>
      <c r="AH457">
        <f>VLOOKUP($E457,[1]Sheet1!$E$10:$X$629,AH$9,0)</f>
        <v>0</v>
      </c>
      <c r="AJ457">
        <f t="shared" si="22"/>
        <v>288</v>
      </c>
      <c r="AK457">
        <f t="shared" si="23"/>
        <v>360</v>
      </c>
      <c r="AL457">
        <f t="shared" si="24"/>
        <v>-72</v>
      </c>
    </row>
    <row r="458" spans="1:38" ht="39.6" x14ac:dyDescent="0.3">
      <c r="A458" s="4" t="s">
        <v>1339</v>
      </c>
      <c r="B458" s="5" t="s">
        <v>1340</v>
      </c>
      <c r="C458" s="21" t="s">
        <v>1341</v>
      </c>
      <c r="D458" s="20"/>
      <c r="E458" s="4">
        <v>1200221</v>
      </c>
      <c r="F458" s="4" t="s">
        <v>44</v>
      </c>
      <c r="G458" s="4" t="s">
        <v>45</v>
      </c>
      <c r="H458" s="4" t="s">
        <v>61</v>
      </c>
      <c r="I458" s="4" t="s">
        <v>57</v>
      </c>
      <c r="J458" s="4" t="s">
        <v>47</v>
      </c>
      <c r="K458" s="4">
        <v>12.5</v>
      </c>
      <c r="L458" s="4">
        <v>25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Z458" t="e">
        <f>VLOOKUP(E458,Sheet2!$A$1:$A$39,1,0)</f>
        <v>#N/A</v>
      </c>
      <c r="AA458">
        <f>VLOOKUP($E458,[1]Sheet1!$E$10:$X$629,AA$9,0)</f>
        <v>0</v>
      </c>
      <c r="AB458">
        <f>VLOOKUP($E458,[1]Sheet1!$E$10:$X$629,AB$9,0)</f>
        <v>0</v>
      </c>
      <c r="AC458">
        <f>VLOOKUP($E458,[1]Sheet1!$E$10:$X$629,AC$9,0)</f>
        <v>0</v>
      </c>
      <c r="AD458">
        <f>VLOOKUP($E458,[1]Sheet1!$E$10:$X$629,AD$9,0)</f>
        <v>0</v>
      </c>
      <c r="AE458">
        <f>VLOOKUP($E458,[1]Sheet1!$E$10:$X$629,AE$9,0)</f>
        <v>0</v>
      </c>
      <c r="AF458">
        <f>VLOOKUP($E458,[1]Sheet1!$E$10:$X$629,AF$9,0)</f>
        <v>0</v>
      </c>
      <c r="AG458">
        <f>VLOOKUP($E458,[1]Sheet1!$E$10:$X$629,AG$9,0)</f>
        <v>0</v>
      </c>
      <c r="AH458">
        <f>VLOOKUP($E458,[1]Sheet1!$E$10:$X$629,AH$9,0)</f>
        <v>144</v>
      </c>
      <c r="AJ458">
        <f t="shared" si="22"/>
        <v>0</v>
      </c>
      <c r="AK458">
        <f t="shared" si="23"/>
        <v>144</v>
      </c>
      <c r="AL458">
        <f t="shared" si="24"/>
        <v>-144</v>
      </c>
    </row>
    <row r="459" spans="1:38" ht="39.6" x14ac:dyDescent="0.3">
      <c r="A459" s="4" t="s">
        <v>1342</v>
      </c>
      <c r="B459" s="5" t="s">
        <v>1343</v>
      </c>
      <c r="C459" s="21" t="s">
        <v>1344</v>
      </c>
      <c r="D459" s="20"/>
      <c r="E459" s="4">
        <v>1200219</v>
      </c>
      <c r="F459" s="4" t="s">
        <v>44</v>
      </c>
      <c r="G459" s="4" t="s">
        <v>45</v>
      </c>
      <c r="H459" s="4" t="s">
        <v>61</v>
      </c>
      <c r="I459" s="4" t="s">
        <v>57</v>
      </c>
      <c r="J459" s="4" t="s">
        <v>47</v>
      </c>
      <c r="K459" s="4">
        <v>12.5</v>
      </c>
      <c r="L459" s="4">
        <v>25</v>
      </c>
      <c r="M459" s="5">
        <v>0</v>
      </c>
      <c r="N459" s="5">
        <v>0</v>
      </c>
      <c r="O459" s="5">
        <v>72</v>
      </c>
      <c r="P459" s="5">
        <v>0</v>
      </c>
      <c r="Q459" s="5">
        <v>72</v>
      </c>
      <c r="R459" s="5">
        <v>72</v>
      </c>
      <c r="S459" s="5">
        <v>0</v>
      </c>
      <c r="T459" s="5">
        <v>144</v>
      </c>
      <c r="U459" s="5">
        <v>0</v>
      </c>
      <c r="V459" s="5">
        <v>144</v>
      </c>
      <c r="W459" s="5">
        <v>0</v>
      </c>
      <c r="X459" s="5">
        <v>144</v>
      </c>
      <c r="Z459" t="e">
        <f>VLOOKUP(E459,Sheet2!$A$1:$A$39,1,0)</f>
        <v>#N/A</v>
      </c>
      <c r="AA459">
        <f>VLOOKUP($E459,[1]Sheet1!$E$10:$X$629,AA$9,0)</f>
        <v>72</v>
      </c>
      <c r="AB459">
        <f>VLOOKUP($E459,[1]Sheet1!$E$10:$X$629,AB$9,0)</f>
        <v>0</v>
      </c>
      <c r="AC459">
        <f>VLOOKUP($E459,[1]Sheet1!$E$10:$X$629,AC$9,0)</f>
        <v>72</v>
      </c>
      <c r="AD459">
        <f>VLOOKUP($E459,[1]Sheet1!$E$10:$X$629,AD$9,0)</f>
        <v>72</v>
      </c>
      <c r="AE459">
        <f>VLOOKUP($E459,[1]Sheet1!$E$10:$X$629,AE$9,0)</f>
        <v>72</v>
      </c>
      <c r="AF459">
        <f>VLOOKUP($E459,[1]Sheet1!$E$10:$X$629,AF$9,0)</f>
        <v>144</v>
      </c>
      <c r="AG459">
        <f>VLOOKUP($E459,[1]Sheet1!$E$10:$X$629,AG$9,0)</f>
        <v>72</v>
      </c>
      <c r="AH459">
        <f>VLOOKUP($E459,[1]Sheet1!$E$10:$X$629,AH$9,0)</f>
        <v>72</v>
      </c>
      <c r="AJ459">
        <f t="shared" ref="AJ459:AJ522" si="25">SUM(M459:T459)</f>
        <v>360</v>
      </c>
      <c r="AK459">
        <f t="shared" ref="AK459:AK522" si="26">SUM(AA459:AH459)</f>
        <v>576</v>
      </c>
      <c r="AL459">
        <f t="shared" ref="AL459:AL522" si="27">IFERROR(AJ459-AK459,0)</f>
        <v>-216</v>
      </c>
    </row>
    <row r="460" spans="1:38" ht="39.6" x14ac:dyDescent="0.3">
      <c r="A460" s="4" t="s">
        <v>1345</v>
      </c>
      <c r="B460" s="5" t="s">
        <v>1346</v>
      </c>
      <c r="C460" s="21" t="s">
        <v>1347</v>
      </c>
      <c r="D460" s="20"/>
      <c r="E460" s="4">
        <v>1200220</v>
      </c>
      <c r="F460" s="4" t="s">
        <v>44</v>
      </c>
      <c r="G460" s="4" t="s">
        <v>45</v>
      </c>
      <c r="H460" s="4" t="s">
        <v>61</v>
      </c>
      <c r="I460" s="4" t="s">
        <v>57</v>
      </c>
      <c r="J460" s="4" t="s">
        <v>47</v>
      </c>
      <c r="K460" s="4">
        <v>12.5</v>
      </c>
      <c r="L460" s="4">
        <v>25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Z460" t="e">
        <f>VLOOKUP(E460,Sheet2!$A$1:$A$39,1,0)</f>
        <v>#N/A</v>
      </c>
      <c r="AA460">
        <f>VLOOKUP($E460,[1]Sheet1!$E$10:$X$629,AA$9,0)</f>
        <v>0</v>
      </c>
      <c r="AB460">
        <f>VLOOKUP($E460,[1]Sheet1!$E$10:$X$629,AB$9,0)</f>
        <v>0</v>
      </c>
      <c r="AC460">
        <f>VLOOKUP($E460,[1]Sheet1!$E$10:$X$629,AC$9,0)</f>
        <v>0</v>
      </c>
      <c r="AD460">
        <f>VLOOKUP($E460,[1]Sheet1!$E$10:$X$629,AD$9,0)</f>
        <v>0</v>
      </c>
      <c r="AE460">
        <f>VLOOKUP($E460,[1]Sheet1!$E$10:$X$629,AE$9,0)</f>
        <v>0</v>
      </c>
      <c r="AF460">
        <f>VLOOKUP($E460,[1]Sheet1!$E$10:$X$629,AF$9,0)</f>
        <v>0</v>
      </c>
      <c r="AG460">
        <f>VLOOKUP($E460,[1]Sheet1!$E$10:$X$629,AG$9,0)</f>
        <v>0</v>
      </c>
      <c r="AH460">
        <f>VLOOKUP($E460,[1]Sheet1!$E$10:$X$629,AH$9,0)</f>
        <v>0</v>
      </c>
      <c r="AJ460">
        <f t="shared" si="25"/>
        <v>0</v>
      </c>
      <c r="AK460">
        <f t="shared" si="26"/>
        <v>0</v>
      </c>
      <c r="AL460">
        <f t="shared" si="27"/>
        <v>0</v>
      </c>
    </row>
    <row r="461" spans="1:38" ht="39.6" x14ac:dyDescent="0.3">
      <c r="A461" s="4" t="s">
        <v>1348</v>
      </c>
      <c r="B461" s="5" t="s">
        <v>1349</v>
      </c>
      <c r="C461" s="21" t="s">
        <v>1350</v>
      </c>
      <c r="D461" s="20"/>
      <c r="E461" s="4">
        <v>1200218</v>
      </c>
      <c r="F461" s="4" t="s">
        <v>44</v>
      </c>
      <c r="G461" s="4" t="s">
        <v>45</v>
      </c>
      <c r="H461" s="4" t="s">
        <v>61</v>
      </c>
      <c r="I461" s="4" t="s">
        <v>57</v>
      </c>
      <c r="J461" s="4" t="s">
        <v>47</v>
      </c>
      <c r="K461" s="4">
        <v>12.5</v>
      </c>
      <c r="L461" s="4">
        <v>25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Z461" t="e">
        <f>VLOOKUP(E461,Sheet2!$A$1:$A$39,1,0)</f>
        <v>#N/A</v>
      </c>
      <c r="AA461">
        <f>VLOOKUP($E461,[1]Sheet1!$E$10:$X$629,AA$9,0)</f>
        <v>0</v>
      </c>
      <c r="AB461">
        <f>VLOOKUP($E461,[1]Sheet1!$E$10:$X$629,AB$9,0)</f>
        <v>0</v>
      </c>
      <c r="AC461">
        <f>VLOOKUP($E461,[1]Sheet1!$E$10:$X$629,AC$9,0)</f>
        <v>0</v>
      </c>
      <c r="AD461">
        <f>VLOOKUP($E461,[1]Sheet1!$E$10:$X$629,AD$9,0)</f>
        <v>0</v>
      </c>
      <c r="AE461">
        <f>VLOOKUP($E461,[1]Sheet1!$E$10:$X$629,AE$9,0)</f>
        <v>0</v>
      </c>
      <c r="AF461">
        <f>VLOOKUP($E461,[1]Sheet1!$E$10:$X$629,AF$9,0)</f>
        <v>0</v>
      </c>
      <c r="AG461">
        <f>VLOOKUP($E461,[1]Sheet1!$E$10:$X$629,AG$9,0)</f>
        <v>0</v>
      </c>
      <c r="AH461">
        <f>VLOOKUP($E461,[1]Sheet1!$E$10:$X$629,AH$9,0)</f>
        <v>0</v>
      </c>
      <c r="AJ461">
        <f t="shared" si="25"/>
        <v>0</v>
      </c>
      <c r="AK461">
        <f t="shared" si="26"/>
        <v>0</v>
      </c>
      <c r="AL461">
        <f t="shared" si="27"/>
        <v>0</v>
      </c>
    </row>
    <row r="462" spans="1:38" ht="39.6" x14ac:dyDescent="0.3">
      <c r="A462" s="4" t="s">
        <v>1351</v>
      </c>
      <c r="B462" s="5" t="s">
        <v>1352</v>
      </c>
      <c r="C462" s="21" t="s">
        <v>1353</v>
      </c>
      <c r="D462" s="20"/>
      <c r="E462" s="4">
        <v>1200236</v>
      </c>
      <c r="F462" s="4" t="s">
        <v>44</v>
      </c>
      <c r="G462" s="4" t="s">
        <v>45</v>
      </c>
      <c r="H462" s="4" t="s">
        <v>56</v>
      </c>
      <c r="I462" s="4" t="s">
        <v>57</v>
      </c>
      <c r="J462" s="4" t="s">
        <v>1179</v>
      </c>
      <c r="K462" s="4">
        <v>6</v>
      </c>
      <c r="L462" s="4">
        <v>12</v>
      </c>
      <c r="M462" s="5">
        <v>288</v>
      </c>
      <c r="N462" s="5">
        <v>288</v>
      </c>
      <c r="O462" s="5">
        <v>720</v>
      </c>
      <c r="P462" s="5">
        <v>432</v>
      </c>
      <c r="Q462" s="5">
        <v>864</v>
      </c>
      <c r="R462" s="5">
        <v>1152</v>
      </c>
      <c r="S462" s="5">
        <v>576</v>
      </c>
      <c r="T462" s="5">
        <v>720</v>
      </c>
      <c r="U462" s="5">
        <v>1152</v>
      </c>
      <c r="V462" s="5">
        <v>1872</v>
      </c>
      <c r="W462" s="5">
        <v>576</v>
      </c>
      <c r="X462" s="5">
        <v>1584</v>
      </c>
      <c r="Z462" t="e">
        <f>VLOOKUP(E462,Sheet2!$A$1:$A$39,1,0)</f>
        <v>#N/A</v>
      </c>
      <c r="AA462">
        <f>VLOOKUP($E462,[1]Sheet1!$E$10:$X$629,AA$9,0)</f>
        <v>864</v>
      </c>
      <c r="AB462">
        <f>VLOOKUP($E462,[1]Sheet1!$E$10:$X$629,AB$9,0)</f>
        <v>1152</v>
      </c>
      <c r="AC462">
        <f>VLOOKUP($E462,[1]Sheet1!$E$10:$X$629,AC$9,0)</f>
        <v>1296</v>
      </c>
      <c r="AD462">
        <f>VLOOKUP($E462,[1]Sheet1!$E$10:$X$629,AD$9,0)</f>
        <v>1440</v>
      </c>
      <c r="AE462">
        <f>VLOOKUP($E462,[1]Sheet1!$E$10:$X$629,AE$9,0)</f>
        <v>1728</v>
      </c>
      <c r="AF462">
        <f>VLOOKUP($E462,[1]Sheet1!$E$10:$X$629,AF$9,0)</f>
        <v>1728</v>
      </c>
      <c r="AG462">
        <f>VLOOKUP($E462,[1]Sheet1!$E$10:$X$629,AG$9,0)</f>
        <v>1728</v>
      </c>
      <c r="AH462">
        <f>VLOOKUP($E462,[1]Sheet1!$E$10:$X$629,AH$9,0)</f>
        <v>720</v>
      </c>
      <c r="AJ462">
        <f t="shared" si="25"/>
        <v>5040</v>
      </c>
      <c r="AK462">
        <f t="shared" si="26"/>
        <v>10656</v>
      </c>
      <c r="AL462">
        <f t="shared" si="27"/>
        <v>-5616</v>
      </c>
    </row>
    <row r="463" spans="1:38" ht="39.6" x14ac:dyDescent="0.3">
      <c r="A463" s="4" t="s">
        <v>1354</v>
      </c>
      <c r="B463" s="5" t="s">
        <v>1355</v>
      </c>
      <c r="C463" s="21" t="s">
        <v>1356</v>
      </c>
      <c r="D463" s="20"/>
      <c r="E463" s="4">
        <v>1200206</v>
      </c>
      <c r="F463" s="4" t="s">
        <v>44</v>
      </c>
      <c r="G463" s="4" t="s">
        <v>45</v>
      </c>
      <c r="H463" s="4" t="s">
        <v>61</v>
      </c>
      <c r="I463" s="4" t="s">
        <v>57</v>
      </c>
      <c r="J463" s="4" t="s">
        <v>47</v>
      </c>
      <c r="K463" s="4">
        <v>7.5</v>
      </c>
      <c r="L463" s="4">
        <v>15</v>
      </c>
      <c r="M463" s="5">
        <v>0</v>
      </c>
      <c r="N463" s="5">
        <v>144</v>
      </c>
      <c r="O463" s="5">
        <v>0</v>
      </c>
      <c r="P463" s="5">
        <v>0</v>
      </c>
      <c r="Q463" s="5">
        <v>144</v>
      </c>
      <c r="R463" s="5">
        <v>144</v>
      </c>
      <c r="S463" s="5">
        <v>144</v>
      </c>
      <c r="T463" s="5">
        <v>144</v>
      </c>
      <c r="U463" s="5">
        <v>144</v>
      </c>
      <c r="V463" s="5">
        <v>288</v>
      </c>
      <c r="W463" s="5">
        <v>144</v>
      </c>
      <c r="X463" s="5">
        <v>144</v>
      </c>
      <c r="Z463" t="e">
        <f>VLOOKUP(E463,Sheet2!$A$1:$A$39,1,0)</f>
        <v>#N/A</v>
      </c>
      <c r="AA463">
        <f>VLOOKUP($E463,[1]Sheet1!$E$10:$X$629,AA$9,0)</f>
        <v>0</v>
      </c>
      <c r="AB463">
        <f>VLOOKUP($E463,[1]Sheet1!$E$10:$X$629,AB$9,0)</f>
        <v>0</v>
      </c>
      <c r="AC463">
        <f>VLOOKUP($E463,[1]Sheet1!$E$10:$X$629,AC$9,0)</f>
        <v>0</v>
      </c>
      <c r="AD463">
        <f>VLOOKUP($E463,[1]Sheet1!$E$10:$X$629,AD$9,0)</f>
        <v>0</v>
      </c>
      <c r="AE463">
        <f>VLOOKUP($E463,[1]Sheet1!$E$10:$X$629,AE$9,0)</f>
        <v>0</v>
      </c>
      <c r="AF463">
        <f>VLOOKUP($E463,[1]Sheet1!$E$10:$X$629,AF$9,0)</f>
        <v>0</v>
      </c>
      <c r="AG463">
        <f>VLOOKUP($E463,[1]Sheet1!$E$10:$X$629,AG$9,0)</f>
        <v>144</v>
      </c>
      <c r="AH463">
        <f>VLOOKUP($E463,[1]Sheet1!$E$10:$X$629,AH$9,0)</f>
        <v>144</v>
      </c>
      <c r="AJ463">
        <f t="shared" si="25"/>
        <v>720</v>
      </c>
      <c r="AK463">
        <f t="shared" si="26"/>
        <v>288</v>
      </c>
      <c r="AL463">
        <f t="shared" si="27"/>
        <v>432</v>
      </c>
    </row>
    <row r="464" spans="1:38" ht="39.6" x14ac:dyDescent="0.3">
      <c r="A464" s="4" t="s">
        <v>1357</v>
      </c>
      <c r="B464" s="5" t="s">
        <v>1358</v>
      </c>
      <c r="C464" s="21" t="s">
        <v>1359</v>
      </c>
      <c r="D464" s="20"/>
      <c r="E464" s="4">
        <v>1200210</v>
      </c>
      <c r="F464" s="4" t="s">
        <v>44</v>
      </c>
      <c r="G464" s="4" t="s">
        <v>45</v>
      </c>
      <c r="H464" s="4" t="s">
        <v>56</v>
      </c>
      <c r="I464" s="4" t="s">
        <v>57</v>
      </c>
      <c r="J464" s="4" t="s">
        <v>47</v>
      </c>
      <c r="K464" s="4">
        <v>7.5</v>
      </c>
      <c r="L464" s="4">
        <v>15</v>
      </c>
      <c r="M464" s="5">
        <v>864</v>
      </c>
      <c r="N464" s="5">
        <v>720</v>
      </c>
      <c r="O464" s="5">
        <v>864</v>
      </c>
      <c r="P464" s="5">
        <v>864</v>
      </c>
      <c r="Q464" s="5">
        <v>1152</v>
      </c>
      <c r="R464" s="5">
        <v>1152</v>
      </c>
      <c r="S464" s="5">
        <v>1296</v>
      </c>
      <c r="T464" s="5">
        <v>1008</v>
      </c>
      <c r="U464" s="5">
        <v>1584</v>
      </c>
      <c r="V464" s="5">
        <v>2016</v>
      </c>
      <c r="W464" s="5">
        <v>864</v>
      </c>
      <c r="X464" s="5">
        <v>1872</v>
      </c>
      <c r="Z464" t="e">
        <f>VLOOKUP(E464,Sheet2!$A$1:$A$39,1,0)</f>
        <v>#N/A</v>
      </c>
      <c r="AA464">
        <f>VLOOKUP($E464,[1]Sheet1!$E$10:$X$629,AA$9,0)</f>
        <v>288</v>
      </c>
      <c r="AB464">
        <f>VLOOKUP($E464,[1]Sheet1!$E$10:$X$629,AB$9,0)</f>
        <v>288</v>
      </c>
      <c r="AC464">
        <f>VLOOKUP($E464,[1]Sheet1!$E$10:$X$629,AC$9,0)</f>
        <v>432</v>
      </c>
      <c r="AD464">
        <f>VLOOKUP($E464,[1]Sheet1!$E$10:$X$629,AD$9,0)</f>
        <v>288</v>
      </c>
      <c r="AE464">
        <f>VLOOKUP($E464,[1]Sheet1!$E$10:$X$629,AE$9,0)</f>
        <v>576</v>
      </c>
      <c r="AF464">
        <f>VLOOKUP($E464,[1]Sheet1!$E$10:$X$629,AF$9,0)</f>
        <v>432</v>
      </c>
      <c r="AG464">
        <f>VLOOKUP($E464,[1]Sheet1!$E$10:$X$629,AG$9,0)</f>
        <v>576</v>
      </c>
      <c r="AH464">
        <f>VLOOKUP($E464,[1]Sheet1!$E$10:$X$629,AH$9,0)</f>
        <v>432</v>
      </c>
      <c r="AJ464">
        <f t="shared" si="25"/>
        <v>7920</v>
      </c>
      <c r="AK464">
        <f t="shared" si="26"/>
        <v>3312</v>
      </c>
      <c r="AL464">
        <f t="shared" si="27"/>
        <v>4608</v>
      </c>
    </row>
    <row r="465" spans="1:38" ht="39.6" x14ac:dyDescent="0.3">
      <c r="A465" s="4" t="s">
        <v>1360</v>
      </c>
      <c r="B465" s="5" t="s">
        <v>1361</v>
      </c>
      <c r="C465" s="21" t="s">
        <v>1362</v>
      </c>
      <c r="D465" s="20"/>
      <c r="E465" s="4">
        <v>1200209</v>
      </c>
      <c r="F465" s="4" t="s">
        <v>44</v>
      </c>
      <c r="G465" s="4" t="s">
        <v>45</v>
      </c>
      <c r="H465" s="4" t="s">
        <v>61</v>
      </c>
      <c r="I465" s="4" t="s">
        <v>57</v>
      </c>
      <c r="J465" s="4" t="s">
        <v>47</v>
      </c>
      <c r="K465" s="4">
        <v>7.5</v>
      </c>
      <c r="L465" s="4">
        <v>15</v>
      </c>
      <c r="M465" s="5">
        <v>0</v>
      </c>
      <c r="N465" s="5">
        <v>0</v>
      </c>
      <c r="O465" s="5">
        <v>144</v>
      </c>
      <c r="P465" s="5">
        <v>0</v>
      </c>
      <c r="Q465" s="5">
        <v>0</v>
      </c>
      <c r="R465" s="5">
        <v>288</v>
      </c>
      <c r="S465" s="5">
        <v>0</v>
      </c>
      <c r="T465" s="5">
        <v>288</v>
      </c>
      <c r="U465" s="5">
        <v>144</v>
      </c>
      <c r="V465" s="5">
        <v>144</v>
      </c>
      <c r="W465" s="5">
        <v>288</v>
      </c>
      <c r="X465" s="5">
        <v>288</v>
      </c>
      <c r="Z465" t="e">
        <f>VLOOKUP(E465,Sheet2!$A$1:$A$39,1,0)</f>
        <v>#N/A</v>
      </c>
      <c r="AA465">
        <f>VLOOKUP($E465,[1]Sheet1!$E$10:$X$629,AA$9,0)</f>
        <v>0</v>
      </c>
      <c r="AB465">
        <f>VLOOKUP($E465,[1]Sheet1!$E$10:$X$629,AB$9,0)</f>
        <v>144</v>
      </c>
      <c r="AC465">
        <f>VLOOKUP($E465,[1]Sheet1!$E$10:$X$629,AC$9,0)</f>
        <v>0</v>
      </c>
      <c r="AD465">
        <f>VLOOKUP($E465,[1]Sheet1!$E$10:$X$629,AD$9,0)</f>
        <v>0</v>
      </c>
      <c r="AE465">
        <f>VLOOKUP($E465,[1]Sheet1!$E$10:$X$629,AE$9,0)</f>
        <v>144</v>
      </c>
      <c r="AF465">
        <f>VLOOKUP($E465,[1]Sheet1!$E$10:$X$629,AF$9,0)</f>
        <v>144</v>
      </c>
      <c r="AG465">
        <f>VLOOKUP($E465,[1]Sheet1!$E$10:$X$629,AG$9,0)</f>
        <v>144</v>
      </c>
      <c r="AH465">
        <f>VLOOKUP($E465,[1]Sheet1!$E$10:$X$629,AH$9,0)</f>
        <v>144</v>
      </c>
      <c r="AJ465">
        <f t="shared" si="25"/>
        <v>720</v>
      </c>
      <c r="AK465">
        <f t="shared" si="26"/>
        <v>720</v>
      </c>
      <c r="AL465">
        <f t="shared" si="27"/>
        <v>0</v>
      </c>
    </row>
    <row r="466" spans="1:38" ht="39.6" x14ac:dyDescent="0.3">
      <c r="A466" s="4" t="s">
        <v>1363</v>
      </c>
      <c r="B466" s="5" t="s">
        <v>1364</v>
      </c>
      <c r="C466" s="21" t="s">
        <v>1365</v>
      </c>
      <c r="D466" s="20"/>
      <c r="E466" s="4">
        <v>1200208</v>
      </c>
      <c r="F466" s="4" t="s">
        <v>44</v>
      </c>
      <c r="G466" s="4" t="s">
        <v>45</v>
      </c>
      <c r="H466" s="4" t="s">
        <v>61</v>
      </c>
      <c r="I466" s="4" t="s">
        <v>57</v>
      </c>
      <c r="J466" s="4" t="s">
        <v>47</v>
      </c>
      <c r="K466" s="4">
        <v>7.5</v>
      </c>
      <c r="L466" s="4">
        <v>15</v>
      </c>
      <c r="M466" s="5">
        <v>144</v>
      </c>
      <c r="N466" s="5">
        <v>0</v>
      </c>
      <c r="O466" s="5">
        <v>288</v>
      </c>
      <c r="P466" s="5">
        <v>0</v>
      </c>
      <c r="Q466" s="5">
        <v>288</v>
      </c>
      <c r="R466" s="5">
        <v>0</v>
      </c>
      <c r="S466" s="5">
        <v>432</v>
      </c>
      <c r="T466" s="5">
        <v>144</v>
      </c>
      <c r="U466" s="5">
        <v>288</v>
      </c>
      <c r="V466" s="5">
        <v>288</v>
      </c>
      <c r="W466" s="5">
        <v>432</v>
      </c>
      <c r="X466" s="5">
        <v>144</v>
      </c>
      <c r="Z466" t="e">
        <f>VLOOKUP(E466,Sheet2!$A$1:$A$39,1,0)</f>
        <v>#N/A</v>
      </c>
      <c r="AA466">
        <f>VLOOKUP($E466,[1]Sheet1!$E$10:$X$629,AA$9,0)</f>
        <v>0</v>
      </c>
      <c r="AB466">
        <f>VLOOKUP($E466,[1]Sheet1!$E$10:$X$629,AB$9,0)</f>
        <v>0</v>
      </c>
      <c r="AC466">
        <f>VLOOKUP($E466,[1]Sheet1!$E$10:$X$629,AC$9,0)</f>
        <v>0</v>
      </c>
      <c r="AD466">
        <f>VLOOKUP($E466,[1]Sheet1!$E$10:$X$629,AD$9,0)</f>
        <v>144</v>
      </c>
      <c r="AE466">
        <f>VLOOKUP($E466,[1]Sheet1!$E$10:$X$629,AE$9,0)</f>
        <v>0</v>
      </c>
      <c r="AF466">
        <f>VLOOKUP($E466,[1]Sheet1!$E$10:$X$629,AF$9,0)</f>
        <v>0</v>
      </c>
      <c r="AG466">
        <f>VLOOKUP($E466,[1]Sheet1!$E$10:$X$629,AG$9,0)</f>
        <v>288</v>
      </c>
      <c r="AH466">
        <f>VLOOKUP($E466,[1]Sheet1!$E$10:$X$629,AH$9,0)</f>
        <v>0</v>
      </c>
      <c r="AJ466">
        <f t="shared" si="25"/>
        <v>1296</v>
      </c>
      <c r="AK466">
        <f t="shared" si="26"/>
        <v>432</v>
      </c>
      <c r="AL466">
        <f t="shared" si="27"/>
        <v>864</v>
      </c>
    </row>
    <row r="467" spans="1:38" ht="39.6" x14ac:dyDescent="0.3">
      <c r="A467" s="4" t="s">
        <v>1366</v>
      </c>
      <c r="B467" s="5" t="s">
        <v>1367</v>
      </c>
      <c r="C467" s="21" t="s">
        <v>1368</v>
      </c>
      <c r="D467" s="20"/>
      <c r="E467" s="4">
        <v>1200207</v>
      </c>
      <c r="F467" s="4" t="s">
        <v>44</v>
      </c>
      <c r="G467" s="4" t="s">
        <v>45</v>
      </c>
      <c r="H467" s="4" t="s">
        <v>61</v>
      </c>
      <c r="I467" s="4" t="s">
        <v>57</v>
      </c>
      <c r="J467" s="4" t="s">
        <v>47</v>
      </c>
      <c r="K467" s="4">
        <v>7.5</v>
      </c>
      <c r="L467" s="4">
        <v>15</v>
      </c>
      <c r="M467" s="5">
        <v>144</v>
      </c>
      <c r="N467" s="5">
        <v>0</v>
      </c>
      <c r="O467" s="5">
        <v>0</v>
      </c>
      <c r="P467" s="5">
        <v>0</v>
      </c>
      <c r="Q467" s="5">
        <v>144</v>
      </c>
      <c r="R467" s="5">
        <v>144</v>
      </c>
      <c r="S467" s="5">
        <v>0</v>
      </c>
      <c r="T467" s="5">
        <v>0</v>
      </c>
      <c r="U467" s="5">
        <v>144</v>
      </c>
      <c r="V467" s="5">
        <v>144</v>
      </c>
      <c r="W467" s="5">
        <v>0</v>
      </c>
      <c r="X467" s="5">
        <v>144</v>
      </c>
      <c r="Z467" t="e">
        <f>VLOOKUP(E467,Sheet2!$A$1:$A$39,1,0)</f>
        <v>#N/A</v>
      </c>
      <c r="AA467">
        <f>VLOOKUP($E467,[1]Sheet1!$E$10:$X$629,AA$9,0)</f>
        <v>0</v>
      </c>
      <c r="AB467">
        <f>VLOOKUP($E467,[1]Sheet1!$E$10:$X$629,AB$9,0)</f>
        <v>0</v>
      </c>
      <c r="AC467">
        <f>VLOOKUP($E467,[1]Sheet1!$E$10:$X$629,AC$9,0)</f>
        <v>0</v>
      </c>
      <c r="AD467">
        <f>VLOOKUP($E467,[1]Sheet1!$E$10:$X$629,AD$9,0)</f>
        <v>144</v>
      </c>
      <c r="AE467">
        <f>VLOOKUP($E467,[1]Sheet1!$E$10:$X$629,AE$9,0)</f>
        <v>0</v>
      </c>
      <c r="AF467">
        <f>VLOOKUP($E467,[1]Sheet1!$E$10:$X$629,AF$9,0)</f>
        <v>0</v>
      </c>
      <c r="AG467">
        <f>VLOOKUP($E467,[1]Sheet1!$E$10:$X$629,AG$9,0)</f>
        <v>0</v>
      </c>
      <c r="AH467">
        <f>VLOOKUP($E467,[1]Sheet1!$E$10:$X$629,AH$9,0)</f>
        <v>288</v>
      </c>
      <c r="AJ467">
        <f t="shared" si="25"/>
        <v>432</v>
      </c>
      <c r="AK467">
        <f t="shared" si="26"/>
        <v>432</v>
      </c>
      <c r="AL467">
        <f t="shared" si="27"/>
        <v>0</v>
      </c>
    </row>
    <row r="468" spans="1:38" ht="39.6" x14ac:dyDescent="0.3">
      <c r="A468" s="4" t="s">
        <v>1369</v>
      </c>
      <c r="B468" s="5" t="s">
        <v>1370</v>
      </c>
      <c r="C468" s="21" t="s">
        <v>1371</v>
      </c>
      <c r="D468" s="20"/>
      <c r="E468" s="4">
        <v>1200238</v>
      </c>
      <c r="F468" s="4" t="s">
        <v>44</v>
      </c>
      <c r="G468" s="4" t="s">
        <v>45</v>
      </c>
      <c r="H468" s="4" t="s">
        <v>56</v>
      </c>
      <c r="I468" s="4" t="s">
        <v>57</v>
      </c>
      <c r="J468" s="4" t="s">
        <v>1179</v>
      </c>
      <c r="K468" s="4">
        <v>6</v>
      </c>
      <c r="L468" s="4">
        <v>12</v>
      </c>
      <c r="M468" s="5">
        <v>288</v>
      </c>
      <c r="N468" s="5">
        <v>720</v>
      </c>
      <c r="O468" s="5">
        <v>576</v>
      </c>
      <c r="P468" s="5">
        <v>576</v>
      </c>
      <c r="Q468" s="5">
        <v>720</v>
      </c>
      <c r="R468" s="5">
        <v>1152</v>
      </c>
      <c r="S468" s="5">
        <v>576</v>
      </c>
      <c r="T468" s="5">
        <v>720</v>
      </c>
      <c r="U468" s="5">
        <v>1296</v>
      </c>
      <c r="V468" s="5">
        <v>1584</v>
      </c>
      <c r="W468" s="5">
        <v>576</v>
      </c>
      <c r="X468" s="5">
        <v>1584</v>
      </c>
      <c r="Z468" t="e">
        <f>VLOOKUP(E468,Sheet2!$A$1:$A$39,1,0)</f>
        <v>#N/A</v>
      </c>
      <c r="AA468">
        <f>VLOOKUP($E468,[1]Sheet1!$E$10:$X$629,AA$9,0)</f>
        <v>864</v>
      </c>
      <c r="AB468">
        <f>VLOOKUP($E468,[1]Sheet1!$E$10:$X$629,AB$9,0)</f>
        <v>864</v>
      </c>
      <c r="AC468">
        <f>VLOOKUP($E468,[1]Sheet1!$E$10:$X$629,AC$9,0)</f>
        <v>864</v>
      </c>
      <c r="AD468">
        <f>VLOOKUP($E468,[1]Sheet1!$E$10:$X$629,AD$9,0)</f>
        <v>864</v>
      </c>
      <c r="AE468">
        <f>VLOOKUP($E468,[1]Sheet1!$E$10:$X$629,AE$9,0)</f>
        <v>1440</v>
      </c>
      <c r="AF468">
        <f>VLOOKUP($E468,[1]Sheet1!$E$10:$X$629,AF$9,0)</f>
        <v>1440</v>
      </c>
      <c r="AG468">
        <f>VLOOKUP($E468,[1]Sheet1!$E$10:$X$629,AG$9,0)</f>
        <v>1152</v>
      </c>
      <c r="AH468">
        <f>VLOOKUP($E468,[1]Sheet1!$E$10:$X$629,AH$9,0)</f>
        <v>720</v>
      </c>
      <c r="AJ468">
        <f t="shared" si="25"/>
        <v>5328</v>
      </c>
      <c r="AK468">
        <f t="shared" si="26"/>
        <v>8208</v>
      </c>
      <c r="AL468">
        <f t="shared" si="27"/>
        <v>-2880</v>
      </c>
    </row>
    <row r="469" spans="1:38" ht="39.6" x14ac:dyDescent="0.3">
      <c r="A469" s="4" t="s">
        <v>1372</v>
      </c>
      <c r="B469" s="5" t="s">
        <v>1373</v>
      </c>
      <c r="C469" s="21" t="s">
        <v>1374</v>
      </c>
      <c r="D469" s="20"/>
      <c r="E469" s="4">
        <v>1200205</v>
      </c>
      <c r="F469" s="4" t="s">
        <v>44</v>
      </c>
      <c r="G469" s="4" t="s">
        <v>45</v>
      </c>
      <c r="H469" s="4" t="s">
        <v>61</v>
      </c>
      <c r="I469" s="4" t="s">
        <v>57</v>
      </c>
      <c r="J469" s="4" t="s">
        <v>47</v>
      </c>
      <c r="K469" s="4">
        <v>7.5</v>
      </c>
      <c r="L469" s="4">
        <v>15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144</v>
      </c>
      <c r="W469" s="5">
        <v>144</v>
      </c>
      <c r="X469" s="5">
        <v>144</v>
      </c>
      <c r="Z469" t="e">
        <f>VLOOKUP(E469,Sheet2!$A$1:$A$39,1,0)</f>
        <v>#N/A</v>
      </c>
      <c r="AA469">
        <f>VLOOKUP($E469,[1]Sheet1!$E$10:$X$629,AA$9,0)</f>
        <v>0</v>
      </c>
      <c r="AB469">
        <f>VLOOKUP($E469,[1]Sheet1!$E$10:$X$629,AB$9,0)</f>
        <v>0</v>
      </c>
      <c r="AC469">
        <f>VLOOKUP($E469,[1]Sheet1!$E$10:$X$629,AC$9,0)</f>
        <v>0</v>
      </c>
      <c r="AD469">
        <f>VLOOKUP($E469,[1]Sheet1!$E$10:$X$629,AD$9,0)</f>
        <v>0</v>
      </c>
      <c r="AE469">
        <f>VLOOKUP($E469,[1]Sheet1!$E$10:$X$629,AE$9,0)</f>
        <v>0</v>
      </c>
      <c r="AF469">
        <f>VLOOKUP($E469,[1]Sheet1!$E$10:$X$629,AF$9,0)</f>
        <v>0</v>
      </c>
      <c r="AG469">
        <f>VLOOKUP($E469,[1]Sheet1!$E$10:$X$629,AG$9,0)</f>
        <v>0</v>
      </c>
      <c r="AH469">
        <f>VLOOKUP($E469,[1]Sheet1!$E$10:$X$629,AH$9,0)</f>
        <v>0</v>
      </c>
      <c r="AJ469">
        <f t="shared" si="25"/>
        <v>0</v>
      </c>
      <c r="AK469">
        <f t="shared" si="26"/>
        <v>0</v>
      </c>
      <c r="AL469">
        <f t="shared" si="27"/>
        <v>0</v>
      </c>
    </row>
    <row r="470" spans="1:38" ht="39.6" x14ac:dyDescent="0.3">
      <c r="A470" s="4" t="s">
        <v>1375</v>
      </c>
      <c r="B470" s="5" t="s">
        <v>1376</v>
      </c>
      <c r="C470" s="21" t="s">
        <v>1377</v>
      </c>
      <c r="D470" s="20"/>
      <c r="E470" s="4">
        <v>1200231</v>
      </c>
      <c r="F470" s="4" t="s">
        <v>44</v>
      </c>
      <c r="G470" s="4" t="s">
        <v>45</v>
      </c>
      <c r="H470" s="4" t="s">
        <v>56</v>
      </c>
      <c r="I470" s="4" t="s">
        <v>57</v>
      </c>
      <c r="J470" s="4" t="s">
        <v>47</v>
      </c>
      <c r="K470" s="4">
        <v>7.5</v>
      </c>
      <c r="L470" s="4">
        <v>15</v>
      </c>
      <c r="M470" s="5">
        <v>720</v>
      </c>
      <c r="N470" s="5">
        <v>1008</v>
      </c>
      <c r="O470" s="5">
        <v>864</v>
      </c>
      <c r="P470" s="5">
        <v>720</v>
      </c>
      <c r="Q470" s="5">
        <v>864</v>
      </c>
      <c r="R470" s="5">
        <v>1152</v>
      </c>
      <c r="S470" s="5">
        <v>864</v>
      </c>
      <c r="T470" s="5">
        <v>720</v>
      </c>
      <c r="U470" s="5">
        <v>1008</v>
      </c>
      <c r="V470" s="5">
        <v>1440</v>
      </c>
      <c r="W470" s="5">
        <v>576</v>
      </c>
      <c r="X470" s="5">
        <v>1296</v>
      </c>
      <c r="Z470" t="e">
        <f>VLOOKUP(E470,Sheet2!$A$1:$A$39,1,0)</f>
        <v>#N/A</v>
      </c>
      <c r="AA470">
        <f>VLOOKUP($E470,[1]Sheet1!$E$10:$X$629,AA$9,0)</f>
        <v>432</v>
      </c>
      <c r="AB470">
        <f>VLOOKUP($E470,[1]Sheet1!$E$10:$X$629,AB$9,0)</f>
        <v>576</v>
      </c>
      <c r="AC470">
        <f>VLOOKUP($E470,[1]Sheet1!$E$10:$X$629,AC$9,0)</f>
        <v>1008</v>
      </c>
      <c r="AD470">
        <f>VLOOKUP($E470,[1]Sheet1!$E$10:$X$629,AD$9,0)</f>
        <v>720</v>
      </c>
      <c r="AE470">
        <f>VLOOKUP($E470,[1]Sheet1!$E$10:$X$629,AE$9,0)</f>
        <v>720</v>
      </c>
      <c r="AF470">
        <f>VLOOKUP($E470,[1]Sheet1!$E$10:$X$629,AF$9,0)</f>
        <v>864</v>
      </c>
      <c r="AG470">
        <f>VLOOKUP($E470,[1]Sheet1!$E$10:$X$629,AG$9,0)</f>
        <v>1008</v>
      </c>
      <c r="AH470">
        <f>VLOOKUP($E470,[1]Sheet1!$E$10:$X$629,AH$9,0)</f>
        <v>144</v>
      </c>
      <c r="AJ470">
        <f t="shared" si="25"/>
        <v>6912</v>
      </c>
      <c r="AK470">
        <f t="shared" si="26"/>
        <v>5472</v>
      </c>
      <c r="AL470">
        <f t="shared" si="27"/>
        <v>1440</v>
      </c>
    </row>
    <row r="471" spans="1:38" ht="39.6" x14ac:dyDescent="0.3">
      <c r="A471" s="4" t="s">
        <v>1378</v>
      </c>
      <c r="B471" s="5" t="s">
        <v>1379</v>
      </c>
      <c r="C471" s="21" t="s">
        <v>1380</v>
      </c>
      <c r="D471" s="20"/>
      <c r="E471" s="4">
        <v>1200228</v>
      </c>
      <c r="F471" s="4" t="s">
        <v>44</v>
      </c>
      <c r="G471" s="4" t="s">
        <v>45</v>
      </c>
      <c r="H471" s="4" t="s">
        <v>61</v>
      </c>
      <c r="I471" s="4" t="s">
        <v>57</v>
      </c>
      <c r="J471" s="4" t="s">
        <v>47</v>
      </c>
      <c r="K471" s="4">
        <v>7.5</v>
      </c>
      <c r="L471" s="4">
        <v>15</v>
      </c>
      <c r="M471" s="5">
        <v>144</v>
      </c>
      <c r="N471" s="5">
        <v>144</v>
      </c>
      <c r="O471" s="5">
        <v>144</v>
      </c>
      <c r="P471" s="5">
        <v>144</v>
      </c>
      <c r="Q471" s="5">
        <v>144</v>
      </c>
      <c r="R471" s="5">
        <v>432</v>
      </c>
      <c r="S471" s="5">
        <v>144</v>
      </c>
      <c r="T471" s="5">
        <v>576</v>
      </c>
      <c r="U471" s="5">
        <v>144</v>
      </c>
      <c r="V471" s="5">
        <v>288</v>
      </c>
      <c r="W471" s="5">
        <v>288</v>
      </c>
      <c r="X471" s="5">
        <v>288</v>
      </c>
      <c r="Z471" t="e">
        <f>VLOOKUP(E471,Sheet2!$A$1:$A$39,1,0)</f>
        <v>#N/A</v>
      </c>
      <c r="AA471">
        <f>VLOOKUP($E471,[1]Sheet1!$E$10:$X$629,AA$9,0)</f>
        <v>432</v>
      </c>
      <c r="AB471">
        <f>VLOOKUP($E471,[1]Sheet1!$E$10:$X$629,AB$9,0)</f>
        <v>288</v>
      </c>
      <c r="AC471">
        <f>VLOOKUP($E471,[1]Sheet1!$E$10:$X$629,AC$9,0)</f>
        <v>288</v>
      </c>
      <c r="AD471">
        <f>VLOOKUP($E471,[1]Sheet1!$E$10:$X$629,AD$9,0)</f>
        <v>144</v>
      </c>
      <c r="AE471">
        <f>VLOOKUP($E471,[1]Sheet1!$E$10:$X$629,AE$9,0)</f>
        <v>432</v>
      </c>
      <c r="AF471">
        <f>VLOOKUP($E471,[1]Sheet1!$E$10:$X$629,AF$9,0)</f>
        <v>576</v>
      </c>
      <c r="AG471">
        <f>VLOOKUP($E471,[1]Sheet1!$E$10:$X$629,AG$9,0)</f>
        <v>288</v>
      </c>
      <c r="AH471">
        <f>VLOOKUP($E471,[1]Sheet1!$E$10:$X$629,AH$9,0)</f>
        <v>288</v>
      </c>
      <c r="AJ471">
        <f t="shared" si="25"/>
        <v>1872</v>
      </c>
      <c r="AK471">
        <f t="shared" si="26"/>
        <v>2736</v>
      </c>
      <c r="AL471">
        <f t="shared" si="27"/>
        <v>-864</v>
      </c>
    </row>
    <row r="472" spans="1:38" ht="39.6" x14ac:dyDescent="0.3">
      <c r="A472" s="4" t="s">
        <v>1381</v>
      </c>
      <c r="B472" s="5" t="s">
        <v>1382</v>
      </c>
      <c r="C472" s="21" t="s">
        <v>1383</v>
      </c>
      <c r="D472" s="20"/>
      <c r="E472" s="4">
        <v>1200226</v>
      </c>
      <c r="F472" s="4" t="s">
        <v>44</v>
      </c>
      <c r="G472" s="4" t="s">
        <v>45</v>
      </c>
      <c r="H472" s="4" t="s">
        <v>61</v>
      </c>
      <c r="I472" s="4" t="s">
        <v>57</v>
      </c>
      <c r="J472" s="4" t="s">
        <v>47</v>
      </c>
      <c r="K472" s="4">
        <v>7.5</v>
      </c>
      <c r="L472" s="4">
        <v>15</v>
      </c>
      <c r="M472" s="5">
        <v>0</v>
      </c>
      <c r="N472" s="5">
        <v>0</v>
      </c>
      <c r="O472" s="5">
        <v>432</v>
      </c>
      <c r="P472" s="5">
        <v>0</v>
      </c>
      <c r="Q472" s="5">
        <v>144</v>
      </c>
      <c r="R472" s="5">
        <v>288</v>
      </c>
      <c r="S472" s="5">
        <v>144</v>
      </c>
      <c r="T472" s="5">
        <v>288</v>
      </c>
      <c r="U472" s="5">
        <v>288</v>
      </c>
      <c r="V472" s="5">
        <v>288</v>
      </c>
      <c r="W472" s="5">
        <v>288</v>
      </c>
      <c r="X472" s="5">
        <v>288</v>
      </c>
      <c r="Z472" t="e">
        <f>VLOOKUP(E472,Sheet2!$A$1:$A$39,1,0)</f>
        <v>#N/A</v>
      </c>
      <c r="AA472">
        <f>VLOOKUP($E472,[1]Sheet1!$E$10:$X$629,AA$9,0)</f>
        <v>432</v>
      </c>
      <c r="AB472">
        <f>VLOOKUP($E472,[1]Sheet1!$E$10:$X$629,AB$9,0)</f>
        <v>144</v>
      </c>
      <c r="AC472">
        <f>VLOOKUP($E472,[1]Sheet1!$E$10:$X$629,AC$9,0)</f>
        <v>288</v>
      </c>
      <c r="AD472">
        <f>VLOOKUP($E472,[1]Sheet1!$E$10:$X$629,AD$9,0)</f>
        <v>288</v>
      </c>
      <c r="AE472">
        <f>VLOOKUP($E472,[1]Sheet1!$E$10:$X$629,AE$9,0)</f>
        <v>288</v>
      </c>
      <c r="AF472">
        <f>VLOOKUP($E472,[1]Sheet1!$E$10:$X$629,AF$9,0)</f>
        <v>432</v>
      </c>
      <c r="AG472">
        <f>VLOOKUP($E472,[1]Sheet1!$E$10:$X$629,AG$9,0)</f>
        <v>288</v>
      </c>
      <c r="AH472">
        <f>VLOOKUP($E472,[1]Sheet1!$E$10:$X$629,AH$9,0)</f>
        <v>288</v>
      </c>
      <c r="AJ472">
        <f t="shared" si="25"/>
        <v>1296</v>
      </c>
      <c r="AK472">
        <f t="shared" si="26"/>
        <v>2448</v>
      </c>
      <c r="AL472">
        <f t="shared" si="27"/>
        <v>-1152</v>
      </c>
    </row>
    <row r="473" spans="1:38" ht="39.6" x14ac:dyDescent="0.3">
      <c r="A473" s="4" t="s">
        <v>1384</v>
      </c>
      <c r="B473" s="5" t="s">
        <v>1385</v>
      </c>
      <c r="C473" s="21" t="s">
        <v>1386</v>
      </c>
      <c r="D473" s="20"/>
      <c r="E473" s="4">
        <v>1200229</v>
      </c>
      <c r="F473" s="4" t="s">
        <v>44</v>
      </c>
      <c r="G473" s="4" t="s">
        <v>45</v>
      </c>
      <c r="H473" s="4" t="s">
        <v>61</v>
      </c>
      <c r="I473" s="4" t="s">
        <v>57</v>
      </c>
      <c r="J473" s="4" t="s">
        <v>47</v>
      </c>
      <c r="K473" s="4">
        <v>7.5</v>
      </c>
      <c r="L473" s="4">
        <v>15</v>
      </c>
      <c r="M473" s="5">
        <v>144</v>
      </c>
      <c r="N473" s="5">
        <v>288</v>
      </c>
      <c r="O473" s="5">
        <v>0</v>
      </c>
      <c r="P473" s="5">
        <v>432</v>
      </c>
      <c r="Q473" s="5">
        <v>288</v>
      </c>
      <c r="R473" s="5">
        <v>144</v>
      </c>
      <c r="S473" s="5">
        <v>288</v>
      </c>
      <c r="T473" s="5">
        <v>144</v>
      </c>
      <c r="U473" s="5">
        <v>432</v>
      </c>
      <c r="V473" s="5">
        <v>144</v>
      </c>
      <c r="W473" s="5">
        <v>576</v>
      </c>
      <c r="X473" s="5">
        <v>144</v>
      </c>
      <c r="Z473" t="e">
        <f>VLOOKUP(E473,Sheet2!$A$1:$A$39,1,0)</f>
        <v>#N/A</v>
      </c>
      <c r="AA473">
        <f>VLOOKUP($E473,[1]Sheet1!$E$10:$X$629,AA$9,0)</f>
        <v>432</v>
      </c>
      <c r="AB473">
        <f>VLOOKUP($E473,[1]Sheet1!$E$10:$X$629,AB$9,0)</f>
        <v>432</v>
      </c>
      <c r="AC473">
        <f>VLOOKUP($E473,[1]Sheet1!$E$10:$X$629,AC$9,0)</f>
        <v>432</v>
      </c>
      <c r="AD473">
        <f>VLOOKUP($E473,[1]Sheet1!$E$10:$X$629,AD$9,0)</f>
        <v>288</v>
      </c>
      <c r="AE473">
        <f>VLOOKUP($E473,[1]Sheet1!$E$10:$X$629,AE$9,0)</f>
        <v>432</v>
      </c>
      <c r="AF473">
        <f>VLOOKUP($E473,[1]Sheet1!$E$10:$X$629,AF$9,0)</f>
        <v>576</v>
      </c>
      <c r="AG473">
        <f>VLOOKUP($E473,[1]Sheet1!$E$10:$X$629,AG$9,0)</f>
        <v>576</v>
      </c>
      <c r="AH473">
        <f>VLOOKUP($E473,[1]Sheet1!$E$10:$X$629,AH$9,0)</f>
        <v>0</v>
      </c>
      <c r="AJ473">
        <f t="shared" si="25"/>
        <v>1728</v>
      </c>
      <c r="AK473">
        <f t="shared" si="26"/>
        <v>3168</v>
      </c>
      <c r="AL473">
        <f t="shared" si="27"/>
        <v>-1440</v>
      </c>
    </row>
    <row r="474" spans="1:38" ht="39.6" x14ac:dyDescent="0.3">
      <c r="A474" s="4" t="s">
        <v>1387</v>
      </c>
      <c r="B474" s="5" t="s">
        <v>1388</v>
      </c>
      <c r="C474" s="21" t="s">
        <v>1389</v>
      </c>
      <c r="D474" s="20"/>
      <c r="E474" s="4">
        <v>1200235</v>
      </c>
      <c r="F474" s="4" t="s">
        <v>44</v>
      </c>
      <c r="G474" s="4" t="s">
        <v>45</v>
      </c>
      <c r="H474" s="4" t="s">
        <v>61</v>
      </c>
      <c r="I474" s="4" t="s">
        <v>57</v>
      </c>
      <c r="J474" s="4" t="s">
        <v>47</v>
      </c>
      <c r="K474" s="4">
        <v>7.5</v>
      </c>
      <c r="L474" s="4">
        <v>15</v>
      </c>
      <c r="M474" s="5">
        <v>288</v>
      </c>
      <c r="N474" s="5">
        <v>288</v>
      </c>
      <c r="O474" s="5">
        <v>576</v>
      </c>
      <c r="P474" s="5">
        <v>0</v>
      </c>
      <c r="Q474" s="5">
        <v>432</v>
      </c>
      <c r="R474" s="5">
        <v>576</v>
      </c>
      <c r="S474" s="5">
        <v>288</v>
      </c>
      <c r="T474" s="5">
        <v>432</v>
      </c>
      <c r="U474" s="5">
        <v>576</v>
      </c>
      <c r="V474" s="5">
        <v>288</v>
      </c>
      <c r="W474" s="5">
        <v>576</v>
      </c>
      <c r="X474" s="5">
        <v>432</v>
      </c>
      <c r="Z474" t="e">
        <f>VLOOKUP(E474,Sheet2!$A$1:$A$39,1,0)</f>
        <v>#N/A</v>
      </c>
      <c r="AA474">
        <f>VLOOKUP($E474,[1]Sheet1!$E$10:$X$629,AA$9,0)</f>
        <v>288</v>
      </c>
      <c r="AB474">
        <f>VLOOKUP($E474,[1]Sheet1!$E$10:$X$629,AB$9,0)</f>
        <v>432</v>
      </c>
      <c r="AC474">
        <f>VLOOKUP($E474,[1]Sheet1!$E$10:$X$629,AC$9,0)</f>
        <v>288</v>
      </c>
      <c r="AD474">
        <f>VLOOKUP($E474,[1]Sheet1!$E$10:$X$629,AD$9,0)</f>
        <v>576</v>
      </c>
      <c r="AE474">
        <f>VLOOKUP($E474,[1]Sheet1!$E$10:$X$629,AE$9,0)</f>
        <v>288</v>
      </c>
      <c r="AF474">
        <f>VLOOKUP($E474,[1]Sheet1!$E$10:$X$629,AF$9,0)</f>
        <v>864</v>
      </c>
      <c r="AG474">
        <f>VLOOKUP($E474,[1]Sheet1!$E$10:$X$629,AG$9,0)</f>
        <v>288</v>
      </c>
      <c r="AH474">
        <f>VLOOKUP($E474,[1]Sheet1!$E$10:$X$629,AH$9,0)</f>
        <v>288</v>
      </c>
      <c r="AJ474">
        <f t="shared" si="25"/>
        <v>2880</v>
      </c>
      <c r="AK474">
        <f t="shared" si="26"/>
        <v>3312</v>
      </c>
      <c r="AL474">
        <f t="shared" si="27"/>
        <v>-432</v>
      </c>
    </row>
    <row r="475" spans="1:38" ht="39.6" x14ac:dyDescent="0.3">
      <c r="A475" s="4" t="s">
        <v>1390</v>
      </c>
      <c r="B475" s="5" t="s">
        <v>1391</v>
      </c>
      <c r="C475" s="21" t="s">
        <v>1392</v>
      </c>
      <c r="D475" s="20"/>
      <c r="E475" s="4">
        <v>1200234</v>
      </c>
      <c r="F475" s="4" t="s">
        <v>44</v>
      </c>
      <c r="G475" s="4" t="s">
        <v>45</v>
      </c>
      <c r="H475" s="4" t="s">
        <v>61</v>
      </c>
      <c r="I475" s="4" t="s">
        <v>52</v>
      </c>
      <c r="J475" s="4" t="s">
        <v>47</v>
      </c>
      <c r="K475" s="4">
        <v>7.5</v>
      </c>
      <c r="L475" s="4">
        <v>15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Z475" t="e">
        <f>VLOOKUP(E475,Sheet2!$A$1:$A$39,1,0)</f>
        <v>#N/A</v>
      </c>
      <c r="AA475">
        <f>VLOOKUP($E475,[1]Sheet1!$E$10:$X$629,AA$9,0)</f>
        <v>0</v>
      </c>
      <c r="AB475">
        <f>VLOOKUP($E475,[1]Sheet1!$E$10:$X$629,AB$9,0)</f>
        <v>0</v>
      </c>
      <c r="AC475">
        <f>VLOOKUP($E475,[1]Sheet1!$E$10:$X$629,AC$9,0)</f>
        <v>0</v>
      </c>
      <c r="AD475">
        <f>VLOOKUP($E475,[1]Sheet1!$E$10:$X$629,AD$9,0)</f>
        <v>0</v>
      </c>
      <c r="AE475">
        <f>VLOOKUP($E475,[1]Sheet1!$E$10:$X$629,AE$9,0)</f>
        <v>0</v>
      </c>
      <c r="AF475">
        <f>VLOOKUP($E475,[1]Sheet1!$E$10:$X$629,AF$9,0)</f>
        <v>0</v>
      </c>
      <c r="AG475">
        <f>VLOOKUP($E475,[1]Sheet1!$E$10:$X$629,AG$9,0)</f>
        <v>0</v>
      </c>
      <c r="AH475">
        <f>VLOOKUP($E475,[1]Sheet1!$E$10:$X$629,AH$9,0)</f>
        <v>0</v>
      </c>
      <c r="AJ475">
        <f t="shared" si="25"/>
        <v>0</v>
      </c>
      <c r="AK475">
        <f t="shared" si="26"/>
        <v>0</v>
      </c>
      <c r="AL475">
        <f t="shared" si="27"/>
        <v>0</v>
      </c>
    </row>
    <row r="476" spans="1:38" ht="39.6" x14ac:dyDescent="0.3">
      <c r="A476" s="4" t="s">
        <v>1393</v>
      </c>
      <c r="B476" s="5" t="s">
        <v>1394</v>
      </c>
      <c r="C476" s="21" t="s">
        <v>1395</v>
      </c>
      <c r="D476" s="20"/>
      <c r="E476" s="4">
        <v>1200233</v>
      </c>
      <c r="F476" s="4" t="s">
        <v>44</v>
      </c>
      <c r="G476" s="4" t="s">
        <v>45</v>
      </c>
      <c r="H476" s="4" t="s">
        <v>56</v>
      </c>
      <c r="I476" s="4" t="s">
        <v>57</v>
      </c>
      <c r="J476" s="4" t="s">
        <v>47</v>
      </c>
      <c r="K476" s="4">
        <v>7.5</v>
      </c>
      <c r="L476" s="4">
        <v>15</v>
      </c>
      <c r="M476" s="5">
        <v>864</v>
      </c>
      <c r="N476" s="5">
        <v>1008</v>
      </c>
      <c r="O476" s="5">
        <v>1152</v>
      </c>
      <c r="P476" s="5">
        <v>1008</v>
      </c>
      <c r="Q476" s="5">
        <v>1296</v>
      </c>
      <c r="R476" s="5">
        <v>1440</v>
      </c>
      <c r="S476" s="5">
        <v>1008</v>
      </c>
      <c r="T476" s="5">
        <v>1008</v>
      </c>
      <c r="U476" s="5">
        <v>1296</v>
      </c>
      <c r="V476" s="5">
        <v>1728</v>
      </c>
      <c r="W476" s="5">
        <v>1152</v>
      </c>
      <c r="X476" s="5">
        <v>1728</v>
      </c>
      <c r="Z476" t="e">
        <f>VLOOKUP(E476,Sheet2!$A$1:$A$39,1,0)</f>
        <v>#N/A</v>
      </c>
      <c r="AA476">
        <f>VLOOKUP($E476,[1]Sheet1!$E$10:$X$629,AA$9,0)</f>
        <v>1008</v>
      </c>
      <c r="AB476">
        <f>VLOOKUP($E476,[1]Sheet1!$E$10:$X$629,AB$9,0)</f>
        <v>1296</v>
      </c>
      <c r="AC476">
        <f>VLOOKUP($E476,[1]Sheet1!$E$10:$X$629,AC$9,0)</f>
        <v>1296</v>
      </c>
      <c r="AD476">
        <f>VLOOKUP($E476,[1]Sheet1!$E$10:$X$629,AD$9,0)</f>
        <v>1296</v>
      </c>
      <c r="AE476">
        <f>VLOOKUP($E476,[1]Sheet1!$E$10:$X$629,AE$9,0)</f>
        <v>1296</v>
      </c>
      <c r="AF476">
        <f>VLOOKUP($E476,[1]Sheet1!$E$10:$X$629,AF$9,0)</f>
        <v>1584</v>
      </c>
      <c r="AG476">
        <f>VLOOKUP($E476,[1]Sheet1!$E$10:$X$629,AG$9,0)</f>
        <v>1296</v>
      </c>
      <c r="AH476">
        <f>VLOOKUP($E476,[1]Sheet1!$E$10:$X$629,AH$9,0)</f>
        <v>864</v>
      </c>
      <c r="AJ476">
        <f t="shared" si="25"/>
        <v>8784</v>
      </c>
      <c r="AK476">
        <f t="shared" si="26"/>
        <v>9936</v>
      </c>
      <c r="AL476">
        <f t="shared" si="27"/>
        <v>-1152</v>
      </c>
    </row>
    <row r="477" spans="1:38" ht="39.6" x14ac:dyDescent="0.3">
      <c r="A477" s="4" t="s">
        <v>1396</v>
      </c>
      <c r="B477" s="5" t="s">
        <v>1397</v>
      </c>
      <c r="C477" s="21" t="s">
        <v>1398</v>
      </c>
      <c r="D477" s="20"/>
      <c r="E477" s="4">
        <v>1200224</v>
      </c>
      <c r="F477" s="4" t="s">
        <v>44</v>
      </c>
      <c r="G477" s="4" t="s">
        <v>45</v>
      </c>
      <c r="H477" s="4" t="s">
        <v>61</v>
      </c>
      <c r="I477" s="4" t="s">
        <v>57</v>
      </c>
      <c r="J477" s="4" t="s">
        <v>47</v>
      </c>
      <c r="K477" s="4">
        <v>7.5</v>
      </c>
      <c r="L477" s="4">
        <v>15</v>
      </c>
      <c r="M477" s="5">
        <v>0</v>
      </c>
      <c r="N477" s="5">
        <v>0</v>
      </c>
      <c r="O477" s="5">
        <v>0</v>
      </c>
      <c r="P477" s="5">
        <v>144</v>
      </c>
      <c r="Q477" s="5">
        <v>144</v>
      </c>
      <c r="R477" s="5">
        <v>144</v>
      </c>
      <c r="S477" s="5">
        <v>0</v>
      </c>
      <c r="T477" s="5">
        <v>144</v>
      </c>
      <c r="U477" s="5">
        <v>0</v>
      </c>
      <c r="V477" s="5">
        <v>144</v>
      </c>
      <c r="W477" s="5">
        <v>288</v>
      </c>
      <c r="X477" s="5">
        <v>144</v>
      </c>
      <c r="Z477" t="e">
        <f>VLOOKUP(E477,Sheet2!$A$1:$A$39,1,0)</f>
        <v>#N/A</v>
      </c>
      <c r="AA477">
        <f>VLOOKUP($E477,[1]Sheet1!$E$10:$X$629,AA$9,0)</f>
        <v>144</v>
      </c>
      <c r="AB477">
        <f>VLOOKUP($E477,[1]Sheet1!$E$10:$X$629,AB$9,0)</f>
        <v>144</v>
      </c>
      <c r="AC477">
        <f>VLOOKUP($E477,[1]Sheet1!$E$10:$X$629,AC$9,0)</f>
        <v>144</v>
      </c>
      <c r="AD477">
        <f>VLOOKUP($E477,[1]Sheet1!$E$10:$X$629,AD$9,0)</f>
        <v>144</v>
      </c>
      <c r="AE477">
        <f>VLOOKUP($E477,[1]Sheet1!$E$10:$X$629,AE$9,0)</f>
        <v>144</v>
      </c>
      <c r="AF477">
        <f>VLOOKUP($E477,[1]Sheet1!$E$10:$X$629,AF$9,0)</f>
        <v>576</v>
      </c>
      <c r="AG477">
        <f>VLOOKUP($E477,[1]Sheet1!$E$10:$X$629,AG$9,0)</f>
        <v>144</v>
      </c>
      <c r="AH477">
        <f>VLOOKUP($E477,[1]Sheet1!$E$10:$X$629,AH$9,0)</f>
        <v>0</v>
      </c>
      <c r="AJ477">
        <f t="shared" si="25"/>
        <v>576</v>
      </c>
      <c r="AK477">
        <f t="shared" si="26"/>
        <v>1440</v>
      </c>
      <c r="AL477">
        <f t="shared" si="27"/>
        <v>-864</v>
      </c>
    </row>
    <row r="478" spans="1:38" ht="39.6" x14ac:dyDescent="0.3">
      <c r="A478" s="4" t="s">
        <v>1399</v>
      </c>
      <c r="B478" s="5" t="s">
        <v>1400</v>
      </c>
      <c r="C478" s="21" t="s">
        <v>1401</v>
      </c>
      <c r="D478" s="20"/>
      <c r="E478" s="4">
        <v>1200230</v>
      </c>
      <c r="F478" s="4" t="s">
        <v>44</v>
      </c>
      <c r="G478" s="4" t="s">
        <v>45</v>
      </c>
      <c r="H478" s="4" t="s">
        <v>61</v>
      </c>
      <c r="I478" s="4" t="s">
        <v>52</v>
      </c>
      <c r="J478" s="4" t="s">
        <v>47</v>
      </c>
      <c r="K478" s="4">
        <v>7.5</v>
      </c>
      <c r="L478" s="4">
        <v>15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Z478" t="e">
        <f>VLOOKUP(E478,Sheet2!$A$1:$A$39,1,0)</f>
        <v>#N/A</v>
      </c>
      <c r="AA478">
        <f>VLOOKUP($E478,[1]Sheet1!$E$10:$X$629,AA$9,0)</f>
        <v>0</v>
      </c>
      <c r="AB478">
        <f>VLOOKUP($E478,[1]Sheet1!$E$10:$X$629,AB$9,0)</f>
        <v>0</v>
      </c>
      <c r="AC478">
        <f>VLOOKUP($E478,[1]Sheet1!$E$10:$X$629,AC$9,0)</f>
        <v>0</v>
      </c>
      <c r="AD478">
        <f>VLOOKUP($E478,[1]Sheet1!$E$10:$X$629,AD$9,0)</f>
        <v>0</v>
      </c>
      <c r="AE478">
        <f>VLOOKUP($E478,[1]Sheet1!$E$10:$X$629,AE$9,0)</f>
        <v>0</v>
      </c>
      <c r="AF478">
        <f>VLOOKUP($E478,[1]Sheet1!$E$10:$X$629,AF$9,0)</f>
        <v>0</v>
      </c>
      <c r="AG478">
        <f>VLOOKUP($E478,[1]Sheet1!$E$10:$X$629,AG$9,0)</f>
        <v>0</v>
      </c>
      <c r="AH478">
        <f>VLOOKUP($E478,[1]Sheet1!$E$10:$X$629,AH$9,0)</f>
        <v>0</v>
      </c>
      <c r="AJ478">
        <f t="shared" si="25"/>
        <v>0</v>
      </c>
      <c r="AK478">
        <f t="shared" si="26"/>
        <v>0</v>
      </c>
      <c r="AL478">
        <f t="shared" si="27"/>
        <v>0</v>
      </c>
    </row>
    <row r="479" spans="1:38" ht="39.6" x14ac:dyDescent="0.3">
      <c r="A479" s="4" t="s">
        <v>1402</v>
      </c>
      <c r="B479" s="5" t="s">
        <v>1403</v>
      </c>
      <c r="C479" s="21" t="s">
        <v>1404</v>
      </c>
      <c r="D479" s="20"/>
      <c r="E479" s="4">
        <v>1200227</v>
      </c>
      <c r="F479" s="4" t="s">
        <v>44</v>
      </c>
      <c r="G479" s="4" t="s">
        <v>45</v>
      </c>
      <c r="H479" s="4" t="s">
        <v>61</v>
      </c>
      <c r="I479" s="4" t="s">
        <v>57</v>
      </c>
      <c r="J479" s="4" t="s">
        <v>47</v>
      </c>
      <c r="K479" s="4">
        <v>7.5</v>
      </c>
      <c r="L479" s="4">
        <v>15</v>
      </c>
      <c r="M479" s="5">
        <v>0</v>
      </c>
      <c r="N479" s="5">
        <v>144</v>
      </c>
      <c r="O479" s="5">
        <v>432</v>
      </c>
      <c r="P479" s="5">
        <v>0</v>
      </c>
      <c r="Q479" s="5">
        <v>144</v>
      </c>
      <c r="R479" s="5">
        <v>288</v>
      </c>
      <c r="S479" s="5">
        <v>0</v>
      </c>
      <c r="T479" s="5">
        <v>288</v>
      </c>
      <c r="U479" s="5">
        <v>288</v>
      </c>
      <c r="V479" s="5">
        <v>0</v>
      </c>
      <c r="W479" s="5">
        <v>288</v>
      </c>
      <c r="X479" s="5">
        <v>288</v>
      </c>
      <c r="Z479" t="e">
        <f>VLOOKUP(E479,Sheet2!$A$1:$A$39,1,0)</f>
        <v>#N/A</v>
      </c>
      <c r="AA479">
        <f>VLOOKUP($E479,[1]Sheet1!$E$10:$X$629,AA$9,0)</f>
        <v>0</v>
      </c>
      <c r="AB479">
        <f>VLOOKUP($E479,[1]Sheet1!$E$10:$X$629,AB$9,0)</f>
        <v>432</v>
      </c>
      <c r="AC479">
        <f>VLOOKUP($E479,[1]Sheet1!$E$10:$X$629,AC$9,0)</f>
        <v>288</v>
      </c>
      <c r="AD479">
        <f>VLOOKUP($E479,[1]Sheet1!$E$10:$X$629,AD$9,0)</f>
        <v>0</v>
      </c>
      <c r="AE479">
        <f>VLOOKUP($E479,[1]Sheet1!$E$10:$X$629,AE$9,0)</f>
        <v>288</v>
      </c>
      <c r="AF479">
        <f>VLOOKUP($E479,[1]Sheet1!$E$10:$X$629,AF$9,0)</f>
        <v>288</v>
      </c>
      <c r="AG479">
        <f>VLOOKUP($E479,[1]Sheet1!$E$10:$X$629,AG$9,0)</f>
        <v>288</v>
      </c>
      <c r="AH479">
        <f>VLOOKUP($E479,[1]Sheet1!$E$10:$X$629,AH$9,0)</f>
        <v>0</v>
      </c>
      <c r="AJ479">
        <f t="shared" si="25"/>
        <v>1296</v>
      </c>
      <c r="AK479">
        <f t="shared" si="26"/>
        <v>1584</v>
      </c>
      <c r="AL479">
        <f t="shared" si="27"/>
        <v>-288</v>
      </c>
    </row>
    <row r="480" spans="1:38" ht="39.6" x14ac:dyDescent="0.3">
      <c r="A480" s="4" t="s">
        <v>1405</v>
      </c>
      <c r="B480" s="5" t="s">
        <v>1406</v>
      </c>
      <c r="C480" s="21" t="s">
        <v>1407</v>
      </c>
      <c r="D480" s="20"/>
      <c r="E480" s="4">
        <v>1200225</v>
      </c>
      <c r="F480" s="4" t="s">
        <v>44</v>
      </c>
      <c r="G480" s="4" t="s">
        <v>45</v>
      </c>
      <c r="H480" s="4" t="s">
        <v>61</v>
      </c>
      <c r="I480" s="4" t="s">
        <v>57</v>
      </c>
      <c r="J480" s="4" t="s">
        <v>47</v>
      </c>
      <c r="K480" s="4">
        <v>7.5</v>
      </c>
      <c r="L480" s="4">
        <v>15</v>
      </c>
      <c r="M480" s="5">
        <v>288</v>
      </c>
      <c r="N480" s="5">
        <v>144</v>
      </c>
      <c r="O480" s="5">
        <v>144</v>
      </c>
      <c r="P480" s="5">
        <v>144</v>
      </c>
      <c r="Q480" s="5">
        <v>144</v>
      </c>
      <c r="R480" s="5">
        <v>144</v>
      </c>
      <c r="S480" s="5">
        <v>576</v>
      </c>
      <c r="T480" s="5">
        <v>0</v>
      </c>
      <c r="U480" s="5">
        <v>432</v>
      </c>
      <c r="V480" s="5">
        <v>288</v>
      </c>
      <c r="W480" s="5">
        <v>288</v>
      </c>
      <c r="X480" s="5">
        <v>288</v>
      </c>
      <c r="Z480" t="e">
        <f>VLOOKUP(E480,Sheet2!$A$1:$A$39,1,0)</f>
        <v>#N/A</v>
      </c>
      <c r="AA480">
        <f>VLOOKUP($E480,[1]Sheet1!$E$10:$X$629,AA$9,0)</f>
        <v>432</v>
      </c>
      <c r="AB480">
        <f>VLOOKUP($E480,[1]Sheet1!$E$10:$X$629,AB$9,0)</f>
        <v>144</v>
      </c>
      <c r="AC480">
        <f>VLOOKUP($E480,[1]Sheet1!$E$10:$X$629,AC$9,0)</f>
        <v>432</v>
      </c>
      <c r="AD480">
        <f>VLOOKUP($E480,[1]Sheet1!$E$10:$X$629,AD$9,0)</f>
        <v>0</v>
      </c>
      <c r="AE480">
        <f>VLOOKUP($E480,[1]Sheet1!$E$10:$X$629,AE$9,0)</f>
        <v>432</v>
      </c>
      <c r="AF480">
        <f>VLOOKUP($E480,[1]Sheet1!$E$10:$X$629,AF$9,0)</f>
        <v>432</v>
      </c>
      <c r="AG480">
        <f>VLOOKUP($E480,[1]Sheet1!$E$10:$X$629,AG$9,0)</f>
        <v>288</v>
      </c>
      <c r="AH480">
        <f>VLOOKUP($E480,[1]Sheet1!$E$10:$X$629,AH$9,0)</f>
        <v>144</v>
      </c>
      <c r="AJ480">
        <f t="shared" si="25"/>
        <v>1584</v>
      </c>
      <c r="AK480">
        <f t="shared" si="26"/>
        <v>2304</v>
      </c>
      <c r="AL480">
        <f t="shared" si="27"/>
        <v>-720</v>
      </c>
    </row>
    <row r="481" spans="1:38" ht="39.6" x14ac:dyDescent="0.3">
      <c r="A481" s="4" t="s">
        <v>1408</v>
      </c>
      <c r="B481" s="5" t="s">
        <v>1409</v>
      </c>
      <c r="C481" s="21" t="s">
        <v>1410</v>
      </c>
      <c r="D481" s="20"/>
      <c r="E481" s="4">
        <v>1200232</v>
      </c>
      <c r="F481" s="4" t="s">
        <v>44</v>
      </c>
      <c r="G481" s="4" t="s">
        <v>45</v>
      </c>
      <c r="H481" s="4" t="s">
        <v>61</v>
      </c>
      <c r="I481" s="4" t="s">
        <v>52</v>
      </c>
      <c r="J481" s="4" t="s">
        <v>47</v>
      </c>
      <c r="K481" s="4">
        <v>7.5</v>
      </c>
      <c r="L481" s="4">
        <v>15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Z481" t="e">
        <f>VLOOKUP(E481,Sheet2!$A$1:$A$39,1,0)</f>
        <v>#N/A</v>
      </c>
      <c r="AA481">
        <f>VLOOKUP($E481,[1]Sheet1!$E$10:$X$629,AA$9,0)</f>
        <v>0</v>
      </c>
      <c r="AB481">
        <f>VLOOKUP($E481,[1]Sheet1!$E$10:$X$629,AB$9,0)</f>
        <v>0</v>
      </c>
      <c r="AC481">
        <f>VLOOKUP($E481,[1]Sheet1!$E$10:$X$629,AC$9,0)</f>
        <v>0</v>
      </c>
      <c r="AD481">
        <f>VLOOKUP($E481,[1]Sheet1!$E$10:$X$629,AD$9,0)</f>
        <v>0</v>
      </c>
      <c r="AE481">
        <f>VLOOKUP($E481,[1]Sheet1!$E$10:$X$629,AE$9,0)</f>
        <v>0</v>
      </c>
      <c r="AF481">
        <f>VLOOKUP($E481,[1]Sheet1!$E$10:$X$629,AF$9,0)</f>
        <v>0</v>
      </c>
      <c r="AG481">
        <f>VLOOKUP($E481,[1]Sheet1!$E$10:$X$629,AG$9,0)</f>
        <v>0</v>
      </c>
      <c r="AH481">
        <f>VLOOKUP($E481,[1]Sheet1!$E$10:$X$629,AH$9,0)</f>
        <v>0</v>
      </c>
      <c r="AJ481">
        <f t="shared" si="25"/>
        <v>0</v>
      </c>
      <c r="AK481">
        <f t="shared" si="26"/>
        <v>0</v>
      </c>
      <c r="AL481">
        <f t="shared" si="27"/>
        <v>0</v>
      </c>
    </row>
    <row r="482" spans="1:38" ht="39.6" x14ac:dyDescent="0.3">
      <c r="A482" s="4" t="s">
        <v>1411</v>
      </c>
      <c r="B482" s="5" t="s">
        <v>1412</v>
      </c>
      <c r="C482" s="21" t="s">
        <v>1413</v>
      </c>
      <c r="D482" s="20"/>
      <c r="E482" s="4">
        <v>1200374</v>
      </c>
      <c r="F482" s="4" t="s">
        <v>44</v>
      </c>
      <c r="G482" s="4" t="s">
        <v>45</v>
      </c>
      <c r="H482" s="4" t="s">
        <v>56</v>
      </c>
      <c r="I482" s="4" t="s">
        <v>57</v>
      </c>
      <c r="J482" s="4" t="s">
        <v>47</v>
      </c>
      <c r="K482" s="4">
        <v>7.5</v>
      </c>
      <c r="L482" s="4">
        <v>15</v>
      </c>
      <c r="M482" s="5">
        <v>720</v>
      </c>
      <c r="N482" s="5">
        <v>1008</v>
      </c>
      <c r="O482" s="5">
        <v>1152</v>
      </c>
      <c r="P482" s="5">
        <v>720</v>
      </c>
      <c r="Q482" s="5">
        <v>1152</v>
      </c>
      <c r="R482" s="5">
        <v>1440</v>
      </c>
      <c r="S482" s="5">
        <v>1152</v>
      </c>
      <c r="T482" s="5">
        <v>864</v>
      </c>
      <c r="U482" s="5">
        <v>1440</v>
      </c>
      <c r="V482" s="5">
        <v>2304</v>
      </c>
      <c r="W482" s="5">
        <v>576</v>
      </c>
      <c r="X482" s="5">
        <v>2016</v>
      </c>
      <c r="Z482" t="e">
        <f>VLOOKUP(E482,Sheet2!$A$1:$A$39,1,0)</f>
        <v>#N/A</v>
      </c>
      <c r="AA482">
        <f>VLOOKUP($E482,[1]Sheet1!$E$10:$X$629,AA$9,0)</f>
        <v>1728</v>
      </c>
      <c r="AB482">
        <f>VLOOKUP($E482,[1]Sheet1!$E$10:$X$629,AB$9,0)</f>
        <v>1440</v>
      </c>
      <c r="AC482">
        <f>VLOOKUP($E482,[1]Sheet1!$E$10:$X$629,AC$9,0)</f>
        <v>2160</v>
      </c>
      <c r="AD482">
        <f>VLOOKUP($E482,[1]Sheet1!$E$10:$X$629,AD$9,0)</f>
        <v>2016</v>
      </c>
      <c r="AE482">
        <f>VLOOKUP($E482,[1]Sheet1!$E$10:$X$629,AE$9,0)</f>
        <v>2160</v>
      </c>
      <c r="AF482">
        <f>VLOOKUP($E482,[1]Sheet1!$E$10:$X$629,AF$9,0)</f>
        <v>2592</v>
      </c>
      <c r="AG482">
        <f>VLOOKUP($E482,[1]Sheet1!$E$10:$X$629,AG$9,0)</f>
        <v>2016</v>
      </c>
      <c r="AH482">
        <f>VLOOKUP($E482,[1]Sheet1!$E$10:$X$629,AH$9,0)</f>
        <v>1296</v>
      </c>
      <c r="AJ482">
        <f t="shared" si="25"/>
        <v>8208</v>
      </c>
      <c r="AK482">
        <f t="shared" si="26"/>
        <v>15408</v>
      </c>
      <c r="AL482">
        <f t="shared" si="27"/>
        <v>-7200</v>
      </c>
    </row>
    <row r="483" spans="1:38" ht="39.6" x14ac:dyDescent="0.3">
      <c r="A483" s="4" t="s">
        <v>1414</v>
      </c>
      <c r="B483" s="5" t="s">
        <v>1415</v>
      </c>
      <c r="C483" s="21" t="s">
        <v>1416</v>
      </c>
      <c r="D483" s="20"/>
      <c r="E483" s="4">
        <v>1200372</v>
      </c>
      <c r="F483" s="4" t="s">
        <v>44</v>
      </c>
      <c r="G483" s="4" t="s">
        <v>45</v>
      </c>
      <c r="H483" s="4" t="s">
        <v>61</v>
      </c>
      <c r="I483" s="4" t="s">
        <v>57</v>
      </c>
      <c r="J483" s="4" t="s">
        <v>47</v>
      </c>
      <c r="K483" s="4">
        <v>5</v>
      </c>
      <c r="L483" s="4">
        <v>10</v>
      </c>
      <c r="M483" s="5">
        <v>0</v>
      </c>
      <c r="N483" s="5">
        <v>72</v>
      </c>
      <c r="O483" s="5">
        <v>72</v>
      </c>
      <c r="P483" s="5">
        <v>0</v>
      </c>
      <c r="Q483" s="5">
        <v>72</v>
      </c>
      <c r="R483" s="5">
        <v>72</v>
      </c>
      <c r="S483" s="5">
        <v>0</v>
      </c>
      <c r="T483" s="5">
        <v>72</v>
      </c>
      <c r="U483" s="5">
        <v>72</v>
      </c>
      <c r="V483" s="5">
        <v>144</v>
      </c>
      <c r="W483" s="5">
        <v>72</v>
      </c>
      <c r="X483" s="5">
        <v>144</v>
      </c>
      <c r="Z483" t="e">
        <f>VLOOKUP(E483,Sheet2!$A$1:$A$39,1,0)</f>
        <v>#N/A</v>
      </c>
      <c r="AA483">
        <f>VLOOKUP($E483,[1]Sheet1!$E$10:$X$629,AA$9,0)</f>
        <v>216</v>
      </c>
      <c r="AB483">
        <f>VLOOKUP($E483,[1]Sheet1!$E$10:$X$629,AB$9,0)</f>
        <v>144</v>
      </c>
      <c r="AC483">
        <f>VLOOKUP($E483,[1]Sheet1!$E$10:$X$629,AC$9,0)</f>
        <v>216</v>
      </c>
      <c r="AD483">
        <f>VLOOKUP($E483,[1]Sheet1!$E$10:$X$629,AD$9,0)</f>
        <v>144</v>
      </c>
      <c r="AE483">
        <f>VLOOKUP($E483,[1]Sheet1!$E$10:$X$629,AE$9,0)</f>
        <v>216</v>
      </c>
      <c r="AF483">
        <f>VLOOKUP($E483,[1]Sheet1!$E$10:$X$629,AF$9,0)</f>
        <v>216</v>
      </c>
      <c r="AG483">
        <f>VLOOKUP($E483,[1]Sheet1!$E$10:$X$629,AG$9,0)</f>
        <v>216</v>
      </c>
      <c r="AH483">
        <f>VLOOKUP($E483,[1]Sheet1!$E$10:$X$629,AH$9,0)</f>
        <v>216</v>
      </c>
      <c r="AJ483">
        <f t="shared" si="25"/>
        <v>360</v>
      </c>
      <c r="AK483">
        <f t="shared" si="26"/>
        <v>1584</v>
      </c>
      <c r="AL483">
        <f t="shared" si="27"/>
        <v>-1224</v>
      </c>
    </row>
    <row r="484" spans="1:38" ht="39.6" x14ac:dyDescent="0.3">
      <c r="A484" s="4" t="s">
        <v>1417</v>
      </c>
      <c r="B484" s="5" t="s">
        <v>1418</v>
      </c>
      <c r="C484" s="21" t="s">
        <v>1419</v>
      </c>
      <c r="D484" s="20"/>
      <c r="E484" s="4">
        <v>1200373</v>
      </c>
      <c r="F484" s="4" t="s">
        <v>44</v>
      </c>
      <c r="G484" s="4" t="s">
        <v>45</v>
      </c>
      <c r="H484" s="4" t="s">
        <v>56</v>
      </c>
      <c r="I484" s="4" t="s">
        <v>57</v>
      </c>
      <c r="J484" s="4" t="s">
        <v>47</v>
      </c>
      <c r="K484" s="4">
        <v>4</v>
      </c>
      <c r="L484" s="4">
        <v>8</v>
      </c>
      <c r="M484" s="5">
        <v>288</v>
      </c>
      <c r="N484" s="5">
        <v>720</v>
      </c>
      <c r="O484" s="5">
        <v>720</v>
      </c>
      <c r="P484" s="5">
        <v>720</v>
      </c>
      <c r="Q484" s="5">
        <v>576</v>
      </c>
      <c r="R484" s="5">
        <v>720</v>
      </c>
      <c r="S484" s="5">
        <v>720</v>
      </c>
      <c r="T484" s="5">
        <v>432</v>
      </c>
      <c r="U484" s="5">
        <v>1152</v>
      </c>
      <c r="V484" s="5">
        <v>1440</v>
      </c>
      <c r="W484" s="5">
        <v>720</v>
      </c>
      <c r="X484" s="5">
        <v>1296</v>
      </c>
      <c r="Z484" t="e">
        <f>VLOOKUP(E484,Sheet2!$A$1:$A$39,1,0)</f>
        <v>#N/A</v>
      </c>
      <c r="AA484">
        <f>VLOOKUP($E484,[1]Sheet1!$E$10:$X$629,AA$9,0)</f>
        <v>1584</v>
      </c>
      <c r="AB484">
        <f>VLOOKUP($E484,[1]Sheet1!$E$10:$X$629,AB$9,0)</f>
        <v>1440</v>
      </c>
      <c r="AC484">
        <f>VLOOKUP($E484,[1]Sheet1!$E$10:$X$629,AC$9,0)</f>
        <v>1728</v>
      </c>
      <c r="AD484">
        <f>VLOOKUP($E484,[1]Sheet1!$E$10:$X$629,AD$9,0)</f>
        <v>1728</v>
      </c>
      <c r="AE484">
        <f>VLOOKUP($E484,[1]Sheet1!$E$10:$X$629,AE$9,0)</f>
        <v>1440</v>
      </c>
      <c r="AF484">
        <f>VLOOKUP($E484,[1]Sheet1!$E$10:$X$629,AF$9,0)</f>
        <v>1728</v>
      </c>
      <c r="AG484">
        <f>VLOOKUP($E484,[1]Sheet1!$E$10:$X$629,AG$9,0)</f>
        <v>1728</v>
      </c>
      <c r="AH484">
        <f>VLOOKUP($E484,[1]Sheet1!$E$10:$X$629,AH$9,0)</f>
        <v>720</v>
      </c>
      <c r="AJ484">
        <f t="shared" si="25"/>
        <v>4896</v>
      </c>
      <c r="AK484">
        <f t="shared" si="26"/>
        <v>12096</v>
      </c>
      <c r="AL484">
        <f t="shared" si="27"/>
        <v>-7200</v>
      </c>
    </row>
    <row r="485" spans="1:38" ht="39.6" x14ac:dyDescent="0.3">
      <c r="A485" s="4" t="s">
        <v>1420</v>
      </c>
      <c r="B485" s="5" t="s">
        <v>1421</v>
      </c>
      <c r="C485" s="21" t="s">
        <v>1422</v>
      </c>
      <c r="D485" s="20"/>
      <c r="E485" s="4">
        <v>1200364</v>
      </c>
      <c r="F485" s="4" t="s">
        <v>44</v>
      </c>
      <c r="G485" s="4" t="s">
        <v>45</v>
      </c>
      <c r="H485" s="4" t="s">
        <v>269</v>
      </c>
      <c r="I485" s="4" t="s">
        <v>57</v>
      </c>
      <c r="J485" s="4" t="s">
        <v>47</v>
      </c>
      <c r="K485" s="4">
        <v>12.5</v>
      </c>
      <c r="L485" s="4">
        <v>25</v>
      </c>
      <c r="M485" s="5">
        <v>0</v>
      </c>
      <c r="N485" s="5">
        <v>360</v>
      </c>
      <c r="O485" s="5">
        <v>648</v>
      </c>
      <c r="P485" s="5">
        <v>504</v>
      </c>
      <c r="Q485" s="5">
        <v>648</v>
      </c>
      <c r="R485" s="5">
        <v>792</v>
      </c>
      <c r="S485" s="5">
        <v>576</v>
      </c>
      <c r="T485" s="5">
        <v>648</v>
      </c>
      <c r="U485" s="5">
        <v>936</v>
      </c>
      <c r="V485" s="5">
        <v>1008</v>
      </c>
      <c r="W485" s="5">
        <v>792</v>
      </c>
      <c r="X485" s="5">
        <v>936</v>
      </c>
      <c r="Z485" t="e">
        <f>VLOOKUP(E485,Sheet2!$A$1:$A$39,1,0)</f>
        <v>#N/A</v>
      </c>
      <c r="AA485">
        <f>VLOOKUP($E485,[1]Sheet1!$E$10:$X$629,AA$9,0)</f>
        <v>792</v>
      </c>
      <c r="AB485">
        <f>VLOOKUP($E485,[1]Sheet1!$E$10:$X$629,AB$9,0)</f>
        <v>720</v>
      </c>
      <c r="AC485">
        <f>VLOOKUP($E485,[1]Sheet1!$E$10:$X$629,AC$9,0)</f>
        <v>1152</v>
      </c>
      <c r="AD485">
        <f>VLOOKUP($E485,[1]Sheet1!$E$10:$X$629,AD$9,0)</f>
        <v>792</v>
      </c>
      <c r="AE485">
        <f>VLOOKUP($E485,[1]Sheet1!$E$10:$X$629,AE$9,0)</f>
        <v>864</v>
      </c>
      <c r="AF485">
        <f>VLOOKUP($E485,[1]Sheet1!$E$10:$X$629,AF$9,0)</f>
        <v>1080</v>
      </c>
      <c r="AG485">
        <f>VLOOKUP($E485,[1]Sheet1!$E$10:$X$629,AG$9,0)</f>
        <v>792</v>
      </c>
      <c r="AH485">
        <f>VLOOKUP($E485,[1]Sheet1!$E$10:$X$629,AH$9,0)</f>
        <v>432</v>
      </c>
      <c r="AJ485">
        <f t="shared" si="25"/>
        <v>4176</v>
      </c>
      <c r="AK485">
        <f t="shared" si="26"/>
        <v>6624</v>
      </c>
      <c r="AL485">
        <f t="shared" si="27"/>
        <v>-2448</v>
      </c>
    </row>
    <row r="486" spans="1:38" ht="39.6" x14ac:dyDescent="0.3">
      <c r="A486" s="4" t="s">
        <v>1423</v>
      </c>
      <c r="B486" s="5" t="s">
        <v>1424</v>
      </c>
      <c r="C486" s="21" t="s">
        <v>1425</v>
      </c>
      <c r="D486" s="20"/>
      <c r="E486" s="4">
        <v>1200241</v>
      </c>
      <c r="F486" s="4" t="s">
        <v>44</v>
      </c>
      <c r="G486" s="4" t="s">
        <v>45</v>
      </c>
      <c r="H486" s="4" t="s">
        <v>269</v>
      </c>
      <c r="I486" s="4" t="s">
        <v>57</v>
      </c>
      <c r="J486" s="4" t="s">
        <v>47</v>
      </c>
      <c r="K486" s="4">
        <v>12.5</v>
      </c>
      <c r="L486" s="4">
        <v>25</v>
      </c>
      <c r="M486" s="5">
        <v>288</v>
      </c>
      <c r="N486" s="5">
        <v>864</v>
      </c>
      <c r="O486" s="5">
        <v>1368</v>
      </c>
      <c r="P486" s="5">
        <v>1080</v>
      </c>
      <c r="Q486" s="5">
        <v>1224</v>
      </c>
      <c r="R486" s="5">
        <v>1584</v>
      </c>
      <c r="S486" s="5">
        <v>1224</v>
      </c>
      <c r="T486" s="5">
        <v>1152</v>
      </c>
      <c r="U486" s="5">
        <v>1512</v>
      </c>
      <c r="V486" s="5">
        <v>1656</v>
      </c>
      <c r="W486" s="5">
        <v>1296</v>
      </c>
      <c r="X486" s="5">
        <v>1656</v>
      </c>
      <c r="Z486" t="e">
        <f>VLOOKUP(E486,Sheet2!$A$1:$A$39,1,0)</f>
        <v>#N/A</v>
      </c>
      <c r="AA486">
        <f>VLOOKUP($E486,[1]Sheet1!$E$10:$X$629,AA$9,0)</f>
        <v>1224</v>
      </c>
      <c r="AB486">
        <f>VLOOKUP($E486,[1]Sheet1!$E$10:$X$629,AB$9,0)</f>
        <v>1152</v>
      </c>
      <c r="AC486">
        <f>VLOOKUP($E486,[1]Sheet1!$E$10:$X$629,AC$9,0)</f>
        <v>1584</v>
      </c>
      <c r="AD486">
        <f>VLOOKUP($E486,[1]Sheet1!$E$10:$X$629,AD$9,0)</f>
        <v>1224</v>
      </c>
      <c r="AE486">
        <f>VLOOKUP($E486,[1]Sheet1!$E$10:$X$629,AE$9,0)</f>
        <v>1152</v>
      </c>
      <c r="AF486">
        <f>VLOOKUP($E486,[1]Sheet1!$E$10:$X$629,AF$9,0)</f>
        <v>1584</v>
      </c>
      <c r="AG486">
        <f>VLOOKUP($E486,[1]Sheet1!$E$10:$X$629,AG$9,0)</f>
        <v>1368</v>
      </c>
      <c r="AH486">
        <f>VLOOKUP($E486,[1]Sheet1!$E$10:$X$629,AH$9,0)</f>
        <v>504</v>
      </c>
      <c r="AJ486">
        <f t="shared" si="25"/>
        <v>8784</v>
      </c>
      <c r="AK486">
        <f t="shared" si="26"/>
        <v>9792</v>
      </c>
      <c r="AL486">
        <f t="shared" si="27"/>
        <v>-1008</v>
      </c>
    </row>
    <row r="487" spans="1:38" ht="39.6" x14ac:dyDescent="0.3">
      <c r="A487" s="4" t="s">
        <v>1426</v>
      </c>
      <c r="B487" s="5" t="s">
        <v>1427</v>
      </c>
      <c r="C487" s="21" t="s">
        <v>1428</v>
      </c>
      <c r="D487" s="20"/>
      <c r="E487" s="4">
        <v>1200240</v>
      </c>
      <c r="F487" s="4" t="s">
        <v>44</v>
      </c>
      <c r="G487" s="4" t="s">
        <v>45</v>
      </c>
      <c r="H487" s="4" t="s">
        <v>269</v>
      </c>
      <c r="I487" s="4" t="s">
        <v>57</v>
      </c>
      <c r="J487" s="4" t="s">
        <v>47</v>
      </c>
      <c r="K487" s="4">
        <v>12.5</v>
      </c>
      <c r="L487" s="4">
        <v>25</v>
      </c>
      <c r="M487" s="5">
        <v>0</v>
      </c>
      <c r="N487" s="5">
        <v>360</v>
      </c>
      <c r="O487" s="5">
        <v>504</v>
      </c>
      <c r="P487" s="5">
        <v>648</v>
      </c>
      <c r="Q487" s="5">
        <v>504</v>
      </c>
      <c r="R487" s="5">
        <v>936</v>
      </c>
      <c r="S487" s="5">
        <v>576</v>
      </c>
      <c r="T487" s="5">
        <v>576</v>
      </c>
      <c r="U487" s="5">
        <v>864</v>
      </c>
      <c r="V487" s="5">
        <v>864</v>
      </c>
      <c r="W487" s="5">
        <v>648</v>
      </c>
      <c r="X487" s="5">
        <v>864</v>
      </c>
      <c r="Z487" t="e">
        <f>VLOOKUP(E487,Sheet2!$A$1:$A$39,1,0)</f>
        <v>#N/A</v>
      </c>
      <c r="AA487">
        <f>VLOOKUP($E487,[1]Sheet1!$E$10:$X$629,AA$9,0)</f>
        <v>792</v>
      </c>
      <c r="AB487">
        <f>VLOOKUP($E487,[1]Sheet1!$E$10:$X$629,AB$9,0)</f>
        <v>648</v>
      </c>
      <c r="AC487">
        <f>VLOOKUP($E487,[1]Sheet1!$E$10:$X$629,AC$9,0)</f>
        <v>1008</v>
      </c>
      <c r="AD487">
        <f>VLOOKUP($E487,[1]Sheet1!$E$10:$X$629,AD$9,0)</f>
        <v>792</v>
      </c>
      <c r="AE487">
        <f>VLOOKUP($E487,[1]Sheet1!$E$10:$X$629,AE$9,0)</f>
        <v>792</v>
      </c>
      <c r="AF487">
        <f>VLOOKUP($E487,[1]Sheet1!$E$10:$X$629,AF$9,0)</f>
        <v>1008</v>
      </c>
      <c r="AG487">
        <f>VLOOKUP($E487,[1]Sheet1!$E$10:$X$629,AG$9,0)</f>
        <v>792</v>
      </c>
      <c r="AH487">
        <f>VLOOKUP($E487,[1]Sheet1!$E$10:$X$629,AH$9,0)</f>
        <v>432</v>
      </c>
      <c r="AJ487">
        <f t="shared" si="25"/>
        <v>4104</v>
      </c>
      <c r="AK487">
        <f t="shared" si="26"/>
        <v>6264</v>
      </c>
      <c r="AL487">
        <f t="shared" si="27"/>
        <v>-2160</v>
      </c>
    </row>
    <row r="488" spans="1:38" ht="39.6" x14ac:dyDescent="0.3">
      <c r="A488" s="4" t="s">
        <v>1429</v>
      </c>
      <c r="B488" s="5" t="s">
        <v>1430</v>
      </c>
      <c r="C488" s="21" t="s">
        <v>1431</v>
      </c>
      <c r="D488" s="20"/>
      <c r="E488" s="4">
        <v>1200242</v>
      </c>
      <c r="F488" s="4" t="s">
        <v>44</v>
      </c>
      <c r="G488" s="4" t="s">
        <v>45</v>
      </c>
      <c r="H488" s="4" t="s">
        <v>61</v>
      </c>
      <c r="I488" s="4" t="s">
        <v>57</v>
      </c>
      <c r="J488" s="4" t="s">
        <v>47</v>
      </c>
      <c r="K488" s="4">
        <v>12.5</v>
      </c>
      <c r="L488" s="4">
        <v>25</v>
      </c>
      <c r="M488" s="5">
        <v>0</v>
      </c>
      <c r="N488" s="5">
        <v>144</v>
      </c>
      <c r="O488" s="5">
        <v>216</v>
      </c>
      <c r="P488" s="5">
        <v>288</v>
      </c>
      <c r="Q488" s="5">
        <v>504</v>
      </c>
      <c r="R488" s="5">
        <v>576</v>
      </c>
      <c r="S488" s="5">
        <v>288</v>
      </c>
      <c r="T488" s="5">
        <v>504</v>
      </c>
      <c r="U488" s="5">
        <v>504</v>
      </c>
      <c r="V488" s="5">
        <v>504</v>
      </c>
      <c r="W488" s="5">
        <v>504</v>
      </c>
      <c r="X488" s="5">
        <v>576</v>
      </c>
      <c r="Z488" t="e">
        <f>VLOOKUP(E488,Sheet2!$A$1:$A$39,1,0)</f>
        <v>#N/A</v>
      </c>
      <c r="AA488">
        <f>VLOOKUP($E488,[1]Sheet1!$E$10:$X$629,AA$9,0)</f>
        <v>504</v>
      </c>
      <c r="AB488">
        <f>VLOOKUP($E488,[1]Sheet1!$E$10:$X$629,AB$9,0)</f>
        <v>504</v>
      </c>
      <c r="AC488">
        <f>VLOOKUP($E488,[1]Sheet1!$E$10:$X$629,AC$9,0)</f>
        <v>720</v>
      </c>
      <c r="AD488">
        <f>VLOOKUP($E488,[1]Sheet1!$E$10:$X$629,AD$9,0)</f>
        <v>504</v>
      </c>
      <c r="AE488">
        <f>VLOOKUP($E488,[1]Sheet1!$E$10:$X$629,AE$9,0)</f>
        <v>504</v>
      </c>
      <c r="AF488">
        <f>VLOOKUP($E488,[1]Sheet1!$E$10:$X$629,AF$9,0)</f>
        <v>648</v>
      </c>
      <c r="AG488">
        <f>VLOOKUP($E488,[1]Sheet1!$E$10:$X$629,AG$9,0)</f>
        <v>576</v>
      </c>
      <c r="AH488">
        <f>VLOOKUP($E488,[1]Sheet1!$E$10:$X$629,AH$9,0)</f>
        <v>216</v>
      </c>
      <c r="AJ488">
        <f t="shared" si="25"/>
        <v>2520</v>
      </c>
      <c r="AK488">
        <f t="shared" si="26"/>
        <v>4176</v>
      </c>
      <c r="AL488">
        <f t="shared" si="27"/>
        <v>-1656</v>
      </c>
    </row>
    <row r="489" spans="1:38" ht="39.6" x14ac:dyDescent="0.3">
      <c r="A489" s="4" t="s">
        <v>1432</v>
      </c>
      <c r="B489" s="5" t="s">
        <v>1433</v>
      </c>
      <c r="C489" s="21" t="s">
        <v>1434</v>
      </c>
      <c r="D489" s="20"/>
      <c r="E489" s="4">
        <v>1200248</v>
      </c>
      <c r="F489" s="4" t="s">
        <v>44</v>
      </c>
      <c r="G489" s="4" t="s">
        <v>45</v>
      </c>
      <c r="H489" s="4" t="s">
        <v>56</v>
      </c>
      <c r="I489" s="4" t="s">
        <v>57</v>
      </c>
      <c r="J489" s="4" t="s">
        <v>47</v>
      </c>
      <c r="K489" s="4">
        <v>12.5</v>
      </c>
      <c r="L489" s="4">
        <v>25</v>
      </c>
      <c r="M489" s="5">
        <v>72</v>
      </c>
      <c r="N489" s="5">
        <v>504</v>
      </c>
      <c r="O489" s="5">
        <v>792</v>
      </c>
      <c r="P489" s="5">
        <v>792</v>
      </c>
      <c r="Q489" s="5">
        <v>720</v>
      </c>
      <c r="R489" s="5">
        <v>1008</v>
      </c>
      <c r="S489" s="5">
        <v>792</v>
      </c>
      <c r="T489" s="5">
        <v>792</v>
      </c>
      <c r="U489" s="5">
        <v>1008</v>
      </c>
      <c r="V489" s="5">
        <v>1152</v>
      </c>
      <c r="W489" s="5">
        <v>936</v>
      </c>
      <c r="X489" s="5">
        <v>1152</v>
      </c>
      <c r="Z489" t="e">
        <f>VLOOKUP(E489,Sheet2!$A$1:$A$39,1,0)</f>
        <v>#N/A</v>
      </c>
      <c r="AA489">
        <f>VLOOKUP($E489,[1]Sheet1!$E$10:$X$629,AA$9,0)</f>
        <v>936</v>
      </c>
      <c r="AB489">
        <f>VLOOKUP($E489,[1]Sheet1!$E$10:$X$629,AB$9,0)</f>
        <v>864</v>
      </c>
      <c r="AC489">
        <f>VLOOKUP($E489,[1]Sheet1!$E$10:$X$629,AC$9,0)</f>
        <v>1152</v>
      </c>
      <c r="AD489">
        <f>VLOOKUP($E489,[1]Sheet1!$E$10:$X$629,AD$9,0)</f>
        <v>792</v>
      </c>
      <c r="AE489">
        <f>VLOOKUP($E489,[1]Sheet1!$E$10:$X$629,AE$9,0)</f>
        <v>936</v>
      </c>
      <c r="AF489">
        <f>VLOOKUP($E489,[1]Sheet1!$E$10:$X$629,AF$9,0)</f>
        <v>1224</v>
      </c>
      <c r="AG489">
        <f>VLOOKUP($E489,[1]Sheet1!$E$10:$X$629,AG$9,0)</f>
        <v>864</v>
      </c>
      <c r="AH489">
        <f>VLOOKUP($E489,[1]Sheet1!$E$10:$X$629,AH$9,0)</f>
        <v>504</v>
      </c>
      <c r="AJ489">
        <f t="shared" si="25"/>
        <v>5472</v>
      </c>
      <c r="AK489">
        <f t="shared" si="26"/>
        <v>7272</v>
      </c>
      <c r="AL489">
        <f t="shared" si="27"/>
        <v>-1800</v>
      </c>
    </row>
    <row r="490" spans="1:38" ht="39.6" x14ac:dyDescent="0.3">
      <c r="A490" s="4" t="s">
        <v>1435</v>
      </c>
      <c r="B490" s="5" t="s">
        <v>1436</v>
      </c>
      <c r="C490" s="21" t="s">
        <v>1437</v>
      </c>
      <c r="D490" s="20"/>
      <c r="E490" s="4">
        <v>1200244</v>
      </c>
      <c r="F490" s="4" t="s">
        <v>44</v>
      </c>
      <c r="G490" s="4" t="s">
        <v>45</v>
      </c>
      <c r="H490" s="4" t="s">
        <v>56</v>
      </c>
      <c r="I490" s="4" t="s">
        <v>57</v>
      </c>
      <c r="J490" s="4" t="s">
        <v>47</v>
      </c>
      <c r="K490" s="4">
        <v>12.5</v>
      </c>
      <c r="L490" s="4">
        <v>25</v>
      </c>
      <c r="M490" s="5">
        <v>72</v>
      </c>
      <c r="N490" s="5">
        <v>288</v>
      </c>
      <c r="O490" s="5">
        <v>576</v>
      </c>
      <c r="P490" s="5">
        <v>576</v>
      </c>
      <c r="Q490" s="5">
        <v>720</v>
      </c>
      <c r="R490" s="5">
        <v>864</v>
      </c>
      <c r="S490" s="5">
        <v>720</v>
      </c>
      <c r="T490" s="5">
        <v>648</v>
      </c>
      <c r="U490" s="5">
        <v>936</v>
      </c>
      <c r="V490" s="5">
        <v>864</v>
      </c>
      <c r="W490" s="5">
        <v>720</v>
      </c>
      <c r="X490" s="5">
        <v>936</v>
      </c>
      <c r="Z490" t="e">
        <f>VLOOKUP(E490,Sheet2!$A$1:$A$39,1,0)</f>
        <v>#N/A</v>
      </c>
      <c r="AA490">
        <f>VLOOKUP($E490,[1]Sheet1!$E$10:$X$629,AA$9,0)</f>
        <v>576</v>
      </c>
      <c r="AB490">
        <f>VLOOKUP($E490,[1]Sheet1!$E$10:$X$629,AB$9,0)</f>
        <v>648</v>
      </c>
      <c r="AC490">
        <f>VLOOKUP($E490,[1]Sheet1!$E$10:$X$629,AC$9,0)</f>
        <v>720</v>
      </c>
      <c r="AD490">
        <f>VLOOKUP($E490,[1]Sheet1!$E$10:$X$629,AD$9,0)</f>
        <v>648</v>
      </c>
      <c r="AE490">
        <f>VLOOKUP($E490,[1]Sheet1!$E$10:$X$629,AE$9,0)</f>
        <v>720</v>
      </c>
      <c r="AF490">
        <f>VLOOKUP($E490,[1]Sheet1!$E$10:$X$629,AF$9,0)</f>
        <v>936</v>
      </c>
      <c r="AG490">
        <f>VLOOKUP($E490,[1]Sheet1!$E$10:$X$629,AG$9,0)</f>
        <v>792</v>
      </c>
      <c r="AH490">
        <f>VLOOKUP($E490,[1]Sheet1!$E$10:$X$629,AH$9,0)</f>
        <v>360</v>
      </c>
      <c r="AJ490">
        <f t="shared" si="25"/>
        <v>4464</v>
      </c>
      <c r="AK490">
        <f t="shared" si="26"/>
        <v>5400</v>
      </c>
      <c r="AL490">
        <f t="shared" si="27"/>
        <v>-936</v>
      </c>
    </row>
    <row r="491" spans="1:38" ht="39.6" x14ac:dyDescent="0.3">
      <c r="A491" s="4" t="s">
        <v>1438</v>
      </c>
      <c r="B491" s="5" t="s">
        <v>1439</v>
      </c>
      <c r="C491" s="21" t="s">
        <v>1440</v>
      </c>
      <c r="D491" s="20"/>
      <c r="E491" s="4">
        <v>1200239</v>
      </c>
      <c r="F491" s="4" t="s">
        <v>44</v>
      </c>
      <c r="G491" s="4" t="s">
        <v>45</v>
      </c>
      <c r="H491" s="4" t="s">
        <v>269</v>
      </c>
      <c r="I491" s="4" t="s">
        <v>57</v>
      </c>
      <c r="J491" s="4" t="s">
        <v>47</v>
      </c>
      <c r="K491" s="4">
        <v>12.5</v>
      </c>
      <c r="L491" s="4">
        <v>25</v>
      </c>
      <c r="M491" s="5">
        <v>288</v>
      </c>
      <c r="N491" s="5">
        <v>1224</v>
      </c>
      <c r="O491" s="5">
        <v>1800</v>
      </c>
      <c r="P491" s="5">
        <v>1368</v>
      </c>
      <c r="Q491" s="5">
        <v>1440</v>
      </c>
      <c r="R491" s="5">
        <v>2016</v>
      </c>
      <c r="S491" s="5">
        <v>1728</v>
      </c>
      <c r="T491" s="5">
        <v>1440</v>
      </c>
      <c r="U491" s="5">
        <v>2088</v>
      </c>
      <c r="V491" s="5">
        <v>2232</v>
      </c>
      <c r="W491" s="5">
        <v>1584</v>
      </c>
      <c r="X491" s="5">
        <v>2016</v>
      </c>
      <c r="Z491" t="e">
        <f>VLOOKUP(E491,Sheet2!$A$1:$A$39,1,0)</f>
        <v>#N/A</v>
      </c>
      <c r="AA491">
        <f>VLOOKUP($E491,[1]Sheet1!$E$10:$X$629,AA$9,0)</f>
        <v>1656</v>
      </c>
      <c r="AB491">
        <f>VLOOKUP($E491,[1]Sheet1!$E$10:$X$629,AB$9,0)</f>
        <v>1656</v>
      </c>
      <c r="AC491">
        <f>VLOOKUP($E491,[1]Sheet1!$E$10:$X$629,AC$9,0)</f>
        <v>2016</v>
      </c>
      <c r="AD491">
        <f>VLOOKUP($E491,[1]Sheet1!$E$10:$X$629,AD$9,0)</f>
        <v>1728</v>
      </c>
      <c r="AE491">
        <f>VLOOKUP($E491,[1]Sheet1!$E$10:$X$629,AE$9,0)</f>
        <v>1656</v>
      </c>
      <c r="AF491">
        <f>VLOOKUP($E491,[1]Sheet1!$E$10:$X$629,AF$9,0)</f>
        <v>2016</v>
      </c>
      <c r="AG491">
        <f>VLOOKUP($E491,[1]Sheet1!$E$10:$X$629,AG$9,0)</f>
        <v>1944</v>
      </c>
      <c r="AH491">
        <f>VLOOKUP($E491,[1]Sheet1!$E$10:$X$629,AH$9,0)</f>
        <v>720</v>
      </c>
      <c r="AJ491">
        <f t="shared" si="25"/>
        <v>11304</v>
      </c>
      <c r="AK491">
        <f t="shared" si="26"/>
        <v>13392</v>
      </c>
      <c r="AL491">
        <f t="shared" si="27"/>
        <v>-2088</v>
      </c>
    </row>
    <row r="492" spans="1:38" ht="39.6" x14ac:dyDescent="0.3">
      <c r="A492" s="4" t="s">
        <v>1441</v>
      </c>
      <c r="B492" s="5" t="s">
        <v>1442</v>
      </c>
      <c r="C492" s="21" t="s">
        <v>1443</v>
      </c>
      <c r="D492" s="20"/>
      <c r="E492" s="4">
        <v>1200243</v>
      </c>
      <c r="F492" s="4" t="s">
        <v>44</v>
      </c>
      <c r="G492" s="4" t="s">
        <v>45</v>
      </c>
      <c r="H492" s="4" t="s">
        <v>269</v>
      </c>
      <c r="I492" s="4" t="s">
        <v>57</v>
      </c>
      <c r="J492" s="4" t="s">
        <v>47</v>
      </c>
      <c r="K492" s="4">
        <v>12.5</v>
      </c>
      <c r="L492" s="4">
        <v>25</v>
      </c>
      <c r="M492" s="5">
        <v>144</v>
      </c>
      <c r="N492" s="5">
        <v>504</v>
      </c>
      <c r="O492" s="5">
        <v>720</v>
      </c>
      <c r="P492" s="5">
        <v>792</v>
      </c>
      <c r="Q492" s="5">
        <v>792</v>
      </c>
      <c r="R492" s="5">
        <v>864</v>
      </c>
      <c r="S492" s="5">
        <v>792</v>
      </c>
      <c r="T492" s="5">
        <v>864</v>
      </c>
      <c r="U492" s="5">
        <v>936</v>
      </c>
      <c r="V492" s="5">
        <v>1008</v>
      </c>
      <c r="W492" s="5">
        <v>792</v>
      </c>
      <c r="X492" s="5">
        <v>936</v>
      </c>
      <c r="Z492" t="e">
        <f>VLOOKUP(E492,Sheet2!$A$1:$A$39,1,0)</f>
        <v>#N/A</v>
      </c>
      <c r="AA492">
        <f>VLOOKUP($E492,[1]Sheet1!$E$10:$X$629,AA$9,0)</f>
        <v>936</v>
      </c>
      <c r="AB492">
        <f>VLOOKUP($E492,[1]Sheet1!$E$10:$X$629,AB$9,0)</f>
        <v>936</v>
      </c>
      <c r="AC492">
        <f>VLOOKUP($E492,[1]Sheet1!$E$10:$X$629,AC$9,0)</f>
        <v>1224</v>
      </c>
      <c r="AD492">
        <f>VLOOKUP($E492,[1]Sheet1!$E$10:$X$629,AD$9,0)</f>
        <v>792</v>
      </c>
      <c r="AE492">
        <f>VLOOKUP($E492,[1]Sheet1!$E$10:$X$629,AE$9,0)</f>
        <v>1080</v>
      </c>
      <c r="AF492">
        <f>VLOOKUP($E492,[1]Sheet1!$E$10:$X$629,AF$9,0)</f>
        <v>1152</v>
      </c>
      <c r="AG492">
        <f>VLOOKUP($E492,[1]Sheet1!$E$10:$X$629,AG$9,0)</f>
        <v>1080</v>
      </c>
      <c r="AH492">
        <f>VLOOKUP($E492,[1]Sheet1!$E$10:$X$629,AH$9,0)</f>
        <v>432</v>
      </c>
      <c r="AJ492">
        <f t="shared" si="25"/>
        <v>5472</v>
      </c>
      <c r="AK492">
        <f t="shared" si="26"/>
        <v>7632</v>
      </c>
      <c r="AL492">
        <f t="shared" si="27"/>
        <v>-2160</v>
      </c>
    </row>
    <row r="493" spans="1:38" ht="39.6" x14ac:dyDescent="0.3">
      <c r="A493" s="4" t="s">
        <v>1444</v>
      </c>
      <c r="B493" s="5" t="s">
        <v>1445</v>
      </c>
      <c r="C493" s="21" t="s">
        <v>1446</v>
      </c>
      <c r="D493" s="20"/>
      <c r="E493" s="4">
        <v>1200375</v>
      </c>
      <c r="F493" s="4" t="s">
        <v>44</v>
      </c>
      <c r="G493" s="4" t="s">
        <v>45</v>
      </c>
      <c r="H493" s="4" t="s">
        <v>61</v>
      </c>
      <c r="I493" s="4" t="s">
        <v>52</v>
      </c>
      <c r="J493" s="4" t="s">
        <v>47</v>
      </c>
      <c r="K493" s="4">
        <v>6.5</v>
      </c>
      <c r="L493" s="4">
        <v>13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Z493" t="e">
        <f>VLOOKUP(E493,Sheet2!$A$1:$A$39,1,0)</f>
        <v>#N/A</v>
      </c>
      <c r="AA493">
        <f>VLOOKUP($E493,[1]Sheet1!$E$10:$X$629,AA$9,0)</f>
        <v>0</v>
      </c>
      <c r="AB493">
        <f>VLOOKUP($E493,[1]Sheet1!$E$10:$X$629,AB$9,0)</f>
        <v>0</v>
      </c>
      <c r="AC493">
        <f>VLOOKUP($E493,[1]Sheet1!$E$10:$X$629,AC$9,0)</f>
        <v>0</v>
      </c>
      <c r="AD493">
        <f>VLOOKUP($E493,[1]Sheet1!$E$10:$X$629,AD$9,0)</f>
        <v>0</v>
      </c>
      <c r="AE493">
        <f>VLOOKUP($E493,[1]Sheet1!$E$10:$X$629,AE$9,0)</f>
        <v>0</v>
      </c>
      <c r="AF493">
        <f>VLOOKUP($E493,[1]Sheet1!$E$10:$X$629,AF$9,0)</f>
        <v>0</v>
      </c>
      <c r="AG493">
        <f>VLOOKUP($E493,[1]Sheet1!$E$10:$X$629,AG$9,0)</f>
        <v>0</v>
      </c>
      <c r="AH493">
        <f>VLOOKUP($E493,[1]Sheet1!$E$10:$X$629,AH$9,0)</f>
        <v>0</v>
      </c>
      <c r="AJ493">
        <f t="shared" si="25"/>
        <v>0</v>
      </c>
      <c r="AK493">
        <f t="shared" si="26"/>
        <v>0</v>
      </c>
      <c r="AL493">
        <f t="shared" si="27"/>
        <v>0</v>
      </c>
    </row>
    <row r="494" spans="1:38" ht="39.6" x14ac:dyDescent="0.3">
      <c r="A494" s="4" t="s">
        <v>1447</v>
      </c>
      <c r="B494" s="5" t="s">
        <v>1448</v>
      </c>
      <c r="C494" s="21" t="s">
        <v>1449</v>
      </c>
      <c r="D494" s="20"/>
      <c r="E494" s="4">
        <v>1200376</v>
      </c>
      <c r="F494" s="4" t="s">
        <v>44</v>
      </c>
      <c r="G494" s="4" t="s">
        <v>45</v>
      </c>
      <c r="H494" s="4" t="s">
        <v>61</v>
      </c>
      <c r="I494" s="4" t="s">
        <v>52</v>
      </c>
      <c r="J494" s="4" t="s">
        <v>47</v>
      </c>
      <c r="K494" s="4">
        <v>7</v>
      </c>
      <c r="L494" s="4">
        <v>14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Z494" t="e">
        <f>VLOOKUP(E494,Sheet2!$A$1:$A$39,1,0)</f>
        <v>#N/A</v>
      </c>
      <c r="AA494">
        <f>VLOOKUP($E494,[1]Sheet1!$E$10:$X$629,AA$9,0)</f>
        <v>0</v>
      </c>
      <c r="AB494">
        <f>VLOOKUP($E494,[1]Sheet1!$E$10:$X$629,AB$9,0)</f>
        <v>0</v>
      </c>
      <c r="AC494">
        <f>VLOOKUP($E494,[1]Sheet1!$E$10:$X$629,AC$9,0)</f>
        <v>0</v>
      </c>
      <c r="AD494">
        <f>VLOOKUP($E494,[1]Sheet1!$E$10:$X$629,AD$9,0)</f>
        <v>0</v>
      </c>
      <c r="AE494">
        <f>VLOOKUP($E494,[1]Sheet1!$E$10:$X$629,AE$9,0)</f>
        <v>0</v>
      </c>
      <c r="AF494">
        <f>VLOOKUP($E494,[1]Sheet1!$E$10:$X$629,AF$9,0)</f>
        <v>0</v>
      </c>
      <c r="AG494">
        <f>VLOOKUP($E494,[1]Sheet1!$E$10:$X$629,AG$9,0)</f>
        <v>0</v>
      </c>
      <c r="AH494">
        <f>VLOOKUP($E494,[1]Sheet1!$E$10:$X$629,AH$9,0)</f>
        <v>0</v>
      </c>
      <c r="AJ494">
        <f t="shared" si="25"/>
        <v>0</v>
      </c>
      <c r="AK494">
        <f t="shared" si="26"/>
        <v>0</v>
      </c>
      <c r="AL494">
        <f t="shared" si="27"/>
        <v>0</v>
      </c>
    </row>
    <row r="495" spans="1:38" ht="39.6" x14ac:dyDescent="0.3">
      <c r="A495" s="4" t="s">
        <v>1450</v>
      </c>
      <c r="B495" s="5" t="s">
        <v>1451</v>
      </c>
      <c r="C495" s="21" t="s">
        <v>1452</v>
      </c>
      <c r="D495" s="20"/>
      <c r="E495" s="4">
        <v>1200377</v>
      </c>
      <c r="F495" s="4" t="s">
        <v>44</v>
      </c>
      <c r="G495" s="4" t="s">
        <v>45</v>
      </c>
      <c r="H495" s="4" t="s">
        <v>61</v>
      </c>
      <c r="I495" s="4" t="s">
        <v>52</v>
      </c>
      <c r="J495" s="4" t="s">
        <v>47</v>
      </c>
      <c r="K495" s="4">
        <v>7</v>
      </c>
      <c r="L495" s="4">
        <v>14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Z495" t="e">
        <f>VLOOKUP(E495,Sheet2!$A$1:$A$39,1,0)</f>
        <v>#N/A</v>
      </c>
      <c r="AA495">
        <f>VLOOKUP($E495,[1]Sheet1!$E$10:$X$629,AA$9,0)</f>
        <v>0</v>
      </c>
      <c r="AB495">
        <f>VLOOKUP($E495,[1]Sheet1!$E$10:$X$629,AB$9,0)</f>
        <v>0</v>
      </c>
      <c r="AC495">
        <f>VLOOKUP($E495,[1]Sheet1!$E$10:$X$629,AC$9,0)</f>
        <v>0</v>
      </c>
      <c r="AD495">
        <f>VLOOKUP($E495,[1]Sheet1!$E$10:$X$629,AD$9,0)</f>
        <v>0</v>
      </c>
      <c r="AE495">
        <f>VLOOKUP($E495,[1]Sheet1!$E$10:$X$629,AE$9,0)</f>
        <v>0</v>
      </c>
      <c r="AF495">
        <f>VLOOKUP($E495,[1]Sheet1!$E$10:$X$629,AF$9,0)</f>
        <v>0</v>
      </c>
      <c r="AG495">
        <f>VLOOKUP($E495,[1]Sheet1!$E$10:$X$629,AG$9,0)</f>
        <v>0</v>
      </c>
      <c r="AH495">
        <f>VLOOKUP($E495,[1]Sheet1!$E$10:$X$629,AH$9,0)</f>
        <v>0</v>
      </c>
      <c r="AJ495">
        <f t="shared" si="25"/>
        <v>0</v>
      </c>
      <c r="AK495">
        <f t="shared" si="26"/>
        <v>0</v>
      </c>
      <c r="AL495">
        <f t="shared" si="27"/>
        <v>0</v>
      </c>
    </row>
    <row r="496" spans="1:38" ht="39.6" x14ac:dyDescent="0.3">
      <c r="A496" s="4" t="s">
        <v>1453</v>
      </c>
      <c r="B496" s="5" t="s">
        <v>1454</v>
      </c>
      <c r="C496" s="21" t="s">
        <v>1455</v>
      </c>
      <c r="D496" s="20"/>
      <c r="E496" s="4">
        <v>1200379</v>
      </c>
      <c r="F496" s="4" t="s">
        <v>44</v>
      </c>
      <c r="G496" s="4" t="s">
        <v>45</v>
      </c>
      <c r="H496" s="4" t="s">
        <v>61</v>
      </c>
      <c r="I496" s="4" t="s">
        <v>46</v>
      </c>
      <c r="J496" s="4" t="s">
        <v>47</v>
      </c>
      <c r="K496" s="4">
        <v>7</v>
      </c>
      <c r="L496" s="4">
        <v>14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Z496" t="e">
        <f>VLOOKUP(E496,Sheet2!$A$1:$A$39,1,0)</f>
        <v>#N/A</v>
      </c>
      <c r="AA496">
        <f>VLOOKUP($E496,[1]Sheet1!$E$10:$X$629,AA$9,0)</f>
        <v>0</v>
      </c>
      <c r="AB496">
        <f>VLOOKUP($E496,[1]Sheet1!$E$10:$X$629,AB$9,0)</f>
        <v>0</v>
      </c>
      <c r="AC496">
        <f>VLOOKUP($E496,[1]Sheet1!$E$10:$X$629,AC$9,0)</f>
        <v>0</v>
      </c>
      <c r="AD496">
        <f>VLOOKUP($E496,[1]Sheet1!$E$10:$X$629,AD$9,0)</f>
        <v>0</v>
      </c>
      <c r="AE496">
        <f>VLOOKUP($E496,[1]Sheet1!$E$10:$X$629,AE$9,0)</f>
        <v>0</v>
      </c>
      <c r="AF496">
        <f>VLOOKUP($E496,[1]Sheet1!$E$10:$X$629,AF$9,0)</f>
        <v>0</v>
      </c>
      <c r="AG496">
        <f>VLOOKUP($E496,[1]Sheet1!$E$10:$X$629,AG$9,0)</f>
        <v>0</v>
      </c>
      <c r="AH496">
        <f>VLOOKUP($E496,[1]Sheet1!$E$10:$X$629,AH$9,0)</f>
        <v>0</v>
      </c>
      <c r="AJ496">
        <f t="shared" si="25"/>
        <v>0</v>
      </c>
      <c r="AK496">
        <f t="shared" si="26"/>
        <v>0</v>
      </c>
      <c r="AL496">
        <f t="shared" si="27"/>
        <v>0</v>
      </c>
    </row>
    <row r="497" spans="1:38" ht="39.6" x14ac:dyDescent="0.3">
      <c r="A497" s="4" t="s">
        <v>1456</v>
      </c>
      <c r="B497" s="5" t="s">
        <v>1457</v>
      </c>
      <c r="C497" s="21" t="s">
        <v>1458</v>
      </c>
      <c r="D497" s="20"/>
      <c r="E497" s="4">
        <v>1200402</v>
      </c>
      <c r="F497" s="4" t="s">
        <v>44</v>
      </c>
      <c r="G497" s="4" t="s">
        <v>45</v>
      </c>
      <c r="H497" s="4" t="s">
        <v>61</v>
      </c>
      <c r="I497" s="4" t="s">
        <v>52</v>
      </c>
      <c r="J497" s="4" t="s">
        <v>47</v>
      </c>
      <c r="K497" s="4">
        <v>7</v>
      </c>
      <c r="L497" s="4">
        <v>14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Z497" t="e">
        <f>VLOOKUP(E497,Sheet2!$A$1:$A$39,1,0)</f>
        <v>#N/A</v>
      </c>
      <c r="AA497">
        <f>VLOOKUP($E497,[1]Sheet1!$E$10:$X$629,AA$9,0)</f>
        <v>0</v>
      </c>
      <c r="AB497">
        <f>VLOOKUP($E497,[1]Sheet1!$E$10:$X$629,AB$9,0)</f>
        <v>0</v>
      </c>
      <c r="AC497">
        <f>VLOOKUP($E497,[1]Sheet1!$E$10:$X$629,AC$9,0)</f>
        <v>0</v>
      </c>
      <c r="AD497">
        <f>VLOOKUP($E497,[1]Sheet1!$E$10:$X$629,AD$9,0)</f>
        <v>0</v>
      </c>
      <c r="AE497">
        <f>VLOOKUP($E497,[1]Sheet1!$E$10:$X$629,AE$9,0)</f>
        <v>0</v>
      </c>
      <c r="AF497">
        <f>VLOOKUP($E497,[1]Sheet1!$E$10:$X$629,AF$9,0)</f>
        <v>0</v>
      </c>
      <c r="AG497">
        <f>VLOOKUP($E497,[1]Sheet1!$E$10:$X$629,AG$9,0)</f>
        <v>0</v>
      </c>
      <c r="AH497">
        <f>VLOOKUP($E497,[1]Sheet1!$E$10:$X$629,AH$9,0)</f>
        <v>0</v>
      </c>
      <c r="AJ497">
        <f t="shared" si="25"/>
        <v>0</v>
      </c>
      <c r="AK497">
        <f t="shared" si="26"/>
        <v>0</v>
      </c>
      <c r="AL497">
        <f t="shared" si="27"/>
        <v>0</v>
      </c>
    </row>
    <row r="498" spans="1:38" ht="39.6" x14ac:dyDescent="0.3">
      <c r="A498" s="4" t="s">
        <v>1459</v>
      </c>
      <c r="B498" s="5" t="s">
        <v>1460</v>
      </c>
      <c r="C498" s="21" t="s">
        <v>1461</v>
      </c>
      <c r="D498" s="20"/>
      <c r="E498" s="4">
        <v>1200403</v>
      </c>
      <c r="F498" s="4" t="s">
        <v>44</v>
      </c>
      <c r="G498" s="4" t="s">
        <v>45</v>
      </c>
      <c r="H498" s="4" t="s">
        <v>61</v>
      </c>
      <c r="I498" s="4" t="s">
        <v>46</v>
      </c>
      <c r="J498" s="4" t="s">
        <v>47</v>
      </c>
      <c r="K498" s="4">
        <v>7</v>
      </c>
      <c r="L498" s="4">
        <v>14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Z498" t="e">
        <f>VLOOKUP(E498,Sheet2!$A$1:$A$39,1,0)</f>
        <v>#N/A</v>
      </c>
      <c r="AA498">
        <f>VLOOKUP($E498,[1]Sheet1!$E$10:$X$629,AA$9,0)</f>
        <v>0</v>
      </c>
      <c r="AB498">
        <f>VLOOKUP($E498,[1]Sheet1!$E$10:$X$629,AB$9,0)</f>
        <v>0</v>
      </c>
      <c r="AC498">
        <f>VLOOKUP($E498,[1]Sheet1!$E$10:$X$629,AC$9,0)</f>
        <v>0</v>
      </c>
      <c r="AD498">
        <f>VLOOKUP($E498,[1]Sheet1!$E$10:$X$629,AD$9,0)</f>
        <v>0</v>
      </c>
      <c r="AE498">
        <f>VLOOKUP($E498,[1]Sheet1!$E$10:$X$629,AE$9,0)</f>
        <v>0</v>
      </c>
      <c r="AF498">
        <f>VLOOKUP($E498,[1]Sheet1!$E$10:$X$629,AF$9,0)</f>
        <v>0</v>
      </c>
      <c r="AG498">
        <f>VLOOKUP($E498,[1]Sheet1!$E$10:$X$629,AG$9,0)</f>
        <v>0</v>
      </c>
      <c r="AH498">
        <f>VLOOKUP($E498,[1]Sheet1!$E$10:$X$629,AH$9,0)</f>
        <v>0</v>
      </c>
      <c r="AJ498">
        <f t="shared" si="25"/>
        <v>0</v>
      </c>
      <c r="AK498">
        <f t="shared" si="26"/>
        <v>0</v>
      </c>
      <c r="AL498">
        <f t="shared" si="27"/>
        <v>0</v>
      </c>
    </row>
    <row r="499" spans="1:38" ht="39.6" x14ac:dyDescent="0.3">
      <c r="A499" s="4" t="s">
        <v>1462</v>
      </c>
      <c r="B499" s="5" t="s">
        <v>1463</v>
      </c>
      <c r="C499" s="21" t="s">
        <v>1464</v>
      </c>
      <c r="D499" s="20"/>
      <c r="E499" s="4">
        <v>1200366</v>
      </c>
      <c r="F499" s="4" t="s">
        <v>44</v>
      </c>
      <c r="G499" s="4" t="s">
        <v>45</v>
      </c>
      <c r="H499" s="4" t="s">
        <v>61</v>
      </c>
      <c r="I499" s="4" t="s">
        <v>57</v>
      </c>
      <c r="J499" s="4" t="s">
        <v>47</v>
      </c>
      <c r="K499" s="4">
        <v>9</v>
      </c>
      <c r="L499" s="4">
        <v>18</v>
      </c>
      <c r="M499" s="5">
        <v>144</v>
      </c>
      <c r="N499" s="5">
        <v>0</v>
      </c>
      <c r="O499" s="5">
        <v>144</v>
      </c>
      <c r="P499" s="5">
        <v>0</v>
      </c>
      <c r="Q499" s="5">
        <v>144</v>
      </c>
      <c r="R499" s="5">
        <v>288</v>
      </c>
      <c r="S499" s="5">
        <v>144</v>
      </c>
      <c r="T499" s="5">
        <v>288</v>
      </c>
      <c r="U499" s="5">
        <v>288</v>
      </c>
      <c r="V499" s="5">
        <v>432</v>
      </c>
      <c r="W499" s="5">
        <v>576</v>
      </c>
      <c r="X499" s="5">
        <v>0</v>
      </c>
      <c r="Z499" t="e">
        <f>VLOOKUP(E499,Sheet2!$A$1:$A$39,1,0)</f>
        <v>#N/A</v>
      </c>
      <c r="AA499">
        <f>VLOOKUP($E499,[1]Sheet1!$E$10:$X$629,AA$9,0)</f>
        <v>144</v>
      </c>
      <c r="AB499">
        <f>VLOOKUP($E499,[1]Sheet1!$E$10:$X$629,AB$9,0)</f>
        <v>288</v>
      </c>
      <c r="AC499">
        <f>VLOOKUP($E499,[1]Sheet1!$E$10:$X$629,AC$9,0)</f>
        <v>288</v>
      </c>
      <c r="AD499">
        <f>VLOOKUP($E499,[1]Sheet1!$E$10:$X$629,AD$9,0)</f>
        <v>144</v>
      </c>
      <c r="AE499">
        <f>VLOOKUP($E499,[1]Sheet1!$E$10:$X$629,AE$9,0)</f>
        <v>144</v>
      </c>
      <c r="AF499">
        <f>VLOOKUP($E499,[1]Sheet1!$E$10:$X$629,AF$9,0)</f>
        <v>432</v>
      </c>
      <c r="AG499">
        <f>VLOOKUP($E499,[1]Sheet1!$E$10:$X$629,AG$9,0)</f>
        <v>144</v>
      </c>
      <c r="AH499">
        <f>VLOOKUP($E499,[1]Sheet1!$E$10:$X$629,AH$9,0)</f>
        <v>144</v>
      </c>
      <c r="AJ499">
        <f t="shared" si="25"/>
        <v>1152</v>
      </c>
      <c r="AK499">
        <f t="shared" si="26"/>
        <v>1728</v>
      </c>
      <c r="AL499">
        <f t="shared" si="27"/>
        <v>-576</v>
      </c>
    </row>
    <row r="500" spans="1:38" ht="39.6" x14ac:dyDescent="0.3">
      <c r="A500" s="4" t="s">
        <v>1465</v>
      </c>
      <c r="B500" s="5" t="s">
        <v>1466</v>
      </c>
      <c r="C500" s="21" t="s">
        <v>1467</v>
      </c>
      <c r="D500" s="20"/>
      <c r="E500" s="4">
        <v>1200371</v>
      </c>
      <c r="F500" s="4" t="s">
        <v>44</v>
      </c>
      <c r="G500" s="4" t="s">
        <v>45</v>
      </c>
      <c r="H500" s="4" t="s">
        <v>61</v>
      </c>
      <c r="I500" s="4" t="s">
        <v>57</v>
      </c>
      <c r="J500" s="4" t="s">
        <v>47</v>
      </c>
      <c r="K500" s="4">
        <v>9</v>
      </c>
      <c r="L500" s="4">
        <v>18</v>
      </c>
      <c r="M500" s="5">
        <v>288</v>
      </c>
      <c r="N500" s="5">
        <v>720</v>
      </c>
      <c r="O500" s="5">
        <v>576</v>
      </c>
      <c r="P500" s="5">
        <v>288</v>
      </c>
      <c r="Q500" s="5">
        <v>576</v>
      </c>
      <c r="R500" s="5">
        <v>576</v>
      </c>
      <c r="S500" s="5">
        <v>576</v>
      </c>
      <c r="T500" s="5">
        <v>432</v>
      </c>
      <c r="U500" s="5">
        <v>864</v>
      </c>
      <c r="V500" s="5">
        <v>720</v>
      </c>
      <c r="W500" s="5">
        <v>864</v>
      </c>
      <c r="X500" s="5">
        <v>576</v>
      </c>
      <c r="Z500" t="e">
        <f>VLOOKUP(E500,Sheet2!$A$1:$A$39,1,0)</f>
        <v>#N/A</v>
      </c>
      <c r="AA500">
        <f>VLOOKUP($E500,[1]Sheet1!$E$10:$X$629,AA$9,0)</f>
        <v>0</v>
      </c>
      <c r="AB500">
        <f>VLOOKUP($E500,[1]Sheet1!$E$10:$X$629,AB$9,0)</f>
        <v>576</v>
      </c>
      <c r="AC500">
        <f>VLOOKUP($E500,[1]Sheet1!$E$10:$X$629,AC$9,0)</f>
        <v>288</v>
      </c>
      <c r="AD500">
        <f>VLOOKUP($E500,[1]Sheet1!$E$10:$X$629,AD$9,0)</f>
        <v>288</v>
      </c>
      <c r="AE500">
        <f>VLOOKUP($E500,[1]Sheet1!$E$10:$X$629,AE$9,0)</f>
        <v>432</v>
      </c>
      <c r="AF500">
        <f>VLOOKUP($E500,[1]Sheet1!$E$10:$X$629,AF$9,0)</f>
        <v>432</v>
      </c>
      <c r="AG500">
        <f>VLOOKUP($E500,[1]Sheet1!$E$10:$X$629,AG$9,0)</f>
        <v>288</v>
      </c>
      <c r="AH500">
        <f>VLOOKUP($E500,[1]Sheet1!$E$10:$X$629,AH$9,0)</f>
        <v>288</v>
      </c>
      <c r="AJ500">
        <f t="shared" si="25"/>
        <v>4032</v>
      </c>
      <c r="AK500">
        <f t="shared" si="26"/>
        <v>2592</v>
      </c>
      <c r="AL500">
        <f t="shared" si="27"/>
        <v>1440</v>
      </c>
    </row>
    <row r="501" spans="1:38" ht="39.6" x14ac:dyDescent="0.3">
      <c r="A501" s="4" t="s">
        <v>1468</v>
      </c>
      <c r="B501" s="5" t="s">
        <v>1469</v>
      </c>
      <c r="C501" s="21" t="s">
        <v>1470</v>
      </c>
      <c r="D501" s="20"/>
      <c r="E501" s="4">
        <v>1200369</v>
      </c>
      <c r="F501" s="4" t="s">
        <v>44</v>
      </c>
      <c r="G501" s="4" t="s">
        <v>45</v>
      </c>
      <c r="H501" s="4" t="s">
        <v>56</v>
      </c>
      <c r="I501" s="4" t="s">
        <v>57</v>
      </c>
      <c r="J501" s="4" t="s">
        <v>47</v>
      </c>
      <c r="K501" s="4">
        <v>9</v>
      </c>
      <c r="L501" s="4">
        <v>18</v>
      </c>
      <c r="M501" s="5">
        <v>576</v>
      </c>
      <c r="N501" s="5">
        <v>0</v>
      </c>
      <c r="O501" s="5">
        <v>576</v>
      </c>
      <c r="P501" s="5">
        <v>576</v>
      </c>
      <c r="Q501" s="5">
        <v>576</v>
      </c>
      <c r="R501" s="5">
        <v>720</v>
      </c>
      <c r="S501" s="5">
        <v>432</v>
      </c>
      <c r="T501" s="5">
        <v>576</v>
      </c>
      <c r="U501" s="5">
        <v>576</v>
      </c>
      <c r="V501" s="5">
        <v>1008</v>
      </c>
      <c r="W501" s="5">
        <v>576</v>
      </c>
      <c r="X501" s="5">
        <v>864</v>
      </c>
      <c r="Z501" t="e">
        <f>VLOOKUP(E501,Sheet2!$A$1:$A$39,1,0)</f>
        <v>#N/A</v>
      </c>
      <c r="AA501">
        <f>VLOOKUP($E501,[1]Sheet1!$E$10:$X$629,AA$9,0)</f>
        <v>144</v>
      </c>
      <c r="AB501">
        <f>VLOOKUP($E501,[1]Sheet1!$E$10:$X$629,AB$9,0)</f>
        <v>432</v>
      </c>
      <c r="AC501">
        <f>VLOOKUP($E501,[1]Sheet1!$E$10:$X$629,AC$9,0)</f>
        <v>288</v>
      </c>
      <c r="AD501">
        <f>VLOOKUP($E501,[1]Sheet1!$E$10:$X$629,AD$9,0)</f>
        <v>144</v>
      </c>
      <c r="AE501">
        <f>VLOOKUP($E501,[1]Sheet1!$E$10:$X$629,AE$9,0)</f>
        <v>432</v>
      </c>
      <c r="AF501">
        <f>VLOOKUP($E501,[1]Sheet1!$E$10:$X$629,AF$9,0)</f>
        <v>432</v>
      </c>
      <c r="AG501">
        <f>VLOOKUP($E501,[1]Sheet1!$E$10:$X$629,AG$9,0)</f>
        <v>432</v>
      </c>
      <c r="AH501">
        <f>VLOOKUP($E501,[1]Sheet1!$E$10:$X$629,AH$9,0)</f>
        <v>288</v>
      </c>
      <c r="AJ501">
        <f t="shared" si="25"/>
        <v>4032</v>
      </c>
      <c r="AK501">
        <f t="shared" si="26"/>
        <v>2592</v>
      </c>
      <c r="AL501">
        <f t="shared" si="27"/>
        <v>1440</v>
      </c>
    </row>
    <row r="502" spans="1:38" ht="39.6" x14ac:dyDescent="0.3">
      <c r="A502" s="4" t="s">
        <v>1471</v>
      </c>
      <c r="B502" s="5" t="s">
        <v>1472</v>
      </c>
      <c r="C502" s="21" t="s">
        <v>1473</v>
      </c>
      <c r="D502" s="20"/>
      <c r="E502" s="4">
        <v>1200370</v>
      </c>
      <c r="F502" s="4" t="s">
        <v>44</v>
      </c>
      <c r="G502" s="4" t="s">
        <v>45</v>
      </c>
      <c r="H502" s="4" t="s">
        <v>61</v>
      </c>
      <c r="I502" s="4" t="s">
        <v>57</v>
      </c>
      <c r="J502" s="4" t="s">
        <v>47</v>
      </c>
      <c r="K502" s="4">
        <v>9</v>
      </c>
      <c r="L502" s="4">
        <v>18</v>
      </c>
      <c r="M502" s="5">
        <v>144</v>
      </c>
      <c r="N502" s="5">
        <v>576</v>
      </c>
      <c r="O502" s="5">
        <v>432</v>
      </c>
      <c r="P502" s="5">
        <v>288</v>
      </c>
      <c r="Q502" s="5">
        <v>432</v>
      </c>
      <c r="R502" s="5">
        <v>720</v>
      </c>
      <c r="S502" s="5">
        <v>432</v>
      </c>
      <c r="T502" s="5">
        <v>288</v>
      </c>
      <c r="U502" s="5">
        <v>864</v>
      </c>
      <c r="V502" s="5">
        <v>576</v>
      </c>
      <c r="W502" s="5">
        <v>720</v>
      </c>
      <c r="X502" s="5">
        <v>576</v>
      </c>
      <c r="Z502" t="e">
        <f>VLOOKUP(E502,Sheet2!$A$1:$A$39,1,0)</f>
        <v>#N/A</v>
      </c>
      <c r="AA502">
        <f>VLOOKUP($E502,[1]Sheet1!$E$10:$X$629,AA$9,0)</f>
        <v>288</v>
      </c>
      <c r="AB502">
        <f>VLOOKUP($E502,[1]Sheet1!$E$10:$X$629,AB$9,0)</f>
        <v>144</v>
      </c>
      <c r="AC502">
        <f>VLOOKUP($E502,[1]Sheet1!$E$10:$X$629,AC$9,0)</f>
        <v>432</v>
      </c>
      <c r="AD502">
        <f>VLOOKUP($E502,[1]Sheet1!$E$10:$X$629,AD$9,0)</f>
        <v>288</v>
      </c>
      <c r="AE502">
        <f>VLOOKUP($E502,[1]Sheet1!$E$10:$X$629,AE$9,0)</f>
        <v>288</v>
      </c>
      <c r="AF502">
        <f>VLOOKUP($E502,[1]Sheet1!$E$10:$X$629,AF$9,0)</f>
        <v>288</v>
      </c>
      <c r="AG502">
        <f>VLOOKUP($E502,[1]Sheet1!$E$10:$X$629,AG$9,0)</f>
        <v>288</v>
      </c>
      <c r="AH502">
        <f>VLOOKUP($E502,[1]Sheet1!$E$10:$X$629,AH$9,0)</f>
        <v>288</v>
      </c>
      <c r="AJ502">
        <f t="shared" si="25"/>
        <v>3312</v>
      </c>
      <c r="AK502">
        <f t="shared" si="26"/>
        <v>2304</v>
      </c>
      <c r="AL502">
        <f t="shared" si="27"/>
        <v>1008</v>
      </c>
    </row>
    <row r="503" spans="1:38" ht="39.6" x14ac:dyDescent="0.3">
      <c r="A503" s="4" t="s">
        <v>1474</v>
      </c>
      <c r="B503" s="5" t="s">
        <v>1475</v>
      </c>
      <c r="C503" s="21" t="s">
        <v>1476</v>
      </c>
      <c r="D503" s="20"/>
      <c r="E503" s="4">
        <v>1200368</v>
      </c>
      <c r="F503" s="4" t="s">
        <v>44</v>
      </c>
      <c r="G503" s="4" t="s">
        <v>45</v>
      </c>
      <c r="H503" s="4" t="s">
        <v>61</v>
      </c>
      <c r="I503" s="4" t="s">
        <v>57</v>
      </c>
      <c r="J503" s="4" t="s">
        <v>47</v>
      </c>
      <c r="K503" s="4">
        <v>9</v>
      </c>
      <c r="L503" s="4">
        <v>18</v>
      </c>
      <c r="M503" s="5">
        <v>0</v>
      </c>
      <c r="N503" s="5">
        <v>0</v>
      </c>
      <c r="O503" s="5">
        <v>0</v>
      </c>
      <c r="P503" s="5">
        <v>144</v>
      </c>
      <c r="Q503" s="5">
        <v>0</v>
      </c>
      <c r="R503" s="5">
        <v>0</v>
      </c>
      <c r="S503" s="5">
        <v>144</v>
      </c>
      <c r="T503" s="5">
        <v>0</v>
      </c>
      <c r="U503" s="5">
        <v>0</v>
      </c>
      <c r="V503" s="5">
        <v>144</v>
      </c>
      <c r="W503" s="5">
        <v>0</v>
      </c>
      <c r="X503" s="5">
        <v>144</v>
      </c>
      <c r="Z503" t="e">
        <f>VLOOKUP(E503,Sheet2!$A$1:$A$39,1,0)</f>
        <v>#N/A</v>
      </c>
      <c r="AA503">
        <f>VLOOKUP($E503,[1]Sheet1!$E$10:$X$629,AA$9,0)</f>
        <v>0</v>
      </c>
      <c r="AB503">
        <f>VLOOKUP($E503,[1]Sheet1!$E$10:$X$629,AB$9,0)</f>
        <v>0</v>
      </c>
      <c r="AC503">
        <f>VLOOKUP($E503,[1]Sheet1!$E$10:$X$629,AC$9,0)</f>
        <v>144</v>
      </c>
      <c r="AD503">
        <f>VLOOKUP($E503,[1]Sheet1!$E$10:$X$629,AD$9,0)</f>
        <v>0</v>
      </c>
      <c r="AE503">
        <f>VLOOKUP($E503,[1]Sheet1!$E$10:$X$629,AE$9,0)</f>
        <v>144</v>
      </c>
      <c r="AF503">
        <f>VLOOKUP($E503,[1]Sheet1!$E$10:$X$629,AF$9,0)</f>
        <v>0</v>
      </c>
      <c r="AG503">
        <f>VLOOKUP($E503,[1]Sheet1!$E$10:$X$629,AG$9,0)</f>
        <v>144</v>
      </c>
      <c r="AH503">
        <f>VLOOKUP($E503,[1]Sheet1!$E$10:$X$629,AH$9,0)</f>
        <v>144</v>
      </c>
      <c r="AJ503">
        <f t="shared" si="25"/>
        <v>288</v>
      </c>
      <c r="AK503">
        <f t="shared" si="26"/>
        <v>576</v>
      </c>
      <c r="AL503">
        <f t="shared" si="27"/>
        <v>-288</v>
      </c>
    </row>
    <row r="504" spans="1:38" ht="39.6" x14ac:dyDescent="0.3">
      <c r="A504" s="4" t="s">
        <v>1477</v>
      </c>
      <c r="B504" s="5" t="s">
        <v>1478</v>
      </c>
      <c r="C504" s="21" t="s">
        <v>1479</v>
      </c>
      <c r="D504" s="20"/>
      <c r="E504" s="4">
        <v>1200367</v>
      </c>
      <c r="F504" s="4" t="s">
        <v>44</v>
      </c>
      <c r="G504" s="4" t="s">
        <v>45</v>
      </c>
      <c r="H504" s="4" t="s">
        <v>61</v>
      </c>
      <c r="I504" s="4" t="s">
        <v>57</v>
      </c>
      <c r="J504" s="4" t="s">
        <v>47</v>
      </c>
      <c r="K504" s="4">
        <v>9</v>
      </c>
      <c r="L504" s="4">
        <v>18</v>
      </c>
      <c r="M504" s="5">
        <v>144</v>
      </c>
      <c r="N504" s="5">
        <v>288</v>
      </c>
      <c r="O504" s="5">
        <v>432</v>
      </c>
      <c r="P504" s="5">
        <v>144</v>
      </c>
      <c r="Q504" s="5">
        <v>576</v>
      </c>
      <c r="R504" s="5">
        <v>432</v>
      </c>
      <c r="S504" s="5">
        <v>432</v>
      </c>
      <c r="T504" s="5">
        <v>288</v>
      </c>
      <c r="U504" s="5">
        <v>576</v>
      </c>
      <c r="V504" s="5">
        <v>720</v>
      </c>
      <c r="W504" s="5">
        <v>576</v>
      </c>
      <c r="X504" s="5">
        <v>576</v>
      </c>
      <c r="Z504" t="e">
        <f>VLOOKUP(E504,Sheet2!$A$1:$A$39,1,0)</f>
        <v>#N/A</v>
      </c>
      <c r="AA504">
        <f>VLOOKUP($E504,[1]Sheet1!$E$10:$X$629,AA$9,0)</f>
        <v>144</v>
      </c>
      <c r="AB504">
        <f>VLOOKUP($E504,[1]Sheet1!$E$10:$X$629,AB$9,0)</f>
        <v>144</v>
      </c>
      <c r="AC504">
        <f>VLOOKUP($E504,[1]Sheet1!$E$10:$X$629,AC$9,0)</f>
        <v>432</v>
      </c>
      <c r="AD504">
        <f>VLOOKUP($E504,[1]Sheet1!$E$10:$X$629,AD$9,0)</f>
        <v>144</v>
      </c>
      <c r="AE504">
        <f>VLOOKUP($E504,[1]Sheet1!$E$10:$X$629,AE$9,0)</f>
        <v>432</v>
      </c>
      <c r="AF504">
        <f>VLOOKUP($E504,[1]Sheet1!$E$10:$X$629,AF$9,0)</f>
        <v>432</v>
      </c>
      <c r="AG504">
        <f>VLOOKUP($E504,[1]Sheet1!$E$10:$X$629,AG$9,0)</f>
        <v>576</v>
      </c>
      <c r="AH504">
        <f>VLOOKUP($E504,[1]Sheet1!$E$10:$X$629,AH$9,0)</f>
        <v>0</v>
      </c>
      <c r="AJ504">
        <f t="shared" si="25"/>
        <v>2736</v>
      </c>
      <c r="AK504">
        <f t="shared" si="26"/>
        <v>2304</v>
      </c>
      <c r="AL504">
        <f t="shared" si="27"/>
        <v>432</v>
      </c>
    </row>
    <row r="505" spans="1:38" ht="39.6" x14ac:dyDescent="0.3">
      <c r="A505" s="4" t="s">
        <v>1480</v>
      </c>
      <c r="B505" s="5" t="s">
        <v>1481</v>
      </c>
      <c r="C505" s="21" t="s">
        <v>1482</v>
      </c>
      <c r="D505" s="20"/>
      <c r="E505" s="4">
        <v>1200445</v>
      </c>
      <c r="F505" s="4" t="s">
        <v>44</v>
      </c>
      <c r="G505" s="4" t="s">
        <v>45</v>
      </c>
      <c r="H505" s="4" t="s">
        <v>61</v>
      </c>
      <c r="I505" s="4" t="s">
        <v>57</v>
      </c>
      <c r="J505" s="4" t="s">
        <v>47</v>
      </c>
      <c r="K505" s="4">
        <v>7.5</v>
      </c>
      <c r="L505" s="4">
        <v>15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Z505" t="e">
        <f>VLOOKUP(E505,Sheet2!$A$1:$A$39,1,0)</f>
        <v>#N/A</v>
      </c>
      <c r="AA505">
        <f>VLOOKUP($E505,[1]Sheet1!$E$10:$X$629,AA$9,0)</f>
        <v>0</v>
      </c>
      <c r="AB505">
        <f>VLOOKUP($E505,[1]Sheet1!$E$10:$X$629,AB$9,0)</f>
        <v>0</v>
      </c>
      <c r="AC505">
        <f>VLOOKUP($E505,[1]Sheet1!$E$10:$X$629,AC$9,0)</f>
        <v>0</v>
      </c>
      <c r="AD505">
        <f>VLOOKUP($E505,[1]Sheet1!$E$10:$X$629,AD$9,0)</f>
        <v>0</v>
      </c>
      <c r="AE505">
        <f>VLOOKUP($E505,[1]Sheet1!$E$10:$X$629,AE$9,0)</f>
        <v>0</v>
      </c>
      <c r="AF505">
        <f>VLOOKUP($E505,[1]Sheet1!$E$10:$X$629,AF$9,0)</f>
        <v>0</v>
      </c>
      <c r="AG505">
        <f>VLOOKUP($E505,[1]Sheet1!$E$10:$X$629,AG$9,0)</f>
        <v>0</v>
      </c>
      <c r="AH505">
        <f>VLOOKUP($E505,[1]Sheet1!$E$10:$X$629,AH$9,0)</f>
        <v>0</v>
      </c>
      <c r="AJ505">
        <f t="shared" si="25"/>
        <v>0</v>
      </c>
      <c r="AK505">
        <f t="shared" si="26"/>
        <v>0</v>
      </c>
      <c r="AL505">
        <f t="shared" si="27"/>
        <v>0</v>
      </c>
    </row>
    <row r="506" spans="1:38" ht="39.6" x14ac:dyDescent="0.3">
      <c r="A506" s="4" t="s">
        <v>1483</v>
      </c>
      <c r="B506" s="5" t="s">
        <v>1484</v>
      </c>
      <c r="C506" s="21" t="s">
        <v>1485</v>
      </c>
      <c r="D506" s="20"/>
      <c r="E506" s="4">
        <v>1200447</v>
      </c>
      <c r="F506" s="4" t="s">
        <v>44</v>
      </c>
      <c r="G506" s="4" t="s">
        <v>45</v>
      </c>
      <c r="H506" s="4" t="s">
        <v>61</v>
      </c>
      <c r="I506" s="4" t="s">
        <v>57</v>
      </c>
      <c r="J506" s="4" t="s">
        <v>47</v>
      </c>
      <c r="K506" s="4">
        <v>7.5</v>
      </c>
      <c r="L506" s="4">
        <v>15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Z506" t="e">
        <f>VLOOKUP(E506,Sheet2!$A$1:$A$39,1,0)</f>
        <v>#N/A</v>
      </c>
      <c r="AA506">
        <f>VLOOKUP($E506,[1]Sheet1!$E$10:$X$629,AA$9,0)</f>
        <v>0</v>
      </c>
      <c r="AB506">
        <f>VLOOKUP($E506,[1]Sheet1!$E$10:$X$629,AB$9,0)</f>
        <v>0</v>
      </c>
      <c r="AC506">
        <f>VLOOKUP($E506,[1]Sheet1!$E$10:$X$629,AC$9,0)</f>
        <v>0</v>
      </c>
      <c r="AD506">
        <f>VLOOKUP($E506,[1]Sheet1!$E$10:$X$629,AD$9,0)</f>
        <v>0</v>
      </c>
      <c r="AE506">
        <f>VLOOKUP($E506,[1]Sheet1!$E$10:$X$629,AE$9,0)</f>
        <v>0</v>
      </c>
      <c r="AF506">
        <f>VLOOKUP($E506,[1]Sheet1!$E$10:$X$629,AF$9,0)</f>
        <v>0</v>
      </c>
      <c r="AG506">
        <f>VLOOKUP($E506,[1]Sheet1!$E$10:$X$629,AG$9,0)</f>
        <v>0</v>
      </c>
      <c r="AH506">
        <f>VLOOKUP($E506,[1]Sheet1!$E$10:$X$629,AH$9,0)</f>
        <v>0</v>
      </c>
      <c r="AJ506">
        <f t="shared" si="25"/>
        <v>0</v>
      </c>
      <c r="AK506">
        <f t="shared" si="26"/>
        <v>0</v>
      </c>
      <c r="AL506">
        <f t="shared" si="27"/>
        <v>0</v>
      </c>
    </row>
    <row r="507" spans="1:38" ht="39.6" x14ac:dyDescent="0.3">
      <c r="A507" s="4" t="s">
        <v>1486</v>
      </c>
      <c r="B507" s="5" t="s">
        <v>1487</v>
      </c>
      <c r="C507" s="21" t="s">
        <v>1488</v>
      </c>
      <c r="D507" s="20"/>
      <c r="E507" s="4">
        <v>1200446</v>
      </c>
      <c r="F507" s="4" t="s">
        <v>44</v>
      </c>
      <c r="G507" s="4" t="s">
        <v>45</v>
      </c>
      <c r="H507" s="4" t="s">
        <v>61</v>
      </c>
      <c r="I507" s="4" t="s">
        <v>57</v>
      </c>
      <c r="J507" s="4" t="s">
        <v>47</v>
      </c>
      <c r="K507" s="4">
        <v>7.5</v>
      </c>
      <c r="L507" s="4">
        <v>15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Z507" t="e">
        <f>VLOOKUP(E507,Sheet2!$A$1:$A$39,1,0)</f>
        <v>#N/A</v>
      </c>
      <c r="AA507">
        <f>VLOOKUP($E507,[1]Sheet1!$E$10:$X$629,AA$9,0)</f>
        <v>0</v>
      </c>
      <c r="AB507">
        <f>VLOOKUP($E507,[1]Sheet1!$E$10:$X$629,AB$9,0)</f>
        <v>0</v>
      </c>
      <c r="AC507">
        <f>VLOOKUP($E507,[1]Sheet1!$E$10:$X$629,AC$9,0)</f>
        <v>0</v>
      </c>
      <c r="AD507">
        <f>VLOOKUP($E507,[1]Sheet1!$E$10:$X$629,AD$9,0)</f>
        <v>0</v>
      </c>
      <c r="AE507">
        <f>VLOOKUP($E507,[1]Sheet1!$E$10:$X$629,AE$9,0)</f>
        <v>0</v>
      </c>
      <c r="AF507">
        <f>VLOOKUP($E507,[1]Sheet1!$E$10:$X$629,AF$9,0)</f>
        <v>0</v>
      </c>
      <c r="AG507">
        <f>VLOOKUP($E507,[1]Sheet1!$E$10:$X$629,AG$9,0)</f>
        <v>0</v>
      </c>
      <c r="AH507">
        <f>VLOOKUP($E507,[1]Sheet1!$E$10:$X$629,AH$9,0)</f>
        <v>0</v>
      </c>
      <c r="AJ507">
        <f t="shared" si="25"/>
        <v>0</v>
      </c>
      <c r="AK507">
        <f t="shared" si="26"/>
        <v>0</v>
      </c>
      <c r="AL507">
        <f t="shared" si="27"/>
        <v>0</v>
      </c>
    </row>
    <row r="508" spans="1:38" ht="39.6" x14ac:dyDescent="0.3">
      <c r="A508" s="4" t="s">
        <v>1489</v>
      </c>
      <c r="B508" s="5" t="s">
        <v>1490</v>
      </c>
      <c r="C508" s="21" t="s">
        <v>1491</v>
      </c>
      <c r="D508" s="20"/>
      <c r="E508" s="4">
        <v>1200448</v>
      </c>
      <c r="F508" s="4" t="s">
        <v>44</v>
      </c>
      <c r="G508" s="4" t="s">
        <v>45</v>
      </c>
      <c r="H508" s="4" t="s">
        <v>61</v>
      </c>
      <c r="I508" s="4" t="s">
        <v>57</v>
      </c>
      <c r="J508" s="4" t="s">
        <v>47</v>
      </c>
      <c r="K508" s="4">
        <v>7.5</v>
      </c>
      <c r="L508" s="4">
        <v>15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144</v>
      </c>
      <c r="T508" s="5">
        <v>288</v>
      </c>
      <c r="U508" s="5">
        <v>0</v>
      </c>
      <c r="V508" s="5">
        <v>144</v>
      </c>
      <c r="W508" s="5">
        <v>144</v>
      </c>
      <c r="X508" s="5">
        <v>288</v>
      </c>
      <c r="Z508" t="e">
        <f>VLOOKUP(E508,Sheet2!$A$1:$A$39,1,0)</f>
        <v>#N/A</v>
      </c>
      <c r="AA508">
        <f>VLOOKUP($E508,[1]Sheet1!$E$10:$X$629,AA$9,0)</f>
        <v>0</v>
      </c>
      <c r="AB508">
        <f>VLOOKUP($E508,[1]Sheet1!$E$10:$X$629,AB$9,0)</f>
        <v>144</v>
      </c>
      <c r="AC508">
        <f>VLOOKUP($E508,[1]Sheet1!$E$10:$X$629,AC$9,0)</f>
        <v>0</v>
      </c>
      <c r="AD508">
        <f>VLOOKUP($E508,[1]Sheet1!$E$10:$X$629,AD$9,0)</f>
        <v>0</v>
      </c>
      <c r="AE508">
        <f>VLOOKUP($E508,[1]Sheet1!$E$10:$X$629,AE$9,0)</f>
        <v>144</v>
      </c>
      <c r="AF508">
        <f>VLOOKUP($E508,[1]Sheet1!$E$10:$X$629,AF$9,0)</f>
        <v>144</v>
      </c>
      <c r="AG508">
        <f>VLOOKUP($E508,[1]Sheet1!$E$10:$X$629,AG$9,0)</f>
        <v>0</v>
      </c>
      <c r="AH508">
        <f>VLOOKUP($E508,[1]Sheet1!$E$10:$X$629,AH$9,0)</f>
        <v>0</v>
      </c>
      <c r="AJ508">
        <f t="shared" si="25"/>
        <v>432</v>
      </c>
      <c r="AK508">
        <f t="shared" si="26"/>
        <v>432</v>
      </c>
      <c r="AL508">
        <f t="shared" si="27"/>
        <v>0</v>
      </c>
    </row>
    <row r="509" spans="1:38" ht="39.6" x14ac:dyDescent="0.3">
      <c r="A509" s="4" t="s">
        <v>1492</v>
      </c>
      <c r="B509" s="5" t="s">
        <v>1493</v>
      </c>
      <c r="C509" s="21" t="s">
        <v>1494</v>
      </c>
      <c r="D509" s="20"/>
      <c r="E509" s="4">
        <v>1200449</v>
      </c>
      <c r="F509" s="4" t="s">
        <v>44</v>
      </c>
      <c r="G509" s="4" t="s">
        <v>45</v>
      </c>
      <c r="H509" s="4" t="s">
        <v>61</v>
      </c>
      <c r="I509" s="4" t="s">
        <v>57</v>
      </c>
      <c r="J509" s="4" t="s">
        <v>47</v>
      </c>
      <c r="K509" s="4">
        <v>7.5</v>
      </c>
      <c r="L509" s="4">
        <v>15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Z509" t="e">
        <f>VLOOKUP(E509,Sheet2!$A$1:$A$39,1,0)</f>
        <v>#N/A</v>
      </c>
      <c r="AA509">
        <f>VLOOKUP($E509,[1]Sheet1!$E$10:$X$629,AA$9,0)</f>
        <v>0</v>
      </c>
      <c r="AB509">
        <f>VLOOKUP($E509,[1]Sheet1!$E$10:$X$629,AB$9,0)</f>
        <v>0</v>
      </c>
      <c r="AC509">
        <f>VLOOKUP($E509,[1]Sheet1!$E$10:$X$629,AC$9,0)</f>
        <v>0</v>
      </c>
      <c r="AD509">
        <f>VLOOKUP($E509,[1]Sheet1!$E$10:$X$629,AD$9,0)</f>
        <v>0</v>
      </c>
      <c r="AE509">
        <f>VLOOKUP($E509,[1]Sheet1!$E$10:$X$629,AE$9,0)</f>
        <v>0</v>
      </c>
      <c r="AF509">
        <f>VLOOKUP($E509,[1]Sheet1!$E$10:$X$629,AF$9,0)</f>
        <v>0</v>
      </c>
      <c r="AG509">
        <f>VLOOKUP($E509,[1]Sheet1!$E$10:$X$629,AG$9,0)</f>
        <v>0</v>
      </c>
      <c r="AH509">
        <f>VLOOKUP($E509,[1]Sheet1!$E$10:$X$629,AH$9,0)</f>
        <v>0</v>
      </c>
      <c r="AJ509">
        <f t="shared" si="25"/>
        <v>0</v>
      </c>
      <c r="AK509">
        <f t="shared" si="26"/>
        <v>0</v>
      </c>
      <c r="AL509">
        <f t="shared" si="27"/>
        <v>0</v>
      </c>
    </row>
    <row r="510" spans="1:38" ht="39.6" x14ac:dyDescent="0.3">
      <c r="A510" s="4" t="s">
        <v>1495</v>
      </c>
      <c r="B510" s="5" t="s">
        <v>1496</v>
      </c>
      <c r="C510" s="21" t="s">
        <v>1497</v>
      </c>
      <c r="D510" s="20"/>
      <c r="E510" s="4">
        <v>1200401</v>
      </c>
      <c r="F510" s="4" t="s">
        <v>44</v>
      </c>
      <c r="G510" s="4" t="s">
        <v>45</v>
      </c>
      <c r="H510" s="4" t="s">
        <v>61</v>
      </c>
      <c r="I510" s="4" t="s">
        <v>57</v>
      </c>
      <c r="J510" s="4" t="s">
        <v>47</v>
      </c>
      <c r="K510" s="4">
        <v>10</v>
      </c>
      <c r="L510" s="4">
        <v>20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Z510" t="e">
        <f>VLOOKUP(E510,Sheet2!$A$1:$A$39,1,0)</f>
        <v>#N/A</v>
      </c>
      <c r="AA510">
        <f>VLOOKUP($E510,[1]Sheet1!$E$10:$X$629,AA$9,0)</f>
        <v>0</v>
      </c>
      <c r="AB510">
        <f>VLOOKUP($E510,[1]Sheet1!$E$10:$X$629,AB$9,0)</f>
        <v>0</v>
      </c>
      <c r="AC510">
        <f>VLOOKUP($E510,[1]Sheet1!$E$10:$X$629,AC$9,0)</f>
        <v>0</v>
      </c>
      <c r="AD510">
        <f>VLOOKUP($E510,[1]Sheet1!$E$10:$X$629,AD$9,0)</f>
        <v>0</v>
      </c>
      <c r="AE510">
        <f>VLOOKUP($E510,[1]Sheet1!$E$10:$X$629,AE$9,0)</f>
        <v>0</v>
      </c>
      <c r="AF510">
        <f>VLOOKUP($E510,[1]Sheet1!$E$10:$X$629,AF$9,0)</f>
        <v>0</v>
      </c>
      <c r="AG510">
        <f>VLOOKUP($E510,[1]Sheet1!$E$10:$X$629,AG$9,0)</f>
        <v>0</v>
      </c>
      <c r="AH510">
        <f>VLOOKUP($E510,[1]Sheet1!$E$10:$X$629,AH$9,0)</f>
        <v>0</v>
      </c>
      <c r="AJ510">
        <f t="shared" si="25"/>
        <v>0</v>
      </c>
      <c r="AK510">
        <f t="shared" si="26"/>
        <v>0</v>
      </c>
      <c r="AL510">
        <f t="shared" si="27"/>
        <v>0</v>
      </c>
    </row>
    <row r="511" spans="1:38" ht="39.6" x14ac:dyDescent="0.3">
      <c r="A511" s="4" t="s">
        <v>1498</v>
      </c>
      <c r="B511" s="5" t="s">
        <v>1499</v>
      </c>
      <c r="C511" s="21" t="s">
        <v>1500</v>
      </c>
      <c r="D511" s="20"/>
      <c r="E511" s="4">
        <v>1200404</v>
      </c>
      <c r="F511" s="4" t="s">
        <v>44</v>
      </c>
      <c r="G511" s="4" t="s">
        <v>45</v>
      </c>
      <c r="H511" s="4" t="s">
        <v>61</v>
      </c>
      <c r="I511" s="4" t="s">
        <v>57</v>
      </c>
      <c r="J511" s="4" t="s">
        <v>47</v>
      </c>
      <c r="K511" s="4">
        <v>10</v>
      </c>
      <c r="L511" s="4">
        <v>20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144</v>
      </c>
      <c r="U511" s="5">
        <v>0</v>
      </c>
      <c r="V511" s="5">
        <v>0</v>
      </c>
      <c r="W511" s="5">
        <v>144</v>
      </c>
      <c r="X511" s="5">
        <v>0</v>
      </c>
      <c r="Z511" t="e">
        <f>VLOOKUP(E511,Sheet2!$A$1:$A$39,1,0)</f>
        <v>#N/A</v>
      </c>
      <c r="AA511">
        <f>VLOOKUP($E511,[1]Sheet1!$E$10:$X$629,AA$9,0)</f>
        <v>0</v>
      </c>
      <c r="AB511">
        <f>VLOOKUP($E511,[1]Sheet1!$E$10:$X$629,AB$9,0)</f>
        <v>144</v>
      </c>
      <c r="AC511">
        <f>VLOOKUP($E511,[1]Sheet1!$E$10:$X$629,AC$9,0)</f>
        <v>0</v>
      </c>
      <c r="AD511">
        <f>VLOOKUP($E511,[1]Sheet1!$E$10:$X$629,AD$9,0)</f>
        <v>144</v>
      </c>
      <c r="AE511">
        <f>VLOOKUP($E511,[1]Sheet1!$E$10:$X$629,AE$9,0)</f>
        <v>0</v>
      </c>
      <c r="AF511">
        <f>VLOOKUP($E511,[1]Sheet1!$E$10:$X$629,AF$9,0)</f>
        <v>144</v>
      </c>
      <c r="AG511">
        <f>VLOOKUP($E511,[1]Sheet1!$E$10:$X$629,AG$9,0)</f>
        <v>0</v>
      </c>
      <c r="AH511">
        <f>VLOOKUP($E511,[1]Sheet1!$E$10:$X$629,AH$9,0)</f>
        <v>288</v>
      </c>
      <c r="AJ511">
        <f t="shared" si="25"/>
        <v>144</v>
      </c>
      <c r="AK511">
        <f t="shared" si="26"/>
        <v>720</v>
      </c>
      <c r="AL511">
        <f t="shared" si="27"/>
        <v>-576</v>
      </c>
    </row>
    <row r="512" spans="1:38" ht="39.6" x14ac:dyDescent="0.3">
      <c r="A512" s="4" t="s">
        <v>1501</v>
      </c>
      <c r="B512" s="5" t="s">
        <v>1502</v>
      </c>
      <c r="C512" s="21" t="s">
        <v>1503</v>
      </c>
      <c r="D512" s="20"/>
      <c r="E512" s="4">
        <v>1200399</v>
      </c>
      <c r="F512" s="4" t="s">
        <v>44</v>
      </c>
      <c r="G512" s="4" t="s">
        <v>45</v>
      </c>
      <c r="H512" s="4" t="s">
        <v>61</v>
      </c>
      <c r="I512" s="4" t="s">
        <v>57</v>
      </c>
      <c r="J512" s="4" t="s">
        <v>47</v>
      </c>
      <c r="K512" s="4">
        <v>10</v>
      </c>
      <c r="L512" s="4">
        <v>20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Z512" t="e">
        <f>VLOOKUP(E512,Sheet2!$A$1:$A$39,1,0)</f>
        <v>#N/A</v>
      </c>
      <c r="AA512">
        <f>VLOOKUP($E512,[1]Sheet1!$E$10:$X$629,AA$9,0)</f>
        <v>0</v>
      </c>
      <c r="AB512">
        <f>VLOOKUP($E512,[1]Sheet1!$E$10:$X$629,AB$9,0)</f>
        <v>0</v>
      </c>
      <c r="AC512">
        <f>VLOOKUP($E512,[1]Sheet1!$E$10:$X$629,AC$9,0)</f>
        <v>0</v>
      </c>
      <c r="AD512">
        <f>VLOOKUP($E512,[1]Sheet1!$E$10:$X$629,AD$9,0)</f>
        <v>0</v>
      </c>
      <c r="AE512">
        <f>VLOOKUP($E512,[1]Sheet1!$E$10:$X$629,AE$9,0)</f>
        <v>0</v>
      </c>
      <c r="AF512">
        <f>VLOOKUP($E512,[1]Sheet1!$E$10:$X$629,AF$9,0)</f>
        <v>0</v>
      </c>
      <c r="AG512">
        <f>VLOOKUP($E512,[1]Sheet1!$E$10:$X$629,AG$9,0)</f>
        <v>0</v>
      </c>
      <c r="AH512">
        <f>VLOOKUP($E512,[1]Sheet1!$E$10:$X$629,AH$9,0)</f>
        <v>0</v>
      </c>
      <c r="AJ512">
        <f t="shared" si="25"/>
        <v>0</v>
      </c>
      <c r="AK512">
        <f t="shared" si="26"/>
        <v>0</v>
      </c>
      <c r="AL512">
        <f t="shared" si="27"/>
        <v>0</v>
      </c>
    </row>
    <row r="513" spans="1:38" ht="39.6" x14ac:dyDescent="0.3">
      <c r="A513" s="4" t="s">
        <v>1504</v>
      </c>
      <c r="B513" s="5" t="s">
        <v>1505</v>
      </c>
      <c r="C513" s="21" t="s">
        <v>1506</v>
      </c>
      <c r="D513" s="20"/>
      <c r="E513" s="4">
        <v>1200395</v>
      </c>
      <c r="F513" s="4" t="s">
        <v>44</v>
      </c>
      <c r="G513" s="4" t="s">
        <v>45</v>
      </c>
      <c r="H513" s="4" t="s">
        <v>61</v>
      </c>
      <c r="I513" s="4" t="s">
        <v>57</v>
      </c>
      <c r="J513" s="4" t="s">
        <v>47</v>
      </c>
      <c r="K513" s="4">
        <v>10</v>
      </c>
      <c r="L513" s="4">
        <v>20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Z513" t="e">
        <f>VLOOKUP(E513,Sheet2!$A$1:$A$39,1,0)</f>
        <v>#N/A</v>
      </c>
      <c r="AA513">
        <f>VLOOKUP($E513,[1]Sheet1!$E$10:$X$629,AA$9,0)</f>
        <v>0</v>
      </c>
      <c r="AB513">
        <f>VLOOKUP($E513,[1]Sheet1!$E$10:$X$629,AB$9,0)</f>
        <v>0</v>
      </c>
      <c r="AC513">
        <f>VLOOKUP($E513,[1]Sheet1!$E$10:$X$629,AC$9,0)</f>
        <v>0</v>
      </c>
      <c r="AD513">
        <f>VLOOKUP($E513,[1]Sheet1!$E$10:$X$629,AD$9,0)</f>
        <v>0</v>
      </c>
      <c r="AE513">
        <f>VLOOKUP($E513,[1]Sheet1!$E$10:$X$629,AE$9,0)</f>
        <v>0</v>
      </c>
      <c r="AF513">
        <f>VLOOKUP($E513,[1]Sheet1!$E$10:$X$629,AF$9,0)</f>
        <v>0</v>
      </c>
      <c r="AG513">
        <f>VLOOKUP($E513,[1]Sheet1!$E$10:$X$629,AG$9,0)</f>
        <v>0</v>
      </c>
      <c r="AH513">
        <f>VLOOKUP($E513,[1]Sheet1!$E$10:$X$629,AH$9,0)</f>
        <v>0</v>
      </c>
      <c r="AJ513">
        <f t="shared" si="25"/>
        <v>0</v>
      </c>
      <c r="AK513">
        <f t="shared" si="26"/>
        <v>0</v>
      </c>
      <c r="AL513">
        <f t="shared" si="27"/>
        <v>0</v>
      </c>
    </row>
    <row r="514" spans="1:38" ht="39.6" x14ac:dyDescent="0.3">
      <c r="A514" s="4" t="s">
        <v>1507</v>
      </c>
      <c r="B514" s="5" t="s">
        <v>1508</v>
      </c>
      <c r="C514" s="21" t="s">
        <v>1509</v>
      </c>
      <c r="D514" s="20"/>
      <c r="E514" s="4">
        <v>1200397</v>
      </c>
      <c r="F514" s="4" t="s">
        <v>44</v>
      </c>
      <c r="G514" s="4" t="s">
        <v>45</v>
      </c>
      <c r="H514" s="4" t="s">
        <v>61</v>
      </c>
      <c r="I514" s="4" t="s">
        <v>57</v>
      </c>
      <c r="J514" s="4" t="s">
        <v>47</v>
      </c>
      <c r="K514" s="4">
        <v>10</v>
      </c>
      <c r="L514" s="4">
        <v>20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Z514" t="e">
        <f>VLOOKUP(E514,Sheet2!$A$1:$A$39,1,0)</f>
        <v>#N/A</v>
      </c>
      <c r="AA514">
        <f>VLOOKUP($E514,[1]Sheet1!$E$10:$X$629,AA$9,0)</f>
        <v>0</v>
      </c>
      <c r="AB514">
        <f>VLOOKUP($E514,[1]Sheet1!$E$10:$X$629,AB$9,0)</f>
        <v>0</v>
      </c>
      <c r="AC514">
        <f>VLOOKUP($E514,[1]Sheet1!$E$10:$X$629,AC$9,0)</f>
        <v>0</v>
      </c>
      <c r="AD514">
        <f>VLOOKUP($E514,[1]Sheet1!$E$10:$X$629,AD$9,0)</f>
        <v>0</v>
      </c>
      <c r="AE514">
        <f>VLOOKUP($E514,[1]Sheet1!$E$10:$X$629,AE$9,0)</f>
        <v>0</v>
      </c>
      <c r="AF514">
        <f>VLOOKUP($E514,[1]Sheet1!$E$10:$X$629,AF$9,0)</f>
        <v>0</v>
      </c>
      <c r="AG514">
        <f>VLOOKUP($E514,[1]Sheet1!$E$10:$X$629,AG$9,0)</f>
        <v>0</v>
      </c>
      <c r="AH514">
        <f>VLOOKUP($E514,[1]Sheet1!$E$10:$X$629,AH$9,0)</f>
        <v>0</v>
      </c>
      <c r="AJ514">
        <f t="shared" si="25"/>
        <v>0</v>
      </c>
      <c r="AK514">
        <f t="shared" si="26"/>
        <v>0</v>
      </c>
      <c r="AL514">
        <f t="shared" si="27"/>
        <v>0</v>
      </c>
    </row>
    <row r="515" spans="1:38" ht="39.6" x14ac:dyDescent="0.3">
      <c r="A515" s="4" t="s">
        <v>1510</v>
      </c>
      <c r="B515" s="5" t="s">
        <v>1511</v>
      </c>
      <c r="C515" s="21" t="s">
        <v>1512</v>
      </c>
      <c r="D515" s="20"/>
      <c r="E515" s="4">
        <v>1200393</v>
      </c>
      <c r="F515" s="4" t="s">
        <v>44</v>
      </c>
      <c r="G515" s="4" t="s">
        <v>45</v>
      </c>
      <c r="H515" s="4" t="s">
        <v>61</v>
      </c>
      <c r="I515" s="4" t="s">
        <v>57</v>
      </c>
      <c r="J515" s="4" t="s">
        <v>47</v>
      </c>
      <c r="K515" s="4">
        <v>10</v>
      </c>
      <c r="L515" s="4">
        <v>20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Z515" t="e">
        <f>VLOOKUP(E515,Sheet2!$A$1:$A$39,1,0)</f>
        <v>#N/A</v>
      </c>
      <c r="AA515">
        <f>VLOOKUP($E515,[1]Sheet1!$E$10:$X$629,AA$9,0)</f>
        <v>0</v>
      </c>
      <c r="AB515">
        <f>VLOOKUP($E515,[1]Sheet1!$E$10:$X$629,AB$9,0)</f>
        <v>0</v>
      </c>
      <c r="AC515">
        <f>VLOOKUP($E515,[1]Sheet1!$E$10:$X$629,AC$9,0)</f>
        <v>0</v>
      </c>
      <c r="AD515">
        <f>VLOOKUP($E515,[1]Sheet1!$E$10:$X$629,AD$9,0)</f>
        <v>0</v>
      </c>
      <c r="AE515">
        <f>VLOOKUP($E515,[1]Sheet1!$E$10:$X$629,AE$9,0)</f>
        <v>0</v>
      </c>
      <c r="AF515">
        <f>VLOOKUP($E515,[1]Sheet1!$E$10:$X$629,AF$9,0)</f>
        <v>0</v>
      </c>
      <c r="AG515">
        <f>VLOOKUP($E515,[1]Sheet1!$E$10:$X$629,AG$9,0)</f>
        <v>0</v>
      </c>
      <c r="AH515">
        <f>VLOOKUP($E515,[1]Sheet1!$E$10:$X$629,AH$9,0)</f>
        <v>0</v>
      </c>
      <c r="AJ515">
        <f t="shared" si="25"/>
        <v>0</v>
      </c>
      <c r="AK515">
        <f t="shared" si="26"/>
        <v>0</v>
      </c>
      <c r="AL515">
        <f t="shared" si="27"/>
        <v>0</v>
      </c>
    </row>
    <row r="516" spans="1:38" ht="39.6" x14ac:dyDescent="0.3">
      <c r="A516" s="4" t="s">
        <v>1513</v>
      </c>
      <c r="B516" s="5" t="s">
        <v>1514</v>
      </c>
      <c r="C516" s="21" t="s">
        <v>1515</v>
      </c>
      <c r="D516" s="20"/>
      <c r="E516" s="4">
        <v>1200434</v>
      </c>
      <c r="F516" s="4" t="s">
        <v>44</v>
      </c>
      <c r="G516" s="4" t="s">
        <v>45</v>
      </c>
      <c r="H516" s="4" t="s">
        <v>61</v>
      </c>
      <c r="I516" s="4" t="s">
        <v>57</v>
      </c>
      <c r="J516" s="4" t="s">
        <v>47</v>
      </c>
      <c r="K516" s="4">
        <v>10</v>
      </c>
      <c r="L516" s="4">
        <v>20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Z516" t="e">
        <f>VLOOKUP(E516,Sheet2!$A$1:$A$39,1,0)</f>
        <v>#N/A</v>
      </c>
      <c r="AA516">
        <f>VLOOKUP($E516,[1]Sheet1!$E$10:$X$629,AA$9,0)</f>
        <v>0</v>
      </c>
      <c r="AB516">
        <f>VLOOKUP($E516,[1]Sheet1!$E$10:$X$629,AB$9,0)</f>
        <v>0</v>
      </c>
      <c r="AC516">
        <f>VLOOKUP($E516,[1]Sheet1!$E$10:$X$629,AC$9,0)</f>
        <v>0</v>
      </c>
      <c r="AD516">
        <f>VLOOKUP($E516,[1]Sheet1!$E$10:$X$629,AD$9,0)</f>
        <v>0</v>
      </c>
      <c r="AE516">
        <f>VLOOKUP($E516,[1]Sheet1!$E$10:$X$629,AE$9,0)</f>
        <v>0</v>
      </c>
      <c r="AF516">
        <f>VLOOKUP($E516,[1]Sheet1!$E$10:$X$629,AF$9,0)</f>
        <v>0</v>
      </c>
      <c r="AG516">
        <f>VLOOKUP($E516,[1]Sheet1!$E$10:$X$629,AG$9,0)</f>
        <v>0</v>
      </c>
      <c r="AH516">
        <f>VLOOKUP($E516,[1]Sheet1!$E$10:$X$629,AH$9,0)</f>
        <v>0</v>
      </c>
      <c r="AJ516">
        <f t="shared" si="25"/>
        <v>0</v>
      </c>
      <c r="AK516">
        <f t="shared" si="26"/>
        <v>0</v>
      </c>
      <c r="AL516">
        <f t="shared" si="27"/>
        <v>0</v>
      </c>
    </row>
    <row r="517" spans="1:38" ht="39.6" x14ac:dyDescent="0.3">
      <c r="A517" s="4" t="s">
        <v>1516</v>
      </c>
      <c r="B517" s="5" t="s">
        <v>1517</v>
      </c>
      <c r="C517" s="21" t="s">
        <v>1518</v>
      </c>
      <c r="D517" s="20"/>
      <c r="E517" s="4">
        <v>1200435</v>
      </c>
      <c r="F517" s="4" t="s">
        <v>44</v>
      </c>
      <c r="G517" s="4" t="s">
        <v>45</v>
      </c>
      <c r="H517" s="4" t="s">
        <v>61</v>
      </c>
      <c r="I517" s="4" t="s">
        <v>57</v>
      </c>
      <c r="J517" s="4" t="s">
        <v>47</v>
      </c>
      <c r="K517" s="4">
        <v>10</v>
      </c>
      <c r="L517" s="4">
        <v>20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144</v>
      </c>
      <c r="S517" s="5">
        <v>144</v>
      </c>
      <c r="T517" s="5">
        <v>288</v>
      </c>
      <c r="U517" s="5">
        <v>432</v>
      </c>
      <c r="V517" s="5">
        <v>288</v>
      </c>
      <c r="W517" s="5">
        <v>288</v>
      </c>
      <c r="X517" s="5">
        <v>432</v>
      </c>
      <c r="Z517" t="e">
        <f>VLOOKUP(E517,Sheet2!$A$1:$A$39,1,0)</f>
        <v>#N/A</v>
      </c>
      <c r="AA517">
        <f>VLOOKUP($E517,[1]Sheet1!$E$10:$X$629,AA$9,0)</f>
        <v>0</v>
      </c>
      <c r="AB517">
        <f>VLOOKUP($E517,[1]Sheet1!$E$10:$X$629,AB$9,0)</f>
        <v>0</v>
      </c>
      <c r="AC517">
        <f>VLOOKUP($E517,[1]Sheet1!$E$10:$X$629,AC$9,0)</f>
        <v>0</v>
      </c>
      <c r="AD517">
        <f>VLOOKUP($E517,[1]Sheet1!$E$10:$X$629,AD$9,0)</f>
        <v>0</v>
      </c>
      <c r="AE517">
        <f>VLOOKUP($E517,[1]Sheet1!$E$10:$X$629,AE$9,0)</f>
        <v>0</v>
      </c>
      <c r="AF517">
        <f>VLOOKUP($E517,[1]Sheet1!$E$10:$X$629,AF$9,0)</f>
        <v>144</v>
      </c>
      <c r="AG517">
        <f>VLOOKUP($E517,[1]Sheet1!$E$10:$X$629,AG$9,0)</f>
        <v>144</v>
      </c>
      <c r="AH517">
        <f>VLOOKUP($E517,[1]Sheet1!$E$10:$X$629,AH$9,0)</f>
        <v>144</v>
      </c>
      <c r="AJ517">
        <f t="shared" si="25"/>
        <v>576</v>
      </c>
      <c r="AK517">
        <f t="shared" si="26"/>
        <v>432</v>
      </c>
      <c r="AL517">
        <f t="shared" si="27"/>
        <v>144</v>
      </c>
    </row>
    <row r="518" spans="1:38" ht="39.6" x14ac:dyDescent="0.3">
      <c r="A518" s="4" t="s">
        <v>1519</v>
      </c>
      <c r="B518" s="5" t="s">
        <v>1520</v>
      </c>
      <c r="C518" s="21" t="s">
        <v>1521</v>
      </c>
      <c r="D518" s="20"/>
      <c r="E518" s="4">
        <v>1200436</v>
      </c>
      <c r="F518" s="4" t="s">
        <v>44</v>
      </c>
      <c r="G518" s="4" t="s">
        <v>45</v>
      </c>
      <c r="H518" s="4" t="s">
        <v>56</v>
      </c>
      <c r="I518" s="4" t="s">
        <v>57</v>
      </c>
      <c r="J518" s="4" t="s">
        <v>47</v>
      </c>
      <c r="K518" s="4">
        <v>10</v>
      </c>
      <c r="L518" s="4">
        <v>20</v>
      </c>
      <c r="M518" s="5">
        <v>144</v>
      </c>
      <c r="N518" s="5">
        <v>288</v>
      </c>
      <c r="O518" s="5">
        <v>288</v>
      </c>
      <c r="P518" s="5">
        <v>144</v>
      </c>
      <c r="Q518" s="5">
        <v>432</v>
      </c>
      <c r="R518" s="5">
        <v>576</v>
      </c>
      <c r="S518" s="5">
        <v>288</v>
      </c>
      <c r="T518" s="5">
        <v>432</v>
      </c>
      <c r="U518" s="5">
        <v>576</v>
      </c>
      <c r="V518" s="5">
        <v>864</v>
      </c>
      <c r="W518" s="5">
        <v>576</v>
      </c>
      <c r="X518" s="5">
        <v>1008</v>
      </c>
      <c r="Z518" t="e">
        <f>VLOOKUP(E518,Sheet2!$A$1:$A$39,1,0)</f>
        <v>#N/A</v>
      </c>
      <c r="AA518">
        <f>VLOOKUP($E518,[1]Sheet1!$E$10:$X$629,AA$9,0)</f>
        <v>0</v>
      </c>
      <c r="AB518">
        <f>VLOOKUP($E518,[1]Sheet1!$E$10:$X$629,AB$9,0)</f>
        <v>0</v>
      </c>
      <c r="AC518">
        <f>VLOOKUP($E518,[1]Sheet1!$E$10:$X$629,AC$9,0)</f>
        <v>288</v>
      </c>
      <c r="AD518">
        <f>VLOOKUP($E518,[1]Sheet1!$E$10:$X$629,AD$9,0)</f>
        <v>144</v>
      </c>
      <c r="AE518">
        <f>VLOOKUP($E518,[1]Sheet1!$E$10:$X$629,AE$9,0)</f>
        <v>144</v>
      </c>
      <c r="AF518">
        <f>VLOOKUP($E518,[1]Sheet1!$E$10:$X$629,AF$9,0)</f>
        <v>288</v>
      </c>
      <c r="AG518">
        <f>VLOOKUP($E518,[1]Sheet1!$E$10:$X$629,AG$9,0)</f>
        <v>288</v>
      </c>
      <c r="AH518">
        <f>VLOOKUP($E518,[1]Sheet1!$E$10:$X$629,AH$9,0)</f>
        <v>144</v>
      </c>
      <c r="AJ518">
        <f t="shared" si="25"/>
        <v>2592</v>
      </c>
      <c r="AK518">
        <f t="shared" si="26"/>
        <v>1296</v>
      </c>
      <c r="AL518">
        <f t="shared" si="27"/>
        <v>1296</v>
      </c>
    </row>
    <row r="519" spans="1:38" ht="39.6" x14ac:dyDescent="0.3">
      <c r="A519" s="4" t="s">
        <v>1522</v>
      </c>
      <c r="B519" s="5" t="s">
        <v>1523</v>
      </c>
      <c r="C519" s="21" t="s">
        <v>1524</v>
      </c>
      <c r="D519" s="20"/>
      <c r="E519" s="4">
        <v>1200437</v>
      </c>
      <c r="F519" s="4" t="s">
        <v>44</v>
      </c>
      <c r="G519" s="4" t="s">
        <v>45</v>
      </c>
      <c r="H519" s="4" t="s">
        <v>61</v>
      </c>
      <c r="I519" s="4" t="s">
        <v>57</v>
      </c>
      <c r="J519" s="4" t="s">
        <v>47</v>
      </c>
      <c r="K519" s="4">
        <v>10</v>
      </c>
      <c r="L519" s="4">
        <v>20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144</v>
      </c>
      <c r="T519" s="5">
        <v>0</v>
      </c>
      <c r="U519" s="5">
        <v>0</v>
      </c>
      <c r="V519" s="5">
        <v>0</v>
      </c>
      <c r="W519" s="5">
        <v>144</v>
      </c>
      <c r="X519" s="5">
        <v>0</v>
      </c>
      <c r="Z519" t="e">
        <f>VLOOKUP(E519,Sheet2!$A$1:$A$39,1,0)</f>
        <v>#N/A</v>
      </c>
      <c r="AA519">
        <f>VLOOKUP($E519,[1]Sheet1!$E$10:$X$629,AA$9,0)</f>
        <v>0</v>
      </c>
      <c r="AB519">
        <f>VLOOKUP($E519,[1]Sheet1!$E$10:$X$629,AB$9,0)</f>
        <v>0</v>
      </c>
      <c r="AC519">
        <f>VLOOKUP($E519,[1]Sheet1!$E$10:$X$629,AC$9,0)</f>
        <v>0</v>
      </c>
      <c r="AD519">
        <f>VLOOKUP($E519,[1]Sheet1!$E$10:$X$629,AD$9,0)</f>
        <v>0</v>
      </c>
      <c r="AE519">
        <f>VLOOKUP($E519,[1]Sheet1!$E$10:$X$629,AE$9,0)</f>
        <v>0</v>
      </c>
      <c r="AF519">
        <f>VLOOKUP($E519,[1]Sheet1!$E$10:$X$629,AF$9,0)</f>
        <v>144</v>
      </c>
      <c r="AG519">
        <f>VLOOKUP($E519,[1]Sheet1!$E$10:$X$629,AG$9,0)</f>
        <v>0</v>
      </c>
      <c r="AH519">
        <f>VLOOKUP($E519,[1]Sheet1!$E$10:$X$629,AH$9,0)</f>
        <v>0</v>
      </c>
      <c r="AJ519">
        <f t="shared" si="25"/>
        <v>144</v>
      </c>
      <c r="AK519">
        <f t="shared" si="26"/>
        <v>144</v>
      </c>
      <c r="AL519">
        <f t="shared" si="27"/>
        <v>0</v>
      </c>
    </row>
    <row r="520" spans="1:38" ht="39.6" x14ac:dyDescent="0.3">
      <c r="A520" s="4" t="s">
        <v>1525</v>
      </c>
      <c r="B520" s="5" t="s">
        <v>1526</v>
      </c>
      <c r="C520" s="21" t="s">
        <v>1527</v>
      </c>
      <c r="D520" s="20"/>
      <c r="E520" s="4">
        <v>1200438</v>
      </c>
      <c r="F520" s="4" t="s">
        <v>44</v>
      </c>
      <c r="G520" s="4" t="s">
        <v>45</v>
      </c>
      <c r="H520" s="4" t="s">
        <v>61</v>
      </c>
      <c r="I520" s="4" t="s">
        <v>57</v>
      </c>
      <c r="J520" s="4" t="s">
        <v>47</v>
      </c>
      <c r="K520" s="4">
        <v>10</v>
      </c>
      <c r="L520" s="4">
        <v>20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Z520" t="e">
        <f>VLOOKUP(E520,Sheet2!$A$1:$A$39,1,0)</f>
        <v>#N/A</v>
      </c>
      <c r="AA520">
        <f>VLOOKUP($E520,[1]Sheet1!$E$10:$X$629,AA$9,0)</f>
        <v>0</v>
      </c>
      <c r="AB520">
        <f>VLOOKUP($E520,[1]Sheet1!$E$10:$X$629,AB$9,0)</f>
        <v>0</v>
      </c>
      <c r="AC520">
        <f>VLOOKUP($E520,[1]Sheet1!$E$10:$X$629,AC$9,0)</f>
        <v>0</v>
      </c>
      <c r="AD520">
        <f>VLOOKUP($E520,[1]Sheet1!$E$10:$X$629,AD$9,0)</f>
        <v>0</v>
      </c>
      <c r="AE520">
        <f>VLOOKUP($E520,[1]Sheet1!$E$10:$X$629,AE$9,0)</f>
        <v>0</v>
      </c>
      <c r="AF520">
        <f>VLOOKUP($E520,[1]Sheet1!$E$10:$X$629,AF$9,0)</f>
        <v>0</v>
      </c>
      <c r="AG520">
        <f>VLOOKUP($E520,[1]Sheet1!$E$10:$X$629,AG$9,0)</f>
        <v>0</v>
      </c>
      <c r="AH520">
        <f>VLOOKUP($E520,[1]Sheet1!$E$10:$X$629,AH$9,0)</f>
        <v>0</v>
      </c>
      <c r="AJ520">
        <f t="shared" si="25"/>
        <v>0</v>
      </c>
      <c r="AK520">
        <f t="shared" si="26"/>
        <v>0</v>
      </c>
      <c r="AL520">
        <f t="shared" si="27"/>
        <v>0</v>
      </c>
    </row>
    <row r="521" spans="1:38" ht="39.6" x14ac:dyDescent="0.3">
      <c r="A521" s="4" t="s">
        <v>1528</v>
      </c>
      <c r="B521" s="5" t="s">
        <v>1529</v>
      </c>
      <c r="C521" s="21" t="s">
        <v>1530</v>
      </c>
      <c r="D521" s="20"/>
      <c r="E521" s="4">
        <v>1200439</v>
      </c>
      <c r="F521" s="4" t="s">
        <v>44</v>
      </c>
      <c r="G521" s="4" t="s">
        <v>45</v>
      </c>
      <c r="H521" s="4" t="s">
        <v>61</v>
      </c>
      <c r="I521" s="4" t="s">
        <v>57</v>
      </c>
      <c r="J521" s="4" t="s">
        <v>47</v>
      </c>
      <c r="K521" s="4">
        <v>10</v>
      </c>
      <c r="L521" s="4">
        <v>20</v>
      </c>
      <c r="M521" s="5">
        <v>0</v>
      </c>
      <c r="N521" s="5">
        <v>0</v>
      </c>
      <c r="O521" s="5">
        <v>144</v>
      </c>
      <c r="P521" s="5">
        <v>0</v>
      </c>
      <c r="Q521" s="5">
        <v>144</v>
      </c>
      <c r="R521" s="5">
        <v>0</v>
      </c>
      <c r="S521" s="5">
        <v>144</v>
      </c>
      <c r="T521" s="5">
        <v>0</v>
      </c>
      <c r="U521" s="5">
        <v>144</v>
      </c>
      <c r="V521" s="5">
        <v>144</v>
      </c>
      <c r="W521" s="5">
        <v>144</v>
      </c>
      <c r="X521" s="5">
        <v>288</v>
      </c>
      <c r="Z521" t="e">
        <f>VLOOKUP(E521,Sheet2!$A$1:$A$39,1,0)</f>
        <v>#N/A</v>
      </c>
      <c r="AA521">
        <f>VLOOKUP($E521,[1]Sheet1!$E$10:$X$629,AA$9,0)</f>
        <v>0</v>
      </c>
      <c r="AB521">
        <f>VLOOKUP($E521,[1]Sheet1!$E$10:$X$629,AB$9,0)</f>
        <v>144</v>
      </c>
      <c r="AC521">
        <f>VLOOKUP($E521,[1]Sheet1!$E$10:$X$629,AC$9,0)</f>
        <v>0</v>
      </c>
      <c r="AD521">
        <f>VLOOKUP($E521,[1]Sheet1!$E$10:$X$629,AD$9,0)</f>
        <v>144</v>
      </c>
      <c r="AE521">
        <f>VLOOKUP($E521,[1]Sheet1!$E$10:$X$629,AE$9,0)</f>
        <v>144</v>
      </c>
      <c r="AF521">
        <f>VLOOKUP($E521,[1]Sheet1!$E$10:$X$629,AF$9,0)</f>
        <v>0</v>
      </c>
      <c r="AG521">
        <f>VLOOKUP($E521,[1]Sheet1!$E$10:$X$629,AG$9,0)</f>
        <v>144</v>
      </c>
      <c r="AH521">
        <f>VLOOKUP($E521,[1]Sheet1!$E$10:$X$629,AH$9,0)</f>
        <v>0</v>
      </c>
      <c r="AJ521">
        <f t="shared" si="25"/>
        <v>432</v>
      </c>
      <c r="AK521">
        <f t="shared" si="26"/>
        <v>576</v>
      </c>
      <c r="AL521">
        <f t="shared" si="27"/>
        <v>-144</v>
      </c>
    </row>
    <row r="522" spans="1:38" ht="39.6" x14ac:dyDescent="0.3">
      <c r="A522" s="4" t="s">
        <v>1531</v>
      </c>
      <c r="B522" s="5" t="s">
        <v>1532</v>
      </c>
      <c r="C522" s="21" t="s">
        <v>1533</v>
      </c>
      <c r="D522" s="20"/>
      <c r="E522" s="4">
        <v>1200440</v>
      </c>
      <c r="F522" s="4" t="s">
        <v>44</v>
      </c>
      <c r="G522" s="4" t="s">
        <v>45</v>
      </c>
      <c r="H522" s="4" t="s">
        <v>61</v>
      </c>
      <c r="I522" s="4" t="s">
        <v>57</v>
      </c>
      <c r="J522" s="4" t="s">
        <v>47</v>
      </c>
      <c r="K522" s="4">
        <v>10</v>
      </c>
      <c r="L522" s="4">
        <v>20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144</v>
      </c>
      <c r="W522" s="5">
        <v>288</v>
      </c>
      <c r="X522" s="5">
        <v>144</v>
      </c>
      <c r="Z522" t="e">
        <f>VLOOKUP(E522,Sheet2!$A$1:$A$39,1,0)</f>
        <v>#N/A</v>
      </c>
      <c r="AA522">
        <f>VLOOKUP($E522,[1]Sheet1!$E$10:$X$629,AA$9,0)</f>
        <v>0</v>
      </c>
      <c r="AB522">
        <f>VLOOKUP($E522,[1]Sheet1!$E$10:$X$629,AB$9,0)</f>
        <v>0</v>
      </c>
      <c r="AC522">
        <f>VLOOKUP($E522,[1]Sheet1!$E$10:$X$629,AC$9,0)</f>
        <v>0</v>
      </c>
      <c r="AD522">
        <f>VLOOKUP($E522,[1]Sheet1!$E$10:$X$629,AD$9,0)</f>
        <v>0</v>
      </c>
      <c r="AE522">
        <f>VLOOKUP($E522,[1]Sheet1!$E$10:$X$629,AE$9,0)</f>
        <v>0</v>
      </c>
      <c r="AF522">
        <f>VLOOKUP($E522,[1]Sheet1!$E$10:$X$629,AF$9,0)</f>
        <v>0</v>
      </c>
      <c r="AG522">
        <f>VLOOKUP($E522,[1]Sheet1!$E$10:$X$629,AG$9,0)</f>
        <v>0</v>
      </c>
      <c r="AH522">
        <f>VLOOKUP($E522,[1]Sheet1!$E$10:$X$629,AH$9,0)</f>
        <v>0</v>
      </c>
      <c r="AJ522">
        <f t="shared" si="25"/>
        <v>0</v>
      </c>
      <c r="AK522">
        <f t="shared" si="26"/>
        <v>0</v>
      </c>
      <c r="AL522">
        <f t="shared" si="27"/>
        <v>0</v>
      </c>
    </row>
    <row r="523" spans="1:38" ht="39.6" x14ac:dyDescent="0.3">
      <c r="A523" s="4" t="s">
        <v>1534</v>
      </c>
      <c r="B523" s="5" t="s">
        <v>1535</v>
      </c>
      <c r="C523" s="21" t="s">
        <v>1536</v>
      </c>
      <c r="D523" s="20"/>
      <c r="E523" s="4">
        <v>1200504</v>
      </c>
      <c r="F523" s="4" t="s">
        <v>44</v>
      </c>
      <c r="G523" s="4" t="s">
        <v>45</v>
      </c>
      <c r="H523" s="4" t="s">
        <v>56</v>
      </c>
      <c r="I523" s="4" t="s">
        <v>57</v>
      </c>
      <c r="J523" s="4" t="s">
        <v>47</v>
      </c>
      <c r="K523" s="4">
        <v>8.5</v>
      </c>
      <c r="L523" s="4">
        <v>17</v>
      </c>
      <c r="M523" s="5">
        <v>0</v>
      </c>
      <c r="N523" s="5">
        <v>0</v>
      </c>
      <c r="O523" s="5">
        <v>0</v>
      </c>
      <c r="P523" s="5">
        <v>0</v>
      </c>
      <c r="Q523" s="5">
        <v>144</v>
      </c>
      <c r="R523" s="5">
        <v>288</v>
      </c>
      <c r="S523" s="5">
        <v>288</v>
      </c>
      <c r="T523" s="5">
        <v>288</v>
      </c>
      <c r="U523" s="5">
        <v>576</v>
      </c>
      <c r="V523" s="5">
        <v>720</v>
      </c>
      <c r="W523" s="5">
        <v>576</v>
      </c>
      <c r="X523" s="5">
        <v>864</v>
      </c>
      <c r="Z523" t="e">
        <f>VLOOKUP(E523,Sheet2!$A$1:$A$39,1,0)</f>
        <v>#N/A</v>
      </c>
      <c r="AA523">
        <f>VLOOKUP($E523,[1]Sheet1!$E$10:$X$629,AA$9,0)</f>
        <v>288</v>
      </c>
      <c r="AB523">
        <f>VLOOKUP($E523,[1]Sheet1!$E$10:$X$629,AB$9,0)</f>
        <v>144</v>
      </c>
      <c r="AC523">
        <f>VLOOKUP($E523,[1]Sheet1!$E$10:$X$629,AC$9,0)</f>
        <v>576</v>
      </c>
      <c r="AD523">
        <f>VLOOKUP($E523,[1]Sheet1!$E$10:$X$629,AD$9,0)</f>
        <v>288</v>
      </c>
      <c r="AE523">
        <f>VLOOKUP($E523,[1]Sheet1!$E$10:$X$629,AE$9,0)</f>
        <v>432</v>
      </c>
      <c r="AF523">
        <f>VLOOKUP($E523,[1]Sheet1!$E$10:$X$629,AF$9,0)</f>
        <v>432</v>
      </c>
      <c r="AG523">
        <f>VLOOKUP($E523,[1]Sheet1!$E$10:$X$629,AG$9,0)</f>
        <v>720</v>
      </c>
      <c r="AH523">
        <f>VLOOKUP($E523,[1]Sheet1!$E$10:$X$629,AH$9,0)</f>
        <v>144</v>
      </c>
      <c r="AJ523">
        <f t="shared" ref="AJ523:AJ586" si="28">SUM(M523:T523)</f>
        <v>1008</v>
      </c>
      <c r="AK523">
        <f t="shared" ref="AK523:AK586" si="29">SUM(AA523:AH523)</f>
        <v>3024</v>
      </c>
      <c r="AL523">
        <f t="shared" ref="AL523:AL586" si="30">IFERROR(AJ523-AK523,0)</f>
        <v>-2016</v>
      </c>
    </row>
    <row r="524" spans="1:38" ht="39.6" x14ac:dyDescent="0.3">
      <c r="A524" s="4" t="s">
        <v>1537</v>
      </c>
      <c r="B524" s="5" t="s">
        <v>1538</v>
      </c>
      <c r="C524" s="21" t="s">
        <v>1539</v>
      </c>
      <c r="D524" s="20"/>
      <c r="E524" s="4">
        <v>1200505</v>
      </c>
      <c r="F524" s="4" t="s">
        <v>44</v>
      </c>
      <c r="G524" s="4" t="s">
        <v>45</v>
      </c>
      <c r="H524" s="4" t="s">
        <v>56</v>
      </c>
      <c r="I524" s="4" t="s">
        <v>57</v>
      </c>
      <c r="J524" s="4" t="s">
        <v>47</v>
      </c>
      <c r="K524" s="4">
        <v>8.5</v>
      </c>
      <c r="L524" s="4">
        <v>17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144</v>
      </c>
      <c r="X524" s="5">
        <v>144</v>
      </c>
      <c r="Z524" t="e">
        <f>VLOOKUP(E524,Sheet2!$A$1:$A$39,1,0)</f>
        <v>#N/A</v>
      </c>
      <c r="AA524">
        <f>VLOOKUP($E524,[1]Sheet1!$E$10:$X$629,AA$9,0)</f>
        <v>0</v>
      </c>
      <c r="AB524">
        <f>VLOOKUP($E524,[1]Sheet1!$E$10:$X$629,AB$9,0)</f>
        <v>0</v>
      </c>
      <c r="AC524">
        <f>VLOOKUP($E524,[1]Sheet1!$E$10:$X$629,AC$9,0)</f>
        <v>0</v>
      </c>
      <c r="AD524">
        <f>VLOOKUP($E524,[1]Sheet1!$E$10:$X$629,AD$9,0)</f>
        <v>0</v>
      </c>
      <c r="AE524">
        <f>VLOOKUP($E524,[1]Sheet1!$E$10:$X$629,AE$9,0)</f>
        <v>144</v>
      </c>
      <c r="AF524">
        <f>VLOOKUP($E524,[1]Sheet1!$E$10:$X$629,AF$9,0)</f>
        <v>288</v>
      </c>
      <c r="AG524">
        <f>VLOOKUP($E524,[1]Sheet1!$E$10:$X$629,AG$9,0)</f>
        <v>288</v>
      </c>
      <c r="AH524">
        <f>VLOOKUP($E524,[1]Sheet1!$E$10:$X$629,AH$9,0)</f>
        <v>0</v>
      </c>
      <c r="AJ524">
        <f t="shared" si="28"/>
        <v>0</v>
      </c>
      <c r="AK524">
        <f t="shared" si="29"/>
        <v>720</v>
      </c>
      <c r="AL524">
        <f t="shared" si="30"/>
        <v>-720</v>
      </c>
    </row>
    <row r="525" spans="1:38" ht="39.6" x14ac:dyDescent="0.3">
      <c r="A525" s="4" t="s">
        <v>1540</v>
      </c>
      <c r="B525" s="5" t="s">
        <v>1541</v>
      </c>
      <c r="C525" s="21" t="s">
        <v>1542</v>
      </c>
      <c r="D525" s="20"/>
      <c r="E525" s="4">
        <v>1200597</v>
      </c>
      <c r="F525" s="4" t="s">
        <v>44</v>
      </c>
      <c r="G525" s="4" t="s">
        <v>45</v>
      </c>
      <c r="H525" s="4" t="s">
        <v>56</v>
      </c>
      <c r="I525" s="4" t="s">
        <v>57</v>
      </c>
      <c r="J525" s="4" t="s">
        <v>47</v>
      </c>
      <c r="K525" s="4">
        <v>8.5</v>
      </c>
      <c r="L525" s="4">
        <v>17</v>
      </c>
      <c r="M525" s="5">
        <v>0</v>
      </c>
      <c r="N525" s="5">
        <v>0</v>
      </c>
      <c r="O525" s="5">
        <v>0</v>
      </c>
      <c r="P525" s="5">
        <v>144</v>
      </c>
      <c r="Q525" s="5">
        <v>432</v>
      </c>
      <c r="R525" s="5">
        <v>576</v>
      </c>
      <c r="S525" s="5">
        <v>288</v>
      </c>
      <c r="T525" s="5">
        <v>576</v>
      </c>
      <c r="U525" s="5">
        <v>576</v>
      </c>
      <c r="V525" s="5">
        <v>1152</v>
      </c>
      <c r="W525" s="5">
        <v>720</v>
      </c>
      <c r="X525" s="5">
        <v>1008</v>
      </c>
      <c r="Z525" t="e">
        <f>VLOOKUP(E525,Sheet2!$A$1:$A$39,1,0)</f>
        <v>#N/A</v>
      </c>
      <c r="AA525">
        <f>VLOOKUP($E525,[1]Sheet1!$E$10:$X$629,AA$9,0)</f>
        <v>288</v>
      </c>
      <c r="AB525">
        <f>VLOOKUP($E525,[1]Sheet1!$E$10:$X$629,AB$9,0)</f>
        <v>432</v>
      </c>
      <c r="AC525">
        <f>VLOOKUP($E525,[1]Sheet1!$E$10:$X$629,AC$9,0)</f>
        <v>432</v>
      </c>
      <c r="AD525">
        <f>VLOOKUP($E525,[1]Sheet1!$E$10:$X$629,AD$9,0)</f>
        <v>864</v>
      </c>
      <c r="AE525">
        <f>VLOOKUP($E525,[1]Sheet1!$E$10:$X$629,AE$9,0)</f>
        <v>720</v>
      </c>
      <c r="AF525">
        <f>VLOOKUP($E525,[1]Sheet1!$E$10:$X$629,AF$9,0)</f>
        <v>864</v>
      </c>
      <c r="AG525">
        <f>VLOOKUP($E525,[1]Sheet1!$E$10:$X$629,AG$9,0)</f>
        <v>720</v>
      </c>
      <c r="AH525">
        <f>VLOOKUP($E525,[1]Sheet1!$E$10:$X$629,AH$9,0)</f>
        <v>288</v>
      </c>
      <c r="AJ525">
        <f t="shared" si="28"/>
        <v>2016</v>
      </c>
      <c r="AK525">
        <f t="shared" si="29"/>
        <v>4608</v>
      </c>
      <c r="AL525">
        <f t="shared" si="30"/>
        <v>-2592</v>
      </c>
    </row>
    <row r="526" spans="1:38" ht="39.6" x14ac:dyDescent="0.3">
      <c r="A526" s="4" t="s">
        <v>1543</v>
      </c>
      <c r="B526" s="5" t="s">
        <v>1544</v>
      </c>
      <c r="C526" s="21" t="s">
        <v>1545</v>
      </c>
      <c r="D526" s="20"/>
      <c r="E526" s="4">
        <v>1200593</v>
      </c>
      <c r="F526" s="4" t="s">
        <v>44</v>
      </c>
      <c r="G526" s="4" t="s">
        <v>45</v>
      </c>
      <c r="H526" s="4" t="s">
        <v>56</v>
      </c>
      <c r="I526" s="4" t="s">
        <v>57</v>
      </c>
      <c r="J526" s="4" t="s">
        <v>47</v>
      </c>
      <c r="K526" s="4">
        <v>7.5</v>
      </c>
      <c r="L526" s="4">
        <v>15</v>
      </c>
      <c r="M526" s="5">
        <v>1008</v>
      </c>
      <c r="N526" s="5">
        <v>0</v>
      </c>
      <c r="O526" s="5">
        <v>288</v>
      </c>
      <c r="P526" s="5">
        <v>144</v>
      </c>
      <c r="Q526" s="5">
        <v>288</v>
      </c>
      <c r="R526" s="5">
        <v>576</v>
      </c>
      <c r="S526" s="5">
        <v>1008</v>
      </c>
      <c r="T526" s="5">
        <v>576</v>
      </c>
      <c r="U526" s="5">
        <v>1152</v>
      </c>
      <c r="V526" s="5">
        <v>1296</v>
      </c>
      <c r="W526" s="5">
        <v>720</v>
      </c>
      <c r="X526" s="5">
        <v>1584</v>
      </c>
      <c r="Z526" t="e">
        <f>VLOOKUP(E526,Sheet2!$A$1:$A$39,1,0)</f>
        <v>#N/A</v>
      </c>
      <c r="AA526">
        <f>VLOOKUP($E526,[1]Sheet1!$E$10:$X$629,AA$9,0)</f>
        <v>1152</v>
      </c>
      <c r="AB526">
        <f>VLOOKUP($E526,[1]Sheet1!$E$10:$X$629,AB$9,0)</f>
        <v>576</v>
      </c>
      <c r="AC526">
        <f>VLOOKUP($E526,[1]Sheet1!$E$10:$X$629,AC$9,0)</f>
        <v>1296</v>
      </c>
      <c r="AD526">
        <f>VLOOKUP($E526,[1]Sheet1!$E$10:$X$629,AD$9,0)</f>
        <v>1008</v>
      </c>
      <c r="AE526">
        <f>VLOOKUP($E526,[1]Sheet1!$E$10:$X$629,AE$9,0)</f>
        <v>864</v>
      </c>
      <c r="AF526">
        <f>VLOOKUP($E526,[1]Sheet1!$E$10:$X$629,AF$9,0)</f>
        <v>1296</v>
      </c>
      <c r="AG526">
        <f>VLOOKUP($E526,[1]Sheet1!$E$10:$X$629,AG$9,0)</f>
        <v>1008</v>
      </c>
      <c r="AH526">
        <f>VLOOKUP($E526,[1]Sheet1!$E$10:$X$629,AH$9,0)</f>
        <v>288</v>
      </c>
      <c r="AJ526">
        <f t="shared" si="28"/>
        <v>3888</v>
      </c>
      <c r="AK526">
        <f t="shared" si="29"/>
        <v>7488</v>
      </c>
      <c r="AL526">
        <f t="shared" si="30"/>
        <v>-3600</v>
      </c>
    </row>
    <row r="527" spans="1:38" ht="39.6" x14ac:dyDescent="0.3">
      <c r="A527" s="4" t="s">
        <v>1546</v>
      </c>
      <c r="B527" s="5" t="s">
        <v>1547</v>
      </c>
      <c r="C527" s="21" t="s">
        <v>1548</v>
      </c>
      <c r="D527" s="20"/>
      <c r="E527" s="4">
        <v>1200441</v>
      </c>
      <c r="F527" s="4" t="s">
        <v>44</v>
      </c>
      <c r="G527" s="4" t="s">
        <v>45</v>
      </c>
      <c r="H527" s="4" t="s">
        <v>61</v>
      </c>
      <c r="I527" s="4" t="s">
        <v>57</v>
      </c>
      <c r="J527" s="4" t="s">
        <v>47</v>
      </c>
      <c r="K527" s="4">
        <v>10</v>
      </c>
      <c r="L527" s="4">
        <v>20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Z527" t="e">
        <f>VLOOKUP(E527,Sheet2!$A$1:$A$39,1,0)</f>
        <v>#N/A</v>
      </c>
      <c r="AA527">
        <f>VLOOKUP($E527,[1]Sheet1!$E$10:$X$629,AA$9,0)</f>
        <v>0</v>
      </c>
      <c r="AB527">
        <f>VLOOKUP($E527,[1]Sheet1!$E$10:$X$629,AB$9,0)</f>
        <v>0</v>
      </c>
      <c r="AC527">
        <f>VLOOKUP($E527,[1]Sheet1!$E$10:$X$629,AC$9,0)</f>
        <v>0</v>
      </c>
      <c r="AD527">
        <f>VLOOKUP($E527,[1]Sheet1!$E$10:$X$629,AD$9,0)</f>
        <v>0</v>
      </c>
      <c r="AE527">
        <f>VLOOKUP($E527,[1]Sheet1!$E$10:$X$629,AE$9,0)</f>
        <v>0</v>
      </c>
      <c r="AF527">
        <f>VLOOKUP($E527,[1]Sheet1!$E$10:$X$629,AF$9,0)</f>
        <v>0</v>
      </c>
      <c r="AG527">
        <f>VLOOKUP($E527,[1]Sheet1!$E$10:$X$629,AG$9,0)</f>
        <v>0</v>
      </c>
      <c r="AH527">
        <f>VLOOKUP($E527,[1]Sheet1!$E$10:$X$629,AH$9,0)</f>
        <v>0</v>
      </c>
      <c r="AJ527">
        <f t="shared" si="28"/>
        <v>0</v>
      </c>
      <c r="AK527">
        <f t="shared" si="29"/>
        <v>0</v>
      </c>
      <c r="AL527">
        <f t="shared" si="30"/>
        <v>0</v>
      </c>
    </row>
    <row r="528" spans="1:38" ht="39.6" x14ac:dyDescent="0.3">
      <c r="A528" s="4" t="s">
        <v>1549</v>
      </c>
      <c r="B528" s="5" t="s">
        <v>1550</v>
      </c>
      <c r="C528" s="21" t="s">
        <v>1551</v>
      </c>
      <c r="D528" s="20"/>
      <c r="E528" s="4">
        <v>1200495</v>
      </c>
      <c r="F528" s="4" t="s">
        <v>44</v>
      </c>
      <c r="G528" s="4" t="s">
        <v>45</v>
      </c>
      <c r="H528" s="4" t="s">
        <v>56</v>
      </c>
      <c r="I528" s="4" t="s">
        <v>57</v>
      </c>
      <c r="J528" s="4" t="s">
        <v>47</v>
      </c>
      <c r="K528" s="4">
        <v>6.5</v>
      </c>
      <c r="L528" s="4">
        <v>13</v>
      </c>
      <c r="M528" s="5">
        <v>576</v>
      </c>
      <c r="N528" s="5">
        <v>864</v>
      </c>
      <c r="O528" s="5">
        <v>1008</v>
      </c>
      <c r="P528" s="5">
        <v>576</v>
      </c>
      <c r="Q528" s="5">
        <v>1008</v>
      </c>
      <c r="R528" s="5">
        <v>1008</v>
      </c>
      <c r="S528" s="5">
        <v>1008</v>
      </c>
      <c r="T528" s="5">
        <v>720</v>
      </c>
      <c r="U528" s="5">
        <v>1296</v>
      </c>
      <c r="V528" s="5">
        <v>1440</v>
      </c>
      <c r="W528" s="5">
        <v>864</v>
      </c>
      <c r="X528" s="5">
        <v>1296</v>
      </c>
      <c r="Z528" t="e">
        <f>VLOOKUP(E528,Sheet2!$A$1:$A$39,1,0)</f>
        <v>#N/A</v>
      </c>
      <c r="AA528">
        <f>VLOOKUP($E528,[1]Sheet1!$E$10:$X$629,AA$9,0)</f>
        <v>1008</v>
      </c>
      <c r="AB528">
        <f>VLOOKUP($E528,[1]Sheet1!$E$10:$X$629,AB$9,0)</f>
        <v>1008</v>
      </c>
      <c r="AC528">
        <f>VLOOKUP($E528,[1]Sheet1!$E$10:$X$629,AC$9,0)</f>
        <v>1296</v>
      </c>
      <c r="AD528">
        <f>VLOOKUP($E528,[1]Sheet1!$E$10:$X$629,AD$9,0)</f>
        <v>864</v>
      </c>
      <c r="AE528">
        <f>VLOOKUP($E528,[1]Sheet1!$E$10:$X$629,AE$9,0)</f>
        <v>1008</v>
      </c>
      <c r="AF528">
        <f>VLOOKUP($E528,[1]Sheet1!$E$10:$X$629,AF$9,0)</f>
        <v>1440</v>
      </c>
      <c r="AG528">
        <f>VLOOKUP($E528,[1]Sheet1!$E$10:$X$629,AG$9,0)</f>
        <v>1008</v>
      </c>
      <c r="AH528">
        <f>VLOOKUP($E528,[1]Sheet1!$E$10:$X$629,AH$9,0)</f>
        <v>576</v>
      </c>
      <c r="AJ528">
        <f t="shared" si="28"/>
        <v>6768</v>
      </c>
      <c r="AK528">
        <f t="shared" si="29"/>
        <v>8208</v>
      </c>
      <c r="AL528">
        <f t="shared" si="30"/>
        <v>-1440</v>
      </c>
    </row>
    <row r="529" spans="1:38" ht="39.6" x14ac:dyDescent="0.3">
      <c r="A529" s="4" t="s">
        <v>1552</v>
      </c>
      <c r="B529" s="5" t="s">
        <v>1553</v>
      </c>
      <c r="C529" s="21" t="s">
        <v>1554</v>
      </c>
      <c r="D529" s="20"/>
      <c r="E529" s="4">
        <v>1200496</v>
      </c>
      <c r="F529" s="4" t="s">
        <v>44</v>
      </c>
      <c r="G529" s="4" t="s">
        <v>45</v>
      </c>
      <c r="H529" s="4" t="s">
        <v>56</v>
      </c>
      <c r="I529" s="4" t="s">
        <v>57</v>
      </c>
      <c r="J529" s="4" t="s">
        <v>47</v>
      </c>
      <c r="K529" s="4">
        <v>6.5</v>
      </c>
      <c r="L529" s="4">
        <v>13</v>
      </c>
      <c r="M529" s="5">
        <v>1152</v>
      </c>
      <c r="N529" s="5">
        <v>2016</v>
      </c>
      <c r="O529" s="5">
        <v>1872</v>
      </c>
      <c r="P529" s="5">
        <v>1296</v>
      </c>
      <c r="Q529" s="5">
        <v>1584</v>
      </c>
      <c r="R529" s="5">
        <v>1872</v>
      </c>
      <c r="S529" s="5">
        <v>1440</v>
      </c>
      <c r="T529" s="5">
        <v>1728</v>
      </c>
      <c r="U529" s="5">
        <v>2304</v>
      </c>
      <c r="V529" s="5">
        <v>2448</v>
      </c>
      <c r="W529" s="5">
        <v>1584</v>
      </c>
      <c r="X529" s="5">
        <v>2304</v>
      </c>
      <c r="Z529" t="e">
        <f>VLOOKUP(E529,Sheet2!$A$1:$A$39,1,0)</f>
        <v>#N/A</v>
      </c>
      <c r="AA529">
        <f>VLOOKUP($E529,[1]Sheet1!$E$10:$X$629,AA$9,0)</f>
        <v>2016</v>
      </c>
      <c r="AB529">
        <f>VLOOKUP($E529,[1]Sheet1!$E$10:$X$629,AB$9,0)</f>
        <v>2016</v>
      </c>
      <c r="AC529">
        <f>VLOOKUP($E529,[1]Sheet1!$E$10:$X$629,AC$9,0)</f>
        <v>2736</v>
      </c>
      <c r="AD529">
        <f>VLOOKUP($E529,[1]Sheet1!$E$10:$X$629,AD$9,0)</f>
        <v>2016</v>
      </c>
      <c r="AE529">
        <f>VLOOKUP($E529,[1]Sheet1!$E$10:$X$629,AE$9,0)</f>
        <v>1872</v>
      </c>
      <c r="AF529">
        <f>VLOOKUP($E529,[1]Sheet1!$E$10:$X$629,AF$9,0)</f>
        <v>3312</v>
      </c>
      <c r="AG529">
        <f>VLOOKUP($E529,[1]Sheet1!$E$10:$X$629,AG$9,0)</f>
        <v>2160</v>
      </c>
      <c r="AH529">
        <f>VLOOKUP($E529,[1]Sheet1!$E$10:$X$629,AH$9,0)</f>
        <v>1152</v>
      </c>
      <c r="AJ529">
        <f t="shared" si="28"/>
        <v>12960</v>
      </c>
      <c r="AK529">
        <f t="shared" si="29"/>
        <v>17280</v>
      </c>
      <c r="AL529">
        <f t="shared" si="30"/>
        <v>-4320</v>
      </c>
    </row>
    <row r="530" spans="1:38" ht="39.6" x14ac:dyDescent="0.3">
      <c r="A530" s="4" t="s">
        <v>1555</v>
      </c>
      <c r="B530" s="5" t="s">
        <v>1556</v>
      </c>
      <c r="C530" s="21" t="s">
        <v>1557</v>
      </c>
      <c r="D530" s="20"/>
      <c r="E530" s="4">
        <v>1200497</v>
      </c>
      <c r="F530" s="4" t="s">
        <v>44</v>
      </c>
      <c r="G530" s="4" t="s">
        <v>45</v>
      </c>
      <c r="H530" s="4" t="s">
        <v>56</v>
      </c>
      <c r="I530" s="4" t="s">
        <v>57</v>
      </c>
      <c r="J530" s="4" t="s">
        <v>47</v>
      </c>
      <c r="K530" s="4">
        <v>6.5</v>
      </c>
      <c r="L530" s="4">
        <v>13</v>
      </c>
      <c r="M530" s="5">
        <v>1584</v>
      </c>
      <c r="N530" s="5">
        <v>1440</v>
      </c>
      <c r="O530" s="5">
        <v>1872</v>
      </c>
      <c r="P530" s="5">
        <v>1440</v>
      </c>
      <c r="Q530" s="5">
        <v>1440</v>
      </c>
      <c r="R530" s="5">
        <v>2016</v>
      </c>
      <c r="S530" s="5">
        <v>1296</v>
      </c>
      <c r="T530" s="5">
        <v>1728</v>
      </c>
      <c r="U530" s="5">
        <v>2160</v>
      </c>
      <c r="V530" s="5">
        <v>2304</v>
      </c>
      <c r="W530" s="5">
        <v>1584</v>
      </c>
      <c r="X530" s="5">
        <v>2160</v>
      </c>
      <c r="Z530" t="e">
        <f>VLOOKUP(E530,Sheet2!$A$1:$A$39,1,0)</f>
        <v>#N/A</v>
      </c>
      <c r="AA530">
        <f>VLOOKUP($E530,[1]Sheet1!$E$10:$X$629,AA$9,0)</f>
        <v>1872</v>
      </c>
      <c r="AB530">
        <f>VLOOKUP($E530,[1]Sheet1!$E$10:$X$629,AB$9,0)</f>
        <v>2160</v>
      </c>
      <c r="AC530">
        <f>VLOOKUP($E530,[1]Sheet1!$E$10:$X$629,AC$9,0)</f>
        <v>3024</v>
      </c>
      <c r="AD530">
        <f>VLOOKUP($E530,[1]Sheet1!$E$10:$X$629,AD$9,0)</f>
        <v>2160</v>
      </c>
      <c r="AE530">
        <f>VLOOKUP($E530,[1]Sheet1!$E$10:$X$629,AE$9,0)</f>
        <v>2016</v>
      </c>
      <c r="AF530">
        <f>VLOOKUP($E530,[1]Sheet1!$E$10:$X$629,AF$9,0)</f>
        <v>3024</v>
      </c>
      <c r="AG530">
        <f>VLOOKUP($E530,[1]Sheet1!$E$10:$X$629,AG$9,0)</f>
        <v>2304</v>
      </c>
      <c r="AH530">
        <f>VLOOKUP($E530,[1]Sheet1!$E$10:$X$629,AH$9,0)</f>
        <v>1152</v>
      </c>
      <c r="AJ530">
        <f t="shared" si="28"/>
        <v>12816</v>
      </c>
      <c r="AK530">
        <f t="shared" si="29"/>
        <v>17712</v>
      </c>
      <c r="AL530">
        <f t="shared" si="30"/>
        <v>-4896</v>
      </c>
    </row>
    <row r="531" spans="1:38" ht="39.6" x14ac:dyDescent="0.3">
      <c r="A531" s="4" t="s">
        <v>1558</v>
      </c>
      <c r="B531" s="5" t="s">
        <v>1559</v>
      </c>
      <c r="C531" s="21" t="s">
        <v>1560</v>
      </c>
      <c r="D531" s="20"/>
      <c r="E531" s="4">
        <v>1200499</v>
      </c>
      <c r="F531" s="4" t="s">
        <v>44</v>
      </c>
      <c r="G531" s="4" t="s">
        <v>45</v>
      </c>
      <c r="H531" s="4" t="s">
        <v>61</v>
      </c>
      <c r="I531" s="4" t="s">
        <v>57</v>
      </c>
      <c r="J531" s="4" t="s">
        <v>47</v>
      </c>
      <c r="K531" s="4">
        <v>6.5</v>
      </c>
      <c r="L531" s="4">
        <v>13</v>
      </c>
      <c r="M531" s="5">
        <v>144</v>
      </c>
      <c r="N531" s="5">
        <v>720</v>
      </c>
      <c r="O531" s="5">
        <v>432</v>
      </c>
      <c r="P531" s="5">
        <v>288</v>
      </c>
      <c r="Q531" s="5">
        <v>432</v>
      </c>
      <c r="R531" s="5">
        <v>864</v>
      </c>
      <c r="S531" s="5">
        <v>432</v>
      </c>
      <c r="T531" s="5">
        <v>576</v>
      </c>
      <c r="U531" s="5">
        <v>576</v>
      </c>
      <c r="V531" s="5">
        <v>1008</v>
      </c>
      <c r="W531" s="5">
        <v>720</v>
      </c>
      <c r="X531" s="5">
        <v>576</v>
      </c>
      <c r="Z531" t="e">
        <f>VLOOKUP(E531,Sheet2!$A$1:$A$39,1,0)</f>
        <v>#N/A</v>
      </c>
      <c r="AA531">
        <f>VLOOKUP($E531,[1]Sheet1!$E$10:$X$629,AA$9,0)</f>
        <v>720</v>
      </c>
      <c r="AB531">
        <f>VLOOKUP($E531,[1]Sheet1!$E$10:$X$629,AB$9,0)</f>
        <v>432</v>
      </c>
      <c r="AC531">
        <f>VLOOKUP($E531,[1]Sheet1!$E$10:$X$629,AC$9,0)</f>
        <v>720</v>
      </c>
      <c r="AD531">
        <f>VLOOKUP($E531,[1]Sheet1!$E$10:$X$629,AD$9,0)</f>
        <v>720</v>
      </c>
      <c r="AE531">
        <f>VLOOKUP($E531,[1]Sheet1!$E$10:$X$629,AE$9,0)</f>
        <v>864</v>
      </c>
      <c r="AF531">
        <f>VLOOKUP($E531,[1]Sheet1!$E$10:$X$629,AF$9,0)</f>
        <v>864</v>
      </c>
      <c r="AG531">
        <f>VLOOKUP($E531,[1]Sheet1!$E$10:$X$629,AG$9,0)</f>
        <v>864</v>
      </c>
      <c r="AH531">
        <f>VLOOKUP($E531,[1]Sheet1!$E$10:$X$629,AH$9,0)</f>
        <v>288</v>
      </c>
      <c r="AJ531">
        <f t="shared" si="28"/>
        <v>3888</v>
      </c>
      <c r="AK531">
        <f t="shared" si="29"/>
        <v>5472</v>
      </c>
      <c r="AL531">
        <f t="shared" si="30"/>
        <v>-1584</v>
      </c>
    </row>
    <row r="532" spans="1:38" ht="39.6" x14ac:dyDescent="0.3">
      <c r="A532" s="4" t="s">
        <v>1561</v>
      </c>
      <c r="B532" s="5" t="s">
        <v>1562</v>
      </c>
      <c r="C532" s="21" t="s">
        <v>1563</v>
      </c>
      <c r="D532" s="20"/>
      <c r="E532" s="4">
        <v>1200500</v>
      </c>
      <c r="F532" s="4" t="s">
        <v>44</v>
      </c>
      <c r="G532" s="4" t="s">
        <v>45</v>
      </c>
      <c r="H532" s="4" t="s">
        <v>56</v>
      </c>
      <c r="I532" s="4" t="s">
        <v>57</v>
      </c>
      <c r="J532" s="4" t="s">
        <v>47</v>
      </c>
      <c r="K532" s="4">
        <v>6.5</v>
      </c>
      <c r="L532" s="4">
        <v>13</v>
      </c>
      <c r="M532" s="5">
        <v>432</v>
      </c>
      <c r="N532" s="5">
        <v>576</v>
      </c>
      <c r="O532" s="5">
        <v>720</v>
      </c>
      <c r="P532" s="5">
        <v>720</v>
      </c>
      <c r="Q532" s="5">
        <v>576</v>
      </c>
      <c r="R532" s="5">
        <v>720</v>
      </c>
      <c r="S532" s="5">
        <v>864</v>
      </c>
      <c r="T532" s="5">
        <v>720</v>
      </c>
      <c r="U532" s="5">
        <v>1008</v>
      </c>
      <c r="V532" s="5">
        <v>1152</v>
      </c>
      <c r="W532" s="5">
        <v>720</v>
      </c>
      <c r="X532" s="5">
        <v>1152</v>
      </c>
      <c r="Z532" t="e">
        <f>VLOOKUP(E532,Sheet2!$A$1:$A$39,1,0)</f>
        <v>#N/A</v>
      </c>
      <c r="AA532">
        <f>VLOOKUP($E532,[1]Sheet1!$E$10:$X$629,AA$9,0)</f>
        <v>720</v>
      </c>
      <c r="AB532">
        <f>VLOOKUP($E532,[1]Sheet1!$E$10:$X$629,AB$9,0)</f>
        <v>432</v>
      </c>
      <c r="AC532">
        <f>VLOOKUP($E532,[1]Sheet1!$E$10:$X$629,AC$9,0)</f>
        <v>864</v>
      </c>
      <c r="AD532">
        <f>VLOOKUP($E532,[1]Sheet1!$E$10:$X$629,AD$9,0)</f>
        <v>432</v>
      </c>
      <c r="AE532">
        <f>VLOOKUP($E532,[1]Sheet1!$E$10:$X$629,AE$9,0)</f>
        <v>432</v>
      </c>
      <c r="AF532">
        <f>VLOOKUP($E532,[1]Sheet1!$E$10:$X$629,AF$9,0)</f>
        <v>1008</v>
      </c>
      <c r="AG532">
        <f>VLOOKUP($E532,[1]Sheet1!$E$10:$X$629,AG$9,0)</f>
        <v>432</v>
      </c>
      <c r="AH532">
        <f>VLOOKUP($E532,[1]Sheet1!$E$10:$X$629,AH$9,0)</f>
        <v>432</v>
      </c>
      <c r="AJ532">
        <f t="shared" si="28"/>
        <v>5328</v>
      </c>
      <c r="AK532">
        <f t="shared" si="29"/>
        <v>4752</v>
      </c>
      <c r="AL532">
        <f t="shared" si="30"/>
        <v>576</v>
      </c>
    </row>
    <row r="533" spans="1:38" ht="39.6" x14ac:dyDescent="0.3">
      <c r="A533" s="4" t="s">
        <v>1564</v>
      </c>
      <c r="B533" s="5" t="s">
        <v>1565</v>
      </c>
      <c r="C533" s="21" t="s">
        <v>1566</v>
      </c>
      <c r="D533" s="20"/>
      <c r="E533" s="4">
        <v>1200501</v>
      </c>
      <c r="F533" s="4" t="s">
        <v>44</v>
      </c>
      <c r="G533" s="4" t="s">
        <v>45</v>
      </c>
      <c r="H533" s="4" t="s">
        <v>61</v>
      </c>
      <c r="I533" s="4" t="s">
        <v>57</v>
      </c>
      <c r="J533" s="4" t="s">
        <v>47</v>
      </c>
      <c r="K533" s="4">
        <v>6.5</v>
      </c>
      <c r="L533" s="4">
        <v>13</v>
      </c>
      <c r="M533" s="5">
        <v>144</v>
      </c>
      <c r="N533" s="5">
        <v>288</v>
      </c>
      <c r="O533" s="5">
        <v>144</v>
      </c>
      <c r="P533" s="5">
        <v>288</v>
      </c>
      <c r="Q533" s="5">
        <v>288</v>
      </c>
      <c r="R533" s="5">
        <v>432</v>
      </c>
      <c r="S533" s="5">
        <v>0</v>
      </c>
      <c r="T533" s="5">
        <v>432</v>
      </c>
      <c r="U533" s="5">
        <v>288</v>
      </c>
      <c r="V533" s="5">
        <v>432</v>
      </c>
      <c r="W533" s="5">
        <v>432</v>
      </c>
      <c r="X533" s="5">
        <v>288</v>
      </c>
      <c r="Z533" t="e">
        <f>VLOOKUP(E533,Sheet2!$A$1:$A$39,1,0)</f>
        <v>#N/A</v>
      </c>
      <c r="AA533">
        <f>VLOOKUP($E533,[1]Sheet1!$E$10:$X$629,AA$9,0)</f>
        <v>288</v>
      </c>
      <c r="AB533">
        <f>VLOOKUP($E533,[1]Sheet1!$E$10:$X$629,AB$9,0)</f>
        <v>576</v>
      </c>
      <c r="AC533">
        <f>VLOOKUP($E533,[1]Sheet1!$E$10:$X$629,AC$9,0)</f>
        <v>864</v>
      </c>
      <c r="AD533">
        <f>VLOOKUP($E533,[1]Sheet1!$E$10:$X$629,AD$9,0)</f>
        <v>576</v>
      </c>
      <c r="AE533">
        <f>VLOOKUP($E533,[1]Sheet1!$E$10:$X$629,AE$9,0)</f>
        <v>576</v>
      </c>
      <c r="AF533">
        <f>VLOOKUP($E533,[1]Sheet1!$E$10:$X$629,AF$9,0)</f>
        <v>720</v>
      </c>
      <c r="AG533">
        <f>VLOOKUP($E533,[1]Sheet1!$E$10:$X$629,AG$9,0)</f>
        <v>576</v>
      </c>
      <c r="AH533">
        <f>VLOOKUP($E533,[1]Sheet1!$E$10:$X$629,AH$9,0)</f>
        <v>288</v>
      </c>
      <c r="AJ533">
        <f t="shared" si="28"/>
        <v>2016</v>
      </c>
      <c r="AK533">
        <f t="shared" si="29"/>
        <v>4464</v>
      </c>
      <c r="AL533">
        <f t="shared" si="30"/>
        <v>-2448</v>
      </c>
    </row>
    <row r="534" spans="1:38" ht="39.6" x14ac:dyDescent="0.3">
      <c r="A534" s="4" t="s">
        <v>1567</v>
      </c>
      <c r="B534" s="5" t="s">
        <v>1568</v>
      </c>
      <c r="C534" s="21" t="s">
        <v>1569</v>
      </c>
      <c r="D534" s="20"/>
      <c r="E534" s="4">
        <v>1200502</v>
      </c>
      <c r="F534" s="4" t="s">
        <v>44</v>
      </c>
      <c r="G534" s="4" t="s">
        <v>45</v>
      </c>
      <c r="H534" s="4" t="s">
        <v>61</v>
      </c>
      <c r="I534" s="4" t="s">
        <v>57</v>
      </c>
      <c r="J534" s="4" t="s">
        <v>47</v>
      </c>
      <c r="K534" s="4">
        <v>6.5</v>
      </c>
      <c r="L534" s="4">
        <v>13</v>
      </c>
      <c r="M534" s="5">
        <v>288</v>
      </c>
      <c r="N534" s="5">
        <v>0</v>
      </c>
      <c r="O534" s="5">
        <v>432</v>
      </c>
      <c r="P534" s="5">
        <v>0</v>
      </c>
      <c r="Q534" s="5">
        <v>432</v>
      </c>
      <c r="R534" s="5">
        <v>144</v>
      </c>
      <c r="S534" s="5">
        <v>288</v>
      </c>
      <c r="T534" s="5">
        <v>144</v>
      </c>
      <c r="U534" s="5">
        <v>432</v>
      </c>
      <c r="V534" s="5">
        <v>432</v>
      </c>
      <c r="W534" s="5">
        <v>288</v>
      </c>
      <c r="X534" s="5">
        <v>288</v>
      </c>
      <c r="Z534" t="e">
        <f>VLOOKUP(E534,Sheet2!$A$1:$A$39,1,0)</f>
        <v>#N/A</v>
      </c>
      <c r="AA534">
        <f>VLOOKUP($E534,[1]Sheet1!$E$10:$X$629,AA$9,0)</f>
        <v>288</v>
      </c>
      <c r="AB534">
        <f>VLOOKUP($E534,[1]Sheet1!$E$10:$X$629,AB$9,0)</f>
        <v>288</v>
      </c>
      <c r="AC534">
        <f>VLOOKUP($E534,[1]Sheet1!$E$10:$X$629,AC$9,0)</f>
        <v>576</v>
      </c>
      <c r="AD534">
        <f>VLOOKUP($E534,[1]Sheet1!$E$10:$X$629,AD$9,0)</f>
        <v>144</v>
      </c>
      <c r="AE534">
        <f>VLOOKUP($E534,[1]Sheet1!$E$10:$X$629,AE$9,0)</f>
        <v>432</v>
      </c>
      <c r="AF534">
        <f>VLOOKUP($E534,[1]Sheet1!$E$10:$X$629,AF$9,0)</f>
        <v>720</v>
      </c>
      <c r="AG534">
        <f>VLOOKUP($E534,[1]Sheet1!$E$10:$X$629,AG$9,0)</f>
        <v>576</v>
      </c>
      <c r="AH534">
        <f>VLOOKUP($E534,[1]Sheet1!$E$10:$X$629,AH$9,0)</f>
        <v>0</v>
      </c>
      <c r="AJ534">
        <f t="shared" si="28"/>
        <v>1728</v>
      </c>
      <c r="AK534">
        <f t="shared" si="29"/>
        <v>3024</v>
      </c>
      <c r="AL534">
        <f t="shared" si="30"/>
        <v>-1296</v>
      </c>
    </row>
    <row r="535" spans="1:38" ht="39.6" x14ac:dyDescent="0.3">
      <c r="A535" s="4" t="s">
        <v>1570</v>
      </c>
      <c r="B535" s="5" t="s">
        <v>1571</v>
      </c>
      <c r="C535" s="21" t="s">
        <v>1572</v>
      </c>
      <c r="D535" s="20"/>
      <c r="E535" s="4">
        <v>1200503</v>
      </c>
      <c r="F535" s="4" t="s">
        <v>44</v>
      </c>
      <c r="G535" s="4" t="s">
        <v>45</v>
      </c>
      <c r="H535" s="4" t="s">
        <v>56</v>
      </c>
      <c r="I535" s="4" t="s">
        <v>57</v>
      </c>
      <c r="J535" s="4" t="s">
        <v>47</v>
      </c>
      <c r="K535" s="4">
        <v>6.5</v>
      </c>
      <c r="L535" s="4">
        <v>13</v>
      </c>
      <c r="M535" s="5">
        <v>288</v>
      </c>
      <c r="N535" s="5">
        <v>576</v>
      </c>
      <c r="O535" s="5">
        <v>720</v>
      </c>
      <c r="P535" s="5">
        <v>432</v>
      </c>
      <c r="Q535" s="5">
        <v>432</v>
      </c>
      <c r="R535" s="5">
        <v>720</v>
      </c>
      <c r="S535" s="5">
        <v>576</v>
      </c>
      <c r="T535" s="5">
        <v>720</v>
      </c>
      <c r="U535" s="5">
        <v>720</v>
      </c>
      <c r="V535" s="5">
        <v>864</v>
      </c>
      <c r="W535" s="5">
        <v>576</v>
      </c>
      <c r="X535" s="5">
        <v>864</v>
      </c>
      <c r="Z535" t="e">
        <f>VLOOKUP(E535,Sheet2!$A$1:$A$39,1,0)</f>
        <v>#N/A</v>
      </c>
      <c r="AA535">
        <f>VLOOKUP($E535,[1]Sheet1!$E$10:$X$629,AA$9,0)</f>
        <v>1008</v>
      </c>
      <c r="AB535">
        <f>VLOOKUP($E535,[1]Sheet1!$E$10:$X$629,AB$9,0)</f>
        <v>864</v>
      </c>
      <c r="AC535">
        <f>VLOOKUP($E535,[1]Sheet1!$E$10:$X$629,AC$9,0)</f>
        <v>1296</v>
      </c>
      <c r="AD535">
        <f>VLOOKUP($E535,[1]Sheet1!$E$10:$X$629,AD$9,0)</f>
        <v>1008</v>
      </c>
      <c r="AE535">
        <f>VLOOKUP($E535,[1]Sheet1!$E$10:$X$629,AE$9,0)</f>
        <v>1008</v>
      </c>
      <c r="AF535">
        <f>VLOOKUP($E535,[1]Sheet1!$E$10:$X$629,AF$9,0)</f>
        <v>1440</v>
      </c>
      <c r="AG535">
        <f>VLOOKUP($E535,[1]Sheet1!$E$10:$X$629,AG$9,0)</f>
        <v>1152</v>
      </c>
      <c r="AH535">
        <f>VLOOKUP($E535,[1]Sheet1!$E$10:$X$629,AH$9,0)</f>
        <v>576</v>
      </c>
      <c r="AJ535">
        <f t="shared" si="28"/>
        <v>4464</v>
      </c>
      <c r="AK535">
        <f t="shared" si="29"/>
        <v>8352</v>
      </c>
      <c r="AL535">
        <f t="shared" si="30"/>
        <v>-3888</v>
      </c>
    </row>
    <row r="536" spans="1:38" ht="39.6" x14ac:dyDescent="0.3">
      <c r="A536" s="4" t="s">
        <v>1573</v>
      </c>
      <c r="B536" s="5" t="s">
        <v>1574</v>
      </c>
      <c r="C536" s="21" t="s">
        <v>1575</v>
      </c>
      <c r="D536" s="20"/>
      <c r="E536" s="4">
        <v>1200548</v>
      </c>
      <c r="F536" s="4" t="s">
        <v>44</v>
      </c>
      <c r="G536" s="4" t="s">
        <v>45</v>
      </c>
      <c r="H536" s="4" t="s">
        <v>61</v>
      </c>
      <c r="I536" s="4" t="s">
        <v>57</v>
      </c>
      <c r="J536" s="4" t="s">
        <v>47</v>
      </c>
      <c r="K536" s="4">
        <v>6.5</v>
      </c>
      <c r="L536" s="4">
        <v>13</v>
      </c>
      <c r="M536" s="5">
        <v>288</v>
      </c>
      <c r="N536" s="5">
        <v>144</v>
      </c>
      <c r="O536" s="5">
        <v>144</v>
      </c>
      <c r="P536" s="5">
        <v>144</v>
      </c>
      <c r="Q536" s="5">
        <v>144</v>
      </c>
      <c r="R536" s="5">
        <v>288</v>
      </c>
      <c r="S536" s="5">
        <v>288</v>
      </c>
      <c r="T536" s="5">
        <v>288</v>
      </c>
      <c r="U536" s="5">
        <v>432</v>
      </c>
      <c r="V536" s="5">
        <v>288</v>
      </c>
      <c r="W536" s="5">
        <v>576</v>
      </c>
      <c r="X536" s="5">
        <v>288</v>
      </c>
      <c r="Z536" t="e">
        <f>VLOOKUP(E536,Sheet2!$A$1:$A$39,1,0)</f>
        <v>#N/A</v>
      </c>
      <c r="AA536">
        <f>VLOOKUP($E536,[1]Sheet1!$E$10:$X$629,AA$9,0)</f>
        <v>288</v>
      </c>
      <c r="AB536">
        <f>VLOOKUP($E536,[1]Sheet1!$E$10:$X$629,AB$9,0)</f>
        <v>432</v>
      </c>
      <c r="AC536">
        <f>VLOOKUP($E536,[1]Sheet1!$E$10:$X$629,AC$9,0)</f>
        <v>432</v>
      </c>
      <c r="AD536">
        <f>VLOOKUP($E536,[1]Sheet1!$E$10:$X$629,AD$9,0)</f>
        <v>432</v>
      </c>
      <c r="AE536">
        <f>VLOOKUP($E536,[1]Sheet1!$E$10:$X$629,AE$9,0)</f>
        <v>576</v>
      </c>
      <c r="AF536">
        <f>VLOOKUP($E536,[1]Sheet1!$E$10:$X$629,AF$9,0)</f>
        <v>432</v>
      </c>
      <c r="AG536">
        <f>VLOOKUP($E536,[1]Sheet1!$E$10:$X$629,AG$9,0)</f>
        <v>432</v>
      </c>
      <c r="AH536">
        <f>VLOOKUP($E536,[1]Sheet1!$E$10:$X$629,AH$9,0)</f>
        <v>144</v>
      </c>
      <c r="AJ536">
        <f t="shared" si="28"/>
        <v>1728</v>
      </c>
      <c r="AK536">
        <f t="shared" si="29"/>
        <v>3168</v>
      </c>
      <c r="AL536">
        <f t="shared" si="30"/>
        <v>-1440</v>
      </c>
    </row>
    <row r="537" spans="1:38" ht="39.6" x14ac:dyDescent="0.3">
      <c r="A537" s="4" t="s">
        <v>1576</v>
      </c>
      <c r="B537" s="5" t="s">
        <v>1577</v>
      </c>
      <c r="C537" s="21" t="s">
        <v>1578</v>
      </c>
      <c r="D537" s="20"/>
      <c r="E537" s="4">
        <v>1200511</v>
      </c>
      <c r="F537" s="4" t="s">
        <v>44</v>
      </c>
      <c r="G537" s="4" t="s">
        <v>45</v>
      </c>
      <c r="H537" s="4" t="s">
        <v>61</v>
      </c>
      <c r="I537" s="4" t="s">
        <v>57</v>
      </c>
      <c r="J537" s="4" t="s">
        <v>47</v>
      </c>
      <c r="K537" s="4">
        <v>7</v>
      </c>
      <c r="L537" s="4">
        <v>14</v>
      </c>
      <c r="M537" s="5">
        <v>0</v>
      </c>
      <c r="N537" s="5">
        <v>288</v>
      </c>
      <c r="O537" s="5">
        <v>0</v>
      </c>
      <c r="P537" s="5">
        <v>288</v>
      </c>
      <c r="Q537" s="5">
        <v>288</v>
      </c>
      <c r="R537" s="5">
        <v>288</v>
      </c>
      <c r="S537" s="5">
        <v>144</v>
      </c>
      <c r="T537" s="5">
        <v>288</v>
      </c>
      <c r="U537" s="5">
        <v>288</v>
      </c>
      <c r="V537" s="5">
        <v>432</v>
      </c>
      <c r="W537" s="5">
        <v>432</v>
      </c>
      <c r="X537" s="5">
        <v>288</v>
      </c>
      <c r="Z537" t="e">
        <f>VLOOKUP(E537,Sheet2!$A$1:$A$39,1,0)</f>
        <v>#N/A</v>
      </c>
      <c r="AA537">
        <f>VLOOKUP($E537,[1]Sheet1!$E$10:$X$629,AA$9,0)</f>
        <v>144</v>
      </c>
      <c r="AB537">
        <f>VLOOKUP($E537,[1]Sheet1!$E$10:$X$629,AB$9,0)</f>
        <v>288</v>
      </c>
      <c r="AC537">
        <f>VLOOKUP($E537,[1]Sheet1!$E$10:$X$629,AC$9,0)</f>
        <v>288</v>
      </c>
      <c r="AD537">
        <f>VLOOKUP($E537,[1]Sheet1!$E$10:$X$629,AD$9,0)</f>
        <v>432</v>
      </c>
      <c r="AE537">
        <f>VLOOKUP($E537,[1]Sheet1!$E$10:$X$629,AE$9,0)</f>
        <v>144</v>
      </c>
      <c r="AF537">
        <f>VLOOKUP($E537,[1]Sheet1!$E$10:$X$629,AF$9,0)</f>
        <v>432</v>
      </c>
      <c r="AG537">
        <f>VLOOKUP($E537,[1]Sheet1!$E$10:$X$629,AG$9,0)</f>
        <v>432</v>
      </c>
      <c r="AH537">
        <f>VLOOKUP($E537,[1]Sheet1!$E$10:$X$629,AH$9,0)</f>
        <v>144</v>
      </c>
      <c r="AJ537">
        <f t="shared" si="28"/>
        <v>1584</v>
      </c>
      <c r="AK537">
        <f t="shared" si="29"/>
        <v>2304</v>
      </c>
      <c r="AL537">
        <f t="shared" si="30"/>
        <v>-720</v>
      </c>
    </row>
    <row r="538" spans="1:38" ht="39.6" x14ac:dyDescent="0.3">
      <c r="A538" s="4" t="s">
        <v>1579</v>
      </c>
      <c r="B538" s="5" t="s">
        <v>1580</v>
      </c>
      <c r="C538" s="21" t="s">
        <v>1581</v>
      </c>
      <c r="D538" s="20"/>
      <c r="E538" s="4">
        <v>1200512</v>
      </c>
      <c r="F538" s="4" t="s">
        <v>44</v>
      </c>
      <c r="G538" s="4" t="s">
        <v>45</v>
      </c>
      <c r="H538" s="4" t="s">
        <v>61</v>
      </c>
      <c r="I538" s="4" t="s">
        <v>57</v>
      </c>
      <c r="J538" s="4" t="s">
        <v>47</v>
      </c>
      <c r="K538" s="4">
        <v>7</v>
      </c>
      <c r="L538" s="4">
        <v>14</v>
      </c>
      <c r="M538" s="5">
        <v>432</v>
      </c>
      <c r="N538" s="5">
        <v>0</v>
      </c>
      <c r="O538" s="5">
        <v>288</v>
      </c>
      <c r="P538" s="5">
        <v>432</v>
      </c>
      <c r="Q538" s="5">
        <v>288</v>
      </c>
      <c r="R538" s="5">
        <v>576</v>
      </c>
      <c r="S538" s="5">
        <v>144</v>
      </c>
      <c r="T538" s="5">
        <v>432</v>
      </c>
      <c r="U538" s="5">
        <v>432</v>
      </c>
      <c r="V538" s="5">
        <v>288</v>
      </c>
      <c r="W538" s="5">
        <v>576</v>
      </c>
      <c r="X538" s="5">
        <v>432</v>
      </c>
      <c r="Z538" t="e">
        <f>VLOOKUP(E538,Sheet2!$A$1:$A$39,1,0)</f>
        <v>#N/A</v>
      </c>
      <c r="AA538">
        <f>VLOOKUP($E538,[1]Sheet1!$E$10:$X$629,AA$9,0)</f>
        <v>432</v>
      </c>
      <c r="AB538">
        <f>VLOOKUP($E538,[1]Sheet1!$E$10:$X$629,AB$9,0)</f>
        <v>144</v>
      </c>
      <c r="AC538">
        <f>VLOOKUP($E538,[1]Sheet1!$E$10:$X$629,AC$9,0)</f>
        <v>576</v>
      </c>
      <c r="AD538">
        <f>VLOOKUP($E538,[1]Sheet1!$E$10:$X$629,AD$9,0)</f>
        <v>432</v>
      </c>
      <c r="AE538">
        <f>VLOOKUP($E538,[1]Sheet1!$E$10:$X$629,AE$9,0)</f>
        <v>576</v>
      </c>
      <c r="AF538">
        <f>VLOOKUP($E538,[1]Sheet1!$E$10:$X$629,AF$9,0)</f>
        <v>432</v>
      </c>
      <c r="AG538">
        <f>VLOOKUP($E538,[1]Sheet1!$E$10:$X$629,AG$9,0)</f>
        <v>288</v>
      </c>
      <c r="AH538">
        <f>VLOOKUP($E538,[1]Sheet1!$E$10:$X$629,AH$9,0)</f>
        <v>432</v>
      </c>
      <c r="AJ538">
        <f t="shared" si="28"/>
        <v>2592</v>
      </c>
      <c r="AK538">
        <f t="shared" si="29"/>
        <v>3312</v>
      </c>
      <c r="AL538">
        <f t="shared" si="30"/>
        <v>-720</v>
      </c>
    </row>
    <row r="539" spans="1:38" ht="39.6" x14ac:dyDescent="0.3">
      <c r="A539" s="4" t="s">
        <v>1582</v>
      </c>
      <c r="B539" s="5" t="s">
        <v>1583</v>
      </c>
      <c r="C539" s="21" t="s">
        <v>1584</v>
      </c>
      <c r="D539" s="20"/>
      <c r="E539" s="4">
        <v>1200513</v>
      </c>
      <c r="F539" s="4" t="s">
        <v>44</v>
      </c>
      <c r="G539" s="4" t="s">
        <v>45</v>
      </c>
      <c r="H539" s="4" t="s">
        <v>61</v>
      </c>
      <c r="I539" s="4" t="s">
        <v>57</v>
      </c>
      <c r="J539" s="4" t="s">
        <v>47</v>
      </c>
      <c r="K539" s="4">
        <v>7</v>
      </c>
      <c r="L539" s="4">
        <v>14</v>
      </c>
      <c r="M539" s="5">
        <v>0</v>
      </c>
      <c r="N539" s="5">
        <v>0</v>
      </c>
      <c r="O539" s="5">
        <v>144</v>
      </c>
      <c r="P539" s="5">
        <v>144</v>
      </c>
      <c r="Q539" s="5">
        <v>432</v>
      </c>
      <c r="R539" s="5">
        <v>0</v>
      </c>
      <c r="S539" s="5">
        <v>432</v>
      </c>
      <c r="T539" s="5">
        <v>0</v>
      </c>
      <c r="U539" s="5">
        <v>432</v>
      </c>
      <c r="V539" s="5">
        <v>432</v>
      </c>
      <c r="W539" s="5">
        <v>288</v>
      </c>
      <c r="X539" s="5">
        <v>432</v>
      </c>
      <c r="Z539" t="e">
        <f>VLOOKUP(E539,Sheet2!$A$1:$A$39,1,0)</f>
        <v>#N/A</v>
      </c>
      <c r="AA539">
        <f>VLOOKUP($E539,[1]Sheet1!$E$10:$X$629,AA$9,0)</f>
        <v>288</v>
      </c>
      <c r="AB539">
        <f>VLOOKUP($E539,[1]Sheet1!$E$10:$X$629,AB$9,0)</f>
        <v>144</v>
      </c>
      <c r="AC539">
        <f>VLOOKUP($E539,[1]Sheet1!$E$10:$X$629,AC$9,0)</f>
        <v>288</v>
      </c>
      <c r="AD539">
        <f>VLOOKUP($E539,[1]Sheet1!$E$10:$X$629,AD$9,0)</f>
        <v>432</v>
      </c>
      <c r="AE539">
        <f>VLOOKUP($E539,[1]Sheet1!$E$10:$X$629,AE$9,0)</f>
        <v>288</v>
      </c>
      <c r="AF539">
        <f>VLOOKUP($E539,[1]Sheet1!$E$10:$X$629,AF$9,0)</f>
        <v>288</v>
      </c>
      <c r="AG539">
        <f>VLOOKUP($E539,[1]Sheet1!$E$10:$X$629,AG$9,0)</f>
        <v>288</v>
      </c>
      <c r="AH539">
        <f>VLOOKUP($E539,[1]Sheet1!$E$10:$X$629,AH$9,0)</f>
        <v>288</v>
      </c>
      <c r="AJ539">
        <f t="shared" si="28"/>
        <v>1152</v>
      </c>
      <c r="AK539">
        <f t="shared" si="29"/>
        <v>2304</v>
      </c>
      <c r="AL539">
        <f t="shared" si="30"/>
        <v>-1152</v>
      </c>
    </row>
    <row r="540" spans="1:38" ht="39.6" x14ac:dyDescent="0.3">
      <c r="A540" s="4" t="s">
        <v>1585</v>
      </c>
      <c r="B540" s="5" t="s">
        <v>1586</v>
      </c>
      <c r="C540" s="21" t="s">
        <v>1587</v>
      </c>
      <c r="D540" s="20"/>
      <c r="E540" s="4">
        <v>1200514</v>
      </c>
      <c r="F540" s="4" t="s">
        <v>44</v>
      </c>
      <c r="G540" s="4" t="s">
        <v>45</v>
      </c>
      <c r="H540" s="4" t="s">
        <v>61</v>
      </c>
      <c r="I540" s="4" t="s">
        <v>57</v>
      </c>
      <c r="J540" s="4" t="s">
        <v>47</v>
      </c>
      <c r="K540" s="4">
        <v>7</v>
      </c>
      <c r="L540" s="4">
        <v>14</v>
      </c>
      <c r="M540" s="5">
        <v>0</v>
      </c>
      <c r="N540" s="5">
        <v>0</v>
      </c>
      <c r="O540" s="5">
        <v>0</v>
      </c>
      <c r="P540" s="5">
        <v>144</v>
      </c>
      <c r="Q540" s="5">
        <v>0</v>
      </c>
      <c r="R540" s="5">
        <v>0</v>
      </c>
      <c r="S540" s="5">
        <v>0</v>
      </c>
      <c r="T540" s="5">
        <v>144</v>
      </c>
      <c r="U540" s="5">
        <v>288</v>
      </c>
      <c r="V540" s="5">
        <v>0</v>
      </c>
      <c r="W540" s="5">
        <v>0</v>
      </c>
      <c r="X540" s="5">
        <v>0</v>
      </c>
      <c r="Z540" t="e">
        <f>VLOOKUP(E540,Sheet2!$A$1:$A$39,1,0)</f>
        <v>#N/A</v>
      </c>
      <c r="AA540">
        <f>VLOOKUP($E540,[1]Sheet1!$E$10:$X$629,AA$9,0)</f>
        <v>288</v>
      </c>
      <c r="AB540">
        <f>VLOOKUP($E540,[1]Sheet1!$E$10:$X$629,AB$9,0)</f>
        <v>0</v>
      </c>
      <c r="AC540">
        <f>VLOOKUP($E540,[1]Sheet1!$E$10:$X$629,AC$9,0)</f>
        <v>0</v>
      </c>
      <c r="AD540">
        <f>VLOOKUP($E540,[1]Sheet1!$E$10:$X$629,AD$9,0)</f>
        <v>144</v>
      </c>
      <c r="AE540">
        <f>VLOOKUP($E540,[1]Sheet1!$E$10:$X$629,AE$9,0)</f>
        <v>288</v>
      </c>
      <c r="AF540">
        <f>VLOOKUP($E540,[1]Sheet1!$E$10:$X$629,AF$9,0)</f>
        <v>0</v>
      </c>
      <c r="AG540">
        <f>VLOOKUP($E540,[1]Sheet1!$E$10:$X$629,AG$9,0)</f>
        <v>0</v>
      </c>
      <c r="AH540">
        <f>VLOOKUP($E540,[1]Sheet1!$E$10:$X$629,AH$9,0)</f>
        <v>432</v>
      </c>
      <c r="AJ540">
        <f t="shared" si="28"/>
        <v>288</v>
      </c>
      <c r="AK540">
        <f t="shared" si="29"/>
        <v>1152</v>
      </c>
      <c r="AL540">
        <f t="shared" si="30"/>
        <v>-864</v>
      </c>
    </row>
    <row r="541" spans="1:38" ht="39.6" x14ac:dyDescent="0.3">
      <c r="A541" s="4" t="s">
        <v>1588</v>
      </c>
      <c r="B541" s="5" t="s">
        <v>1589</v>
      </c>
      <c r="C541" s="21" t="s">
        <v>1590</v>
      </c>
      <c r="D541" s="20"/>
      <c r="E541" s="4">
        <v>1200515</v>
      </c>
      <c r="F541" s="4" t="s">
        <v>44</v>
      </c>
      <c r="G541" s="4" t="s">
        <v>45</v>
      </c>
      <c r="H541" s="4" t="s">
        <v>61</v>
      </c>
      <c r="I541" s="4" t="s">
        <v>57</v>
      </c>
      <c r="J541" s="4" t="s">
        <v>47</v>
      </c>
      <c r="K541" s="4">
        <v>7</v>
      </c>
      <c r="L541" s="4">
        <v>14</v>
      </c>
      <c r="M541" s="5">
        <v>0</v>
      </c>
      <c r="N541" s="5">
        <v>288</v>
      </c>
      <c r="O541" s="5">
        <v>0</v>
      </c>
      <c r="P541" s="5">
        <v>0</v>
      </c>
      <c r="Q541" s="5">
        <v>0</v>
      </c>
      <c r="R541" s="5">
        <v>288</v>
      </c>
      <c r="S541" s="5">
        <v>0</v>
      </c>
      <c r="T541" s="5">
        <v>288</v>
      </c>
      <c r="U541" s="5">
        <v>288</v>
      </c>
      <c r="V541" s="5">
        <v>288</v>
      </c>
      <c r="W541" s="5">
        <v>288</v>
      </c>
      <c r="X541" s="5">
        <v>144</v>
      </c>
      <c r="Z541" t="e">
        <f>VLOOKUP(E541,Sheet2!$A$1:$A$39,1,0)</f>
        <v>#N/A</v>
      </c>
      <c r="AA541">
        <f>VLOOKUP($E541,[1]Sheet1!$E$10:$X$629,AA$9,0)</f>
        <v>288</v>
      </c>
      <c r="AB541">
        <f>VLOOKUP($E541,[1]Sheet1!$E$10:$X$629,AB$9,0)</f>
        <v>432</v>
      </c>
      <c r="AC541">
        <f>VLOOKUP($E541,[1]Sheet1!$E$10:$X$629,AC$9,0)</f>
        <v>576</v>
      </c>
      <c r="AD541">
        <f>VLOOKUP($E541,[1]Sheet1!$E$10:$X$629,AD$9,0)</f>
        <v>144</v>
      </c>
      <c r="AE541">
        <f>VLOOKUP($E541,[1]Sheet1!$E$10:$X$629,AE$9,0)</f>
        <v>576</v>
      </c>
      <c r="AF541">
        <f>VLOOKUP($E541,[1]Sheet1!$E$10:$X$629,AF$9,0)</f>
        <v>576</v>
      </c>
      <c r="AG541">
        <f>VLOOKUP($E541,[1]Sheet1!$E$10:$X$629,AG$9,0)</f>
        <v>144</v>
      </c>
      <c r="AH541">
        <f>VLOOKUP($E541,[1]Sheet1!$E$10:$X$629,AH$9,0)</f>
        <v>576</v>
      </c>
      <c r="AJ541">
        <f t="shared" si="28"/>
        <v>864</v>
      </c>
      <c r="AK541">
        <f t="shared" si="29"/>
        <v>3312</v>
      </c>
      <c r="AL541">
        <f t="shared" si="30"/>
        <v>-2448</v>
      </c>
    </row>
    <row r="542" spans="1:38" ht="39.6" x14ac:dyDescent="0.3">
      <c r="A542" s="4" t="s">
        <v>1591</v>
      </c>
      <c r="B542" s="5" t="s">
        <v>1592</v>
      </c>
      <c r="C542" s="21" t="s">
        <v>1593</v>
      </c>
      <c r="D542" s="20"/>
      <c r="E542" s="4">
        <v>1200516</v>
      </c>
      <c r="F542" s="4" t="s">
        <v>44</v>
      </c>
      <c r="G542" s="4" t="s">
        <v>45</v>
      </c>
      <c r="H542" s="4" t="s">
        <v>61</v>
      </c>
      <c r="I542" s="4" t="s">
        <v>57</v>
      </c>
      <c r="J542" s="4" t="s">
        <v>47</v>
      </c>
      <c r="K542" s="4">
        <v>7</v>
      </c>
      <c r="L542" s="4">
        <v>14</v>
      </c>
      <c r="M542" s="5">
        <v>0</v>
      </c>
      <c r="N542" s="5">
        <v>288</v>
      </c>
      <c r="O542" s="5">
        <v>144</v>
      </c>
      <c r="P542" s="5">
        <v>432</v>
      </c>
      <c r="Q542" s="5">
        <v>0</v>
      </c>
      <c r="R542" s="5">
        <v>576</v>
      </c>
      <c r="S542" s="5">
        <v>144</v>
      </c>
      <c r="T542" s="5">
        <v>432</v>
      </c>
      <c r="U542" s="5">
        <v>288</v>
      </c>
      <c r="V542" s="5">
        <v>576</v>
      </c>
      <c r="W542" s="5">
        <v>288</v>
      </c>
      <c r="X542" s="5">
        <v>432</v>
      </c>
      <c r="Z542" t="e">
        <f>VLOOKUP(E542,Sheet2!$A$1:$A$39,1,0)</f>
        <v>#N/A</v>
      </c>
      <c r="AA542">
        <f>VLOOKUP($E542,[1]Sheet1!$E$10:$X$629,AA$9,0)</f>
        <v>576</v>
      </c>
      <c r="AB542">
        <f>VLOOKUP($E542,[1]Sheet1!$E$10:$X$629,AB$9,0)</f>
        <v>0</v>
      </c>
      <c r="AC542">
        <f>VLOOKUP($E542,[1]Sheet1!$E$10:$X$629,AC$9,0)</f>
        <v>576</v>
      </c>
      <c r="AD542">
        <f>VLOOKUP($E542,[1]Sheet1!$E$10:$X$629,AD$9,0)</f>
        <v>432</v>
      </c>
      <c r="AE542">
        <f>VLOOKUP($E542,[1]Sheet1!$E$10:$X$629,AE$9,0)</f>
        <v>576</v>
      </c>
      <c r="AF542">
        <f>VLOOKUP($E542,[1]Sheet1!$E$10:$X$629,AF$9,0)</f>
        <v>576</v>
      </c>
      <c r="AG542">
        <f>VLOOKUP($E542,[1]Sheet1!$E$10:$X$629,AG$9,0)</f>
        <v>432</v>
      </c>
      <c r="AH542">
        <f>VLOOKUP($E542,[1]Sheet1!$E$10:$X$629,AH$9,0)</f>
        <v>144</v>
      </c>
      <c r="AJ542">
        <f t="shared" si="28"/>
        <v>2016</v>
      </c>
      <c r="AK542">
        <f t="shared" si="29"/>
        <v>3312</v>
      </c>
      <c r="AL542">
        <f t="shared" si="30"/>
        <v>-1296</v>
      </c>
    </row>
    <row r="543" spans="1:38" ht="39.6" x14ac:dyDescent="0.3">
      <c r="A543" s="4" t="s">
        <v>1594</v>
      </c>
      <c r="B543" s="5" t="s">
        <v>1595</v>
      </c>
      <c r="C543" s="21" t="s">
        <v>1596</v>
      </c>
      <c r="D543" s="20"/>
      <c r="E543" s="4">
        <v>1200517</v>
      </c>
      <c r="F543" s="4" t="s">
        <v>44</v>
      </c>
      <c r="G543" s="4" t="s">
        <v>45</v>
      </c>
      <c r="H543" s="4" t="s">
        <v>61</v>
      </c>
      <c r="I543" s="4" t="s">
        <v>57</v>
      </c>
      <c r="J543" s="4" t="s">
        <v>47</v>
      </c>
      <c r="K543" s="4">
        <v>7</v>
      </c>
      <c r="L543" s="4">
        <v>14</v>
      </c>
      <c r="M543" s="5">
        <v>144</v>
      </c>
      <c r="N543" s="5">
        <v>0</v>
      </c>
      <c r="O543" s="5">
        <v>144</v>
      </c>
      <c r="P543" s="5">
        <v>288</v>
      </c>
      <c r="Q543" s="5">
        <v>0</v>
      </c>
      <c r="R543" s="5">
        <v>0</v>
      </c>
      <c r="S543" s="5">
        <v>288</v>
      </c>
      <c r="T543" s="5">
        <v>288</v>
      </c>
      <c r="U543" s="5">
        <v>144</v>
      </c>
      <c r="V543" s="5">
        <v>288</v>
      </c>
      <c r="W543" s="5">
        <v>288</v>
      </c>
      <c r="X543" s="5">
        <v>144</v>
      </c>
      <c r="Z543" t="e">
        <f>VLOOKUP(E543,Sheet2!$A$1:$A$39,1,0)</f>
        <v>#N/A</v>
      </c>
      <c r="AA543">
        <f>VLOOKUP($E543,[1]Sheet1!$E$10:$X$629,AA$9,0)</f>
        <v>432</v>
      </c>
      <c r="AB543">
        <f>VLOOKUP($E543,[1]Sheet1!$E$10:$X$629,AB$9,0)</f>
        <v>0</v>
      </c>
      <c r="AC543">
        <f>VLOOKUP($E543,[1]Sheet1!$E$10:$X$629,AC$9,0)</f>
        <v>432</v>
      </c>
      <c r="AD543">
        <f>VLOOKUP($E543,[1]Sheet1!$E$10:$X$629,AD$9,0)</f>
        <v>288</v>
      </c>
      <c r="AE543">
        <f>VLOOKUP($E543,[1]Sheet1!$E$10:$X$629,AE$9,0)</f>
        <v>144</v>
      </c>
      <c r="AF543">
        <f>VLOOKUP($E543,[1]Sheet1!$E$10:$X$629,AF$9,0)</f>
        <v>432</v>
      </c>
      <c r="AG543">
        <f>VLOOKUP($E543,[1]Sheet1!$E$10:$X$629,AG$9,0)</f>
        <v>144</v>
      </c>
      <c r="AH543">
        <f>VLOOKUP($E543,[1]Sheet1!$E$10:$X$629,AH$9,0)</f>
        <v>144</v>
      </c>
      <c r="AJ543">
        <f t="shared" si="28"/>
        <v>1152</v>
      </c>
      <c r="AK543">
        <f t="shared" si="29"/>
        <v>2016</v>
      </c>
      <c r="AL543">
        <f t="shared" si="30"/>
        <v>-864</v>
      </c>
    </row>
    <row r="544" spans="1:38" ht="39.6" x14ac:dyDescent="0.3">
      <c r="A544" s="4" t="s">
        <v>1597</v>
      </c>
      <c r="B544" s="5" t="s">
        <v>1598</v>
      </c>
      <c r="C544" s="21" t="s">
        <v>1599</v>
      </c>
      <c r="D544" s="20"/>
      <c r="E544" s="4">
        <v>1200518</v>
      </c>
      <c r="F544" s="4" t="s">
        <v>44</v>
      </c>
      <c r="G544" s="4" t="s">
        <v>45</v>
      </c>
      <c r="H544" s="4" t="s">
        <v>61</v>
      </c>
      <c r="I544" s="4" t="s">
        <v>57</v>
      </c>
      <c r="J544" s="4" t="s">
        <v>47</v>
      </c>
      <c r="K544" s="4">
        <v>7</v>
      </c>
      <c r="L544" s="4">
        <v>14</v>
      </c>
      <c r="M544" s="5">
        <v>432</v>
      </c>
      <c r="N544" s="5">
        <v>288</v>
      </c>
      <c r="O544" s="5">
        <v>288</v>
      </c>
      <c r="P544" s="5">
        <v>432</v>
      </c>
      <c r="Q544" s="5">
        <v>144</v>
      </c>
      <c r="R544" s="5">
        <v>576</v>
      </c>
      <c r="S544" s="5">
        <v>576</v>
      </c>
      <c r="T544" s="5">
        <v>288</v>
      </c>
      <c r="U544" s="5">
        <v>576</v>
      </c>
      <c r="V544" s="5">
        <v>288</v>
      </c>
      <c r="W544" s="5">
        <v>432</v>
      </c>
      <c r="X544" s="5">
        <v>576</v>
      </c>
      <c r="Z544" t="e">
        <f>VLOOKUP(E544,Sheet2!$A$1:$A$39,1,0)</f>
        <v>#N/A</v>
      </c>
      <c r="AA544">
        <f>VLOOKUP($E544,[1]Sheet1!$E$10:$X$629,AA$9,0)</f>
        <v>576</v>
      </c>
      <c r="AB544">
        <f>VLOOKUP($E544,[1]Sheet1!$E$10:$X$629,AB$9,0)</f>
        <v>576</v>
      </c>
      <c r="AC544">
        <f>VLOOKUP($E544,[1]Sheet1!$E$10:$X$629,AC$9,0)</f>
        <v>864</v>
      </c>
      <c r="AD544">
        <f>VLOOKUP($E544,[1]Sheet1!$E$10:$X$629,AD$9,0)</f>
        <v>576</v>
      </c>
      <c r="AE544">
        <f>VLOOKUP($E544,[1]Sheet1!$E$10:$X$629,AE$9,0)</f>
        <v>576</v>
      </c>
      <c r="AF544">
        <f>VLOOKUP($E544,[1]Sheet1!$E$10:$X$629,AF$9,0)</f>
        <v>720</v>
      </c>
      <c r="AG544">
        <f>VLOOKUP($E544,[1]Sheet1!$E$10:$X$629,AG$9,0)</f>
        <v>720</v>
      </c>
      <c r="AH544">
        <f>VLOOKUP($E544,[1]Sheet1!$E$10:$X$629,AH$9,0)</f>
        <v>288</v>
      </c>
      <c r="AJ544">
        <f t="shared" si="28"/>
        <v>3024</v>
      </c>
      <c r="AK544">
        <f t="shared" si="29"/>
        <v>4896</v>
      </c>
      <c r="AL544">
        <f t="shared" si="30"/>
        <v>-1872</v>
      </c>
    </row>
    <row r="545" spans="1:38" ht="39.6" x14ac:dyDescent="0.3">
      <c r="A545" s="4" t="s">
        <v>1600</v>
      </c>
      <c r="B545" s="5" t="s">
        <v>1601</v>
      </c>
      <c r="C545" s="21" t="s">
        <v>1602</v>
      </c>
      <c r="D545" s="20"/>
      <c r="E545" s="4">
        <v>1200510</v>
      </c>
      <c r="F545" s="4" t="s">
        <v>44</v>
      </c>
      <c r="G545" s="4" t="s">
        <v>45</v>
      </c>
      <c r="H545" s="4" t="s">
        <v>61</v>
      </c>
      <c r="I545" s="4" t="s">
        <v>57</v>
      </c>
      <c r="J545" s="4" t="s">
        <v>47</v>
      </c>
      <c r="K545" s="4">
        <v>11</v>
      </c>
      <c r="L545" s="4">
        <v>22</v>
      </c>
      <c r="M545" s="5">
        <v>768</v>
      </c>
      <c r="N545" s="5">
        <v>960</v>
      </c>
      <c r="O545" s="5">
        <v>1272</v>
      </c>
      <c r="P545" s="5">
        <v>864</v>
      </c>
      <c r="Q545" s="5">
        <v>888</v>
      </c>
      <c r="R545" s="5">
        <v>1152</v>
      </c>
      <c r="S545" s="5">
        <v>984</v>
      </c>
      <c r="T545" s="5">
        <v>912</v>
      </c>
      <c r="U545" s="5">
        <v>1176</v>
      </c>
      <c r="V545" s="5">
        <v>1128</v>
      </c>
      <c r="W545" s="5">
        <v>1224</v>
      </c>
      <c r="X545" s="5">
        <v>1104</v>
      </c>
      <c r="Z545" t="e">
        <f>VLOOKUP(E545,Sheet2!$A$1:$A$39,1,0)</f>
        <v>#N/A</v>
      </c>
      <c r="AA545">
        <f>VLOOKUP($E545,[1]Sheet1!$E$10:$X$629,AA$9,0)</f>
        <v>0</v>
      </c>
      <c r="AB545">
        <f>VLOOKUP($E545,[1]Sheet1!$E$10:$X$629,AB$9,0)</f>
        <v>0</v>
      </c>
      <c r="AC545">
        <f>VLOOKUP($E545,[1]Sheet1!$E$10:$X$629,AC$9,0)</f>
        <v>0</v>
      </c>
      <c r="AD545">
        <f>VLOOKUP($E545,[1]Sheet1!$E$10:$X$629,AD$9,0)</f>
        <v>0</v>
      </c>
      <c r="AE545">
        <f>VLOOKUP($E545,[1]Sheet1!$E$10:$X$629,AE$9,0)</f>
        <v>0</v>
      </c>
      <c r="AF545">
        <f>VLOOKUP($E545,[1]Sheet1!$E$10:$X$629,AF$9,0)</f>
        <v>0</v>
      </c>
      <c r="AG545">
        <f>VLOOKUP($E545,[1]Sheet1!$E$10:$X$629,AG$9,0)</f>
        <v>0</v>
      </c>
      <c r="AH545">
        <f>VLOOKUP($E545,[1]Sheet1!$E$10:$X$629,AH$9,0)</f>
        <v>0</v>
      </c>
      <c r="AJ545">
        <f t="shared" si="28"/>
        <v>7800</v>
      </c>
      <c r="AK545">
        <f t="shared" si="29"/>
        <v>0</v>
      </c>
      <c r="AL545">
        <f t="shared" si="30"/>
        <v>7800</v>
      </c>
    </row>
    <row r="546" spans="1:38" ht="39.6" x14ac:dyDescent="0.3">
      <c r="A546" s="4" t="s">
        <v>1603</v>
      </c>
      <c r="B546" s="5" t="s">
        <v>1604</v>
      </c>
      <c r="C546" s="21" t="s">
        <v>1605</v>
      </c>
      <c r="D546" s="20"/>
      <c r="E546" s="4">
        <v>1200427</v>
      </c>
      <c r="F546" s="4" t="s">
        <v>44</v>
      </c>
      <c r="G546" s="4" t="s">
        <v>45</v>
      </c>
      <c r="H546" s="4" t="s">
        <v>56</v>
      </c>
      <c r="I546" s="4" t="s">
        <v>57</v>
      </c>
      <c r="J546" s="4" t="s">
        <v>47</v>
      </c>
      <c r="K546" s="4">
        <v>7</v>
      </c>
      <c r="L546" s="4">
        <v>14</v>
      </c>
      <c r="M546" s="5">
        <v>720</v>
      </c>
      <c r="N546" s="5">
        <v>288</v>
      </c>
      <c r="O546" s="5">
        <v>288</v>
      </c>
      <c r="P546" s="5">
        <v>720</v>
      </c>
      <c r="Q546" s="5">
        <v>576</v>
      </c>
      <c r="R546" s="5">
        <v>1152</v>
      </c>
      <c r="S546" s="5">
        <v>864</v>
      </c>
      <c r="T546" s="5">
        <v>1008</v>
      </c>
      <c r="U546" s="5">
        <v>1152</v>
      </c>
      <c r="V546" s="5">
        <v>1296</v>
      </c>
      <c r="W546" s="5">
        <v>720</v>
      </c>
      <c r="X546" s="5">
        <v>1296</v>
      </c>
      <c r="Z546" t="e">
        <f>VLOOKUP(E546,Sheet2!$A$1:$A$39,1,0)</f>
        <v>#N/A</v>
      </c>
      <c r="AA546">
        <f>VLOOKUP($E546,[1]Sheet1!$E$10:$X$629,AA$9,0)</f>
        <v>432</v>
      </c>
      <c r="AB546">
        <f>VLOOKUP($E546,[1]Sheet1!$E$10:$X$629,AB$9,0)</f>
        <v>432</v>
      </c>
      <c r="AC546">
        <f>VLOOKUP($E546,[1]Sheet1!$E$10:$X$629,AC$9,0)</f>
        <v>1008</v>
      </c>
      <c r="AD546">
        <f>VLOOKUP($E546,[1]Sheet1!$E$10:$X$629,AD$9,0)</f>
        <v>1008</v>
      </c>
      <c r="AE546">
        <f>VLOOKUP($E546,[1]Sheet1!$E$10:$X$629,AE$9,0)</f>
        <v>864</v>
      </c>
      <c r="AF546">
        <f>VLOOKUP($E546,[1]Sheet1!$E$10:$X$629,AF$9,0)</f>
        <v>1152</v>
      </c>
      <c r="AG546">
        <f>VLOOKUP($E546,[1]Sheet1!$E$10:$X$629,AG$9,0)</f>
        <v>1008</v>
      </c>
      <c r="AH546">
        <f>VLOOKUP($E546,[1]Sheet1!$E$10:$X$629,AH$9,0)</f>
        <v>432</v>
      </c>
      <c r="AJ546">
        <f t="shared" si="28"/>
        <v>5616</v>
      </c>
      <c r="AK546">
        <f t="shared" si="29"/>
        <v>6336</v>
      </c>
      <c r="AL546">
        <f t="shared" si="30"/>
        <v>-720</v>
      </c>
    </row>
    <row r="547" spans="1:38" ht="39.6" x14ac:dyDescent="0.3">
      <c r="A547" s="4" t="s">
        <v>1606</v>
      </c>
      <c r="B547" s="5" t="s">
        <v>1607</v>
      </c>
      <c r="C547" s="21" t="s">
        <v>1608</v>
      </c>
      <c r="D547" s="20"/>
      <c r="E547" s="4">
        <v>1200508</v>
      </c>
      <c r="F547" s="4" t="s">
        <v>44</v>
      </c>
      <c r="G547" s="4" t="s">
        <v>45</v>
      </c>
      <c r="H547" s="4" t="s">
        <v>56</v>
      </c>
      <c r="I547" s="4" t="s">
        <v>57</v>
      </c>
      <c r="J547" s="4" t="s">
        <v>47</v>
      </c>
      <c r="K547" s="4">
        <v>8.5</v>
      </c>
      <c r="L547" s="4">
        <v>17</v>
      </c>
      <c r="M547" s="5">
        <v>720</v>
      </c>
      <c r="N547" s="5">
        <v>576</v>
      </c>
      <c r="O547" s="5">
        <v>576</v>
      </c>
      <c r="P547" s="5">
        <v>432</v>
      </c>
      <c r="Q547" s="5">
        <v>1152</v>
      </c>
      <c r="R547" s="5">
        <v>1008</v>
      </c>
      <c r="S547" s="5">
        <v>864</v>
      </c>
      <c r="T547" s="5">
        <v>864</v>
      </c>
      <c r="U547" s="5">
        <v>1152</v>
      </c>
      <c r="V547" s="5">
        <v>1728</v>
      </c>
      <c r="W547" s="5">
        <v>864</v>
      </c>
      <c r="X547" s="5">
        <v>1584</v>
      </c>
      <c r="Z547" t="e">
        <f>VLOOKUP(E547,Sheet2!$A$1:$A$39,1,0)</f>
        <v>#N/A</v>
      </c>
      <c r="AA547">
        <f>VLOOKUP($E547,[1]Sheet1!$E$10:$X$629,AA$9,0)</f>
        <v>432</v>
      </c>
      <c r="AB547">
        <f>VLOOKUP($E547,[1]Sheet1!$E$10:$X$629,AB$9,0)</f>
        <v>432</v>
      </c>
      <c r="AC547">
        <f>VLOOKUP($E547,[1]Sheet1!$E$10:$X$629,AC$9,0)</f>
        <v>720</v>
      </c>
      <c r="AD547">
        <f>VLOOKUP($E547,[1]Sheet1!$E$10:$X$629,AD$9,0)</f>
        <v>576</v>
      </c>
      <c r="AE547">
        <f>VLOOKUP($E547,[1]Sheet1!$E$10:$X$629,AE$9,0)</f>
        <v>720</v>
      </c>
      <c r="AF547">
        <f>VLOOKUP($E547,[1]Sheet1!$E$10:$X$629,AF$9,0)</f>
        <v>1152</v>
      </c>
      <c r="AG547">
        <f>VLOOKUP($E547,[1]Sheet1!$E$10:$X$629,AG$9,0)</f>
        <v>1008</v>
      </c>
      <c r="AH547">
        <f>VLOOKUP($E547,[1]Sheet1!$E$10:$X$629,AH$9,0)</f>
        <v>576</v>
      </c>
      <c r="AJ547">
        <f t="shared" si="28"/>
        <v>6192</v>
      </c>
      <c r="AK547">
        <f t="shared" si="29"/>
        <v>5616</v>
      </c>
      <c r="AL547">
        <f t="shared" si="30"/>
        <v>576</v>
      </c>
    </row>
    <row r="548" spans="1:38" ht="39.6" x14ac:dyDescent="0.3">
      <c r="A548" s="4" t="s">
        <v>1609</v>
      </c>
      <c r="B548" s="5" t="s">
        <v>1610</v>
      </c>
      <c r="C548" s="21" t="s">
        <v>1611</v>
      </c>
      <c r="D548" s="20"/>
      <c r="E548" s="4">
        <v>1200509</v>
      </c>
      <c r="F548" s="4" t="s">
        <v>44</v>
      </c>
      <c r="G548" s="4" t="s">
        <v>45</v>
      </c>
      <c r="H548" s="4" t="s">
        <v>61</v>
      </c>
      <c r="I548" s="4" t="s">
        <v>57</v>
      </c>
      <c r="J548" s="4" t="s">
        <v>47</v>
      </c>
      <c r="K548" s="4">
        <v>8.5</v>
      </c>
      <c r="L548" s="4">
        <v>17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Z548" t="e">
        <f>VLOOKUP(E548,Sheet2!$A$1:$A$39,1,0)</f>
        <v>#N/A</v>
      </c>
      <c r="AA548">
        <f>VLOOKUP($E548,[1]Sheet1!$E$10:$X$629,AA$9,0)</f>
        <v>0</v>
      </c>
      <c r="AB548">
        <f>VLOOKUP($E548,[1]Sheet1!$E$10:$X$629,AB$9,0)</f>
        <v>0</v>
      </c>
      <c r="AC548">
        <f>VLOOKUP($E548,[1]Sheet1!$E$10:$X$629,AC$9,0)</f>
        <v>0</v>
      </c>
      <c r="AD548">
        <f>VLOOKUP($E548,[1]Sheet1!$E$10:$X$629,AD$9,0)</f>
        <v>0</v>
      </c>
      <c r="AE548">
        <f>VLOOKUP($E548,[1]Sheet1!$E$10:$X$629,AE$9,0)</f>
        <v>0</v>
      </c>
      <c r="AF548">
        <f>VLOOKUP($E548,[1]Sheet1!$E$10:$X$629,AF$9,0)</f>
        <v>0</v>
      </c>
      <c r="AG548">
        <f>VLOOKUP($E548,[1]Sheet1!$E$10:$X$629,AG$9,0)</f>
        <v>0</v>
      </c>
      <c r="AH548">
        <f>VLOOKUP($E548,[1]Sheet1!$E$10:$X$629,AH$9,0)</f>
        <v>0</v>
      </c>
      <c r="AJ548">
        <f t="shared" si="28"/>
        <v>0</v>
      </c>
      <c r="AK548">
        <f t="shared" si="29"/>
        <v>0</v>
      </c>
      <c r="AL548">
        <f t="shared" si="30"/>
        <v>0</v>
      </c>
    </row>
    <row r="549" spans="1:38" ht="39.6" x14ac:dyDescent="0.3">
      <c r="A549" s="4" t="s">
        <v>1612</v>
      </c>
      <c r="B549" s="5" t="s">
        <v>1613</v>
      </c>
      <c r="C549" s="21" t="s">
        <v>1614</v>
      </c>
      <c r="D549" s="20"/>
      <c r="E549" s="4">
        <v>1200506</v>
      </c>
      <c r="F549" s="4" t="s">
        <v>44</v>
      </c>
      <c r="G549" s="4" t="s">
        <v>45</v>
      </c>
      <c r="H549" s="4" t="s">
        <v>61</v>
      </c>
      <c r="I549" s="4" t="s">
        <v>57</v>
      </c>
      <c r="J549" s="4" t="s">
        <v>47</v>
      </c>
      <c r="K549" s="4">
        <v>8.5</v>
      </c>
      <c r="L549" s="4">
        <v>17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Z549" t="e">
        <f>VLOOKUP(E549,Sheet2!$A$1:$A$39,1,0)</f>
        <v>#N/A</v>
      </c>
      <c r="AA549">
        <f>VLOOKUP($E549,[1]Sheet1!$E$10:$X$629,AA$9,0)</f>
        <v>0</v>
      </c>
      <c r="AB549">
        <f>VLOOKUP($E549,[1]Sheet1!$E$10:$X$629,AB$9,0)</f>
        <v>0</v>
      </c>
      <c r="AC549">
        <f>VLOOKUP($E549,[1]Sheet1!$E$10:$X$629,AC$9,0)</f>
        <v>0</v>
      </c>
      <c r="AD549">
        <f>VLOOKUP($E549,[1]Sheet1!$E$10:$X$629,AD$9,0)</f>
        <v>144</v>
      </c>
      <c r="AE549">
        <f>VLOOKUP($E549,[1]Sheet1!$E$10:$X$629,AE$9,0)</f>
        <v>0</v>
      </c>
      <c r="AF549">
        <f>VLOOKUP($E549,[1]Sheet1!$E$10:$X$629,AF$9,0)</f>
        <v>288</v>
      </c>
      <c r="AG549">
        <f>VLOOKUP($E549,[1]Sheet1!$E$10:$X$629,AG$9,0)</f>
        <v>288</v>
      </c>
      <c r="AH549">
        <f>VLOOKUP($E549,[1]Sheet1!$E$10:$X$629,AH$9,0)</f>
        <v>144</v>
      </c>
      <c r="AJ549">
        <f t="shared" si="28"/>
        <v>0</v>
      </c>
      <c r="AK549">
        <f t="shared" si="29"/>
        <v>864</v>
      </c>
      <c r="AL549">
        <f t="shared" si="30"/>
        <v>-864</v>
      </c>
    </row>
    <row r="550" spans="1:38" ht="39.6" x14ac:dyDescent="0.3">
      <c r="A550" s="4" t="s">
        <v>1615</v>
      </c>
      <c r="B550" s="5" t="s">
        <v>1616</v>
      </c>
      <c r="C550" s="21" t="s">
        <v>1617</v>
      </c>
      <c r="D550" s="20"/>
      <c r="E550" s="4">
        <v>1200507</v>
      </c>
      <c r="F550" s="4" t="s">
        <v>44</v>
      </c>
      <c r="G550" s="4" t="s">
        <v>45</v>
      </c>
      <c r="H550" s="4" t="s">
        <v>61</v>
      </c>
      <c r="I550" s="4" t="s">
        <v>57</v>
      </c>
      <c r="J550" s="4" t="s">
        <v>47</v>
      </c>
      <c r="K550" s="4">
        <v>8.5</v>
      </c>
      <c r="L550" s="4">
        <v>17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Z550" t="e">
        <f>VLOOKUP(E550,Sheet2!$A$1:$A$39,1,0)</f>
        <v>#N/A</v>
      </c>
      <c r="AA550">
        <f>VLOOKUP($E550,[1]Sheet1!$E$10:$X$629,AA$9,0)</f>
        <v>0</v>
      </c>
      <c r="AB550">
        <f>VLOOKUP($E550,[1]Sheet1!$E$10:$X$629,AB$9,0)</f>
        <v>0</v>
      </c>
      <c r="AC550">
        <f>VLOOKUP($E550,[1]Sheet1!$E$10:$X$629,AC$9,0)</f>
        <v>0</v>
      </c>
      <c r="AD550">
        <f>VLOOKUP($E550,[1]Sheet1!$E$10:$X$629,AD$9,0)</f>
        <v>0</v>
      </c>
      <c r="AE550">
        <f>VLOOKUP($E550,[1]Sheet1!$E$10:$X$629,AE$9,0)</f>
        <v>0</v>
      </c>
      <c r="AF550">
        <f>VLOOKUP($E550,[1]Sheet1!$E$10:$X$629,AF$9,0)</f>
        <v>0</v>
      </c>
      <c r="AG550">
        <f>VLOOKUP($E550,[1]Sheet1!$E$10:$X$629,AG$9,0)</f>
        <v>144</v>
      </c>
      <c r="AH550">
        <f>VLOOKUP($E550,[1]Sheet1!$E$10:$X$629,AH$9,0)</f>
        <v>0</v>
      </c>
      <c r="AJ550">
        <f t="shared" si="28"/>
        <v>0</v>
      </c>
      <c r="AK550">
        <f t="shared" si="29"/>
        <v>144</v>
      </c>
      <c r="AL550">
        <f t="shared" si="30"/>
        <v>-144</v>
      </c>
    </row>
    <row r="551" spans="1:38" ht="39.6" x14ac:dyDescent="0.3">
      <c r="A551" s="4" t="s">
        <v>1618</v>
      </c>
      <c r="B551" s="5" t="s">
        <v>1619</v>
      </c>
      <c r="C551" s="21" t="s">
        <v>1620</v>
      </c>
      <c r="D551" s="20"/>
      <c r="E551" s="4">
        <v>1200596</v>
      </c>
      <c r="F551" s="4" t="s">
        <v>44</v>
      </c>
      <c r="G551" s="4" t="s">
        <v>45</v>
      </c>
      <c r="H551" s="4" t="s">
        <v>61</v>
      </c>
      <c r="I551" s="4" t="s">
        <v>57</v>
      </c>
      <c r="J551" s="4" t="s">
        <v>47</v>
      </c>
      <c r="K551" s="4">
        <v>8.5</v>
      </c>
      <c r="L551" s="4">
        <v>17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Z551" t="e">
        <f>VLOOKUP(E551,Sheet2!$A$1:$A$39,1,0)</f>
        <v>#N/A</v>
      </c>
      <c r="AA551">
        <f>VLOOKUP($E551,[1]Sheet1!$E$10:$X$629,AA$9,0)</f>
        <v>0</v>
      </c>
      <c r="AB551">
        <f>VLOOKUP($E551,[1]Sheet1!$E$10:$X$629,AB$9,0)</f>
        <v>0</v>
      </c>
      <c r="AC551">
        <f>VLOOKUP($E551,[1]Sheet1!$E$10:$X$629,AC$9,0)</f>
        <v>0</v>
      </c>
      <c r="AD551">
        <f>VLOOKUP($E551,[1]Sheet1!$E$10:$X$629,AD$9,0)</f>
        <v>0</v>
      </c>
      <c r="AE551">
        <f>VLOOKUP($E551,[1]Sheet1!$E$10:$X$629,AE$9,0)</f>
        <v>0</v>
      </c>
      <c r="AF551">
        <f>VLOOKUP($E551,[1]Sheet1!$E$10:$X$629,AF$9,0)</f>
        <v>0</v>
      </c>
      <c r="AG551">
        <f>VLOOKUP($E551,[1]Sheet1!$E$10:$X$629,AG$9,0)</f>
        <v>0</v>
      </c>
      <c r="AH551">
        <f>VLOOKUP($E551,[1]Sheet1!$E$10:$X$629,AH$9,0)</f>
        <v>0</v>
      </c>
      <c r="AJ551">
        <f t="shared" si="28"/>
        <v>0</v>
      </c>
      <c r="AK551">
        <f t="shared" si="29"/>
        <v>0</v>
      </c>
      <c r="AL551">
        <f t="shared" si="30"/>
        <v>0</v>
      </c>
    </row>
    <row r="552" spans="1:38" ht="39.6" x14ac:dyDescent="0.3">
      <c r="A552" s="4" t="s">
        <v>1621</v>
      </c>
      <c r="B552" s="5" t="s">
        <v>1622</v>
      </c>
      <c r="C552" s="21" t="s">
        <v>1623</v>
      </c>
      <c r="D552" s="20"/>
      <c r="E552" s="4">
        <v>1200451</v>
      </c>
      <c r="F552" s="4" t="s">
        <v>44</v>
      </c>
      <c r="G552" s="4" t="s">
        <v>45</v>
      </c>
      <c r="H552" s="4" t="s">
        <v>61</v>
      </c>
      <c r="I552" s="4" t="s">
        <v>57</v>
      </c>
      <c r="J552" s="4" t="s">
        <v>47</v>
      </c>
      <c r="K552" s="4">
        <v>7.5</v>
      </c>
      <c r="L552" s="4">
        <v>15</v>
      </c>
      <c r="M552" s="5">
        <v>0</v>
      </c>
      <c r="N552" s="5">
        <v>0</v>
      </c>
      <c r="O552" s="5">
        <v>0</v>
      </c>
      <c r="P552" s="5">
        <v>144</v>
      </c>
      <c r="Q552" s="5">
        <v>0</v>
      </c>
      <c r="R552" s="5">
        <v>0</v>
      </c>
      <c r="S552" s="5">
        <v>0</v>
      </c>
      <c r="T552" s="5">
        <v>144</v>
      </c>
      <c r="U552" s="5">
        <v>0</v>
      </c>
      <c r="V552" s="5">
        <v>0</v>
      </c>
      <c r="W552" s="5">
        <v>144</v>
      </c>
      <c r="X552" s="5">
        <v>288</v>
      </c>
      <c r="Z552" t="e">
        <f>VLOOKUP(E552,Sheet2!$A$1:$A$39,1,0)</f>
        <v>#N/A</v>
      </c>
      <c r="AA552">
        <f>VLOOKUP($E552,[1]Sheet1!$E$10:$X$629,AA$9,0)</f>
        <v>0</v>
      </c>
      <c r="AB552">
        <f>VLOOKUP($E552,[1]Sheet1!$E$10:$X$629,AB$9,0)</f>
        <v>0</v>
      </c>
      <c r="AC552">
        <f>VLOOKUP($E552,[1]Sheet1!$E$10:$X$629,AC$9,0)</f>
        <v>144</v>
      </c>
      <c r="AD552">
        <f>VLOOKUP($E552,[1]Sheet1!$E$10:$X$629,AD$9,0)</f>
        <v>144</v>
      </c>
      <c r="AE552">
        <f>VLOOKUP($E552,[1]Sheet1!$E$10:$X$629,AE$9,0)</f>
        <v>0</v>
      </c>
      <c r="AF552">
        <f>VLOOKUP($E552,[1]Sheet1!$E$10:$X$629,AF$9,0)</f>
        <v>288</v>
      </c>
      <c r="AG552">
        <f>VLOOKUP($E552,[1]Sheet1!$E$10:$X$629,AG$9,0)</f>
        <v>0</v>
      </c>
      <c r="AH552">
        <f>VLOOKUP($E552,[1]Sheet1!$E$10:$X$629,AH$9,0)</f>
        <v>144</v>
      </c>
      <c r="AJ552">
        <f t="shared" si="28"/>
        <v>288</v>
      </c>
      <c r="AK552">
        <f t="shared" si="29"/>
        <v>720</v>
      </c>
      <c r="AL552">
        <f t="shared" si="30"/>
        <v>-432</v>
      </c>
    </row>
    <row r="553" spans="1:38" ht="39.6" x14ac:dyDescent="0.3">
      <c r="A553" s="4" t="s">
        <v>1624</v>
      </c>
      <c r="B553" s="5" t="s">
        <v>1625</v>
      </c>
      <c r="C553" s="21" t="s">
        <v>1626</v>
      </c>
      <c r="D553" s="20"/>
      <c r="E553" s="4">
        <v>1200462</v>
      </c>
      <c r="F553" s="4" t="s">
        <v>44</v>
      </c>
      <c r="G553" s="4" t="s">
        <v>45</v>
      </c>
      <c r="H553" s="4" t="s">
        <v>61</v>
      </c>
      <c r="I553" s="4" t="s">
        <v>57</v>
      </c>
      <c r="J553" s="4" t="s">
        <v>47</v>
      </c>
      <c r="K553" s="4">
        <v>7.5</v>
      </c>
      <c r="L553" s="4">
        <v>15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Z553" t="e">
        <f>VLOOKUP(E553,Sheet2!$A$1:$A$39,1,0)</f>
        <v>#N/A</v>
      </c>
      <c r="AA553">
        <f>VLOOKUP($E553,[1]Sheet1!$E$10:$X$629,AA$9,0)</f>
        <v>0</v>
      </c>
      <c r="AB553">
        <f>VLOOKUP($E553,[1]Sheet1!$E$10:$X$629,AB$9,0)</f>
        <v>0</v>
      </c>
      <c r="AC553">
        <f>VLOOKUP($E553,[1]Sheet1!$E$10:$X$629,AC$9,0)</f>
        <v>0</v>
      </c>
      <c r="AD553">
        <f>VLOOKUP($E553,[1]Sheet1!$E$10:$X$629,AD$9,0)</f>
        <v>0</v>
      </c>
      <c r="AE553">
        <f>VLOOKUP($E553,[1]Sheet1!$E$10:$X$629,AE$9,0)</f>
        <v>0</v>
      </c>
      <c r="AF553">
        <f>VLOOKUP($E553,[1]Sheet1!$E$10:$X$629,AF$9,0)</f>
        <v>0</v>
      </c>
      <c r="AG553">
        <f>VLOOKUP($E553,[1]Sheet1!$E$10:$X$629,AG$9,0)</f>
        <v>0</v>
      </c>
      <c r="AH553">
        <f>VLOOKUP($E553,[1]Sheet1!$E$10:$X$629,AH$9,0)</f>
        <v>0</v>
      </c>
      <c r="AJ553">
        <f t="shared" si="28"/>
        <v>0</v>
      </c>
      <c r="AK553">
        <f t="shared" si="29"/>
        <v>0</v>
      </c>
      <c r="AL553">
        <f t="shared" si="30"/>
        <v>0</v>
      </c>
    </row>
    <row r="554" spans="1:38" ht="39.6" x14ac:dyDescent="0.3">
      <c r="A554" s="4" t="s">
        <v>1627</v>
      </c>
      <c r="B554" s="5" t="s">
        <v>1628</v>
      </c>
      <c r="C554" s="21" t="s">
        <v>1629</v>
      </c>
      <c r="D554" s="20"/>
      <c r="E554" s="4">
        <v>1200444</v>
      </c>
      <c r="F554" s="4" t="s">
        <v>44</v>
      </c>
      <c r="G554" s="4" t="s">
        <v>45</v>
      </c>
      <c r="H554" s="4" t="s">
        <v>61</v>
      </c>
      <c r="I554" s="4" t="s">
        <v>57</v>
      </c>
      <c r="J554" s="4" t="s">
        <v>47</v>
      </c>
      <c r="K554" s="4">
        <v>7.5</v>
      </c>
      <c r="L554" s="4">
        <v>15</v>
      </c>
      <c r="M554" s="5">
        <v>0</v>
      </c>
      <c r="N554" s="5">
        <v>0</v>
      </c>
      <c r="O554" s="5">
        <v>144</v>
      </c>
      <c r="P554" s="5">
        <v>0</v>
      </c>
      <c r="Q554" s="5">
        <v>0</v>
      </c>
      <c r="R554" s="5">
        <v>0</v>
      </c>
      <c r="S554" s="5">
        <v>0</v>
      </c>
      <c r="T554" s="5">
        <v>144</v>
      </c>
      <c r="U554" s="5">
        <v>0</v>
      </c>
      <c r="V554" s="5">
        <v>288</v>
      </c>
      <c r="W554" s="5">
        <v>144</v>
      </c>
      <c r="X554" s="5">
        <v>144</v>
      </c>
      <c r="Z554" t="e">
        <f>VLOOKUP(E554,Sheet2!$A$1:$A$39,1,0)</f>
        <v>#N/A</v>
      </c>
      <c r="AA554">
        <f>VLOOKUP($E554,[1]Sheet1!$E$10:$X$629,AA$9,0)</f>
        <v>0</v>
      </c>
      <c r="AB554">
        <f>VLOOKUP($E554,[1]Sheet1!$E$10:$X$629,AB$9,0)</f>
        <v>144</v>
      </c>
      <c r="AC554">
        <f>VLOOKUP($E554,[1]Sheet1!$E$10:$X$629,AC$9,0)</f>
        <v>144</v>
      </c>
      <c r="AD554">
        <f>VLOOKUP($E554,[1]Sheet1!$E$10:$X$629,AD$9,0)</f>
        <v>0</v>
      </c>
      <c r="AE554">
        <f>VLOOKUP($E554,[1]Sheet1!$E$10:$X$629,AE$9,0)</f>
        <v>0</v>
      </c>
      <c r="AF554">
        <f>VLOOKUP($E554,[1]Sheet1!$E$10:$X$629,AF$9,0)</f>
        <v>0</v>
      </c>
      <c r="AG554">
        <f>VLOOKUP($E554,[1]Sheet1!$E$10:$X$629,AG$9,0)</f>
        <v>0</v>
      </c>
      <c r="AH554">
        <f>VLOOKUP($E554,[1]Sheet1!$E$10:$X$629,AH$9,0)</f>
        <v>0</v>
      </c>
      <c r="AJ554">
        <f t="shared" si="28"/>
        <v>288</v>
      </c>
      <c r="AK554">
        <f t="shared" si="29"/>
        <v>288</v>
      </c>
      <c r="AL554">
        <f t="shared" si="30"/>
        <v>0</v>
      </c>
    </row>
    <row r="555" spans="1:38" ht="39.6" x14ac:dyDescent="0.3">
      <c r="A555" s="4" t="s">
        <v>1630</v>
      </c>
      <c r="B555" s="5" t="s">
        <v>1631</v>
      </c>
      <c r="C555" s="21" t="s">
        <v>1632</v>
      </c>
      <c r="D555" s="20"/>
      <c r="E555" s="4">
        <v>1200594</v>
      </c>
      <c r="F555" s="4" t="s">
        <v>44</v>
      </c>
      <c r="G555" s="4" t="s">
        <v>45</v>
      </c>
      <c r="H555" s="4" t="s">
        <v>56</v>
      </c>
      <c r="I555" s="4" t="s">
        <v>57</v>
      </c>
      <c r="J555" s="4" t="s">
        <v>47</v>
      </c>
      <c r="K555" s="4">
        <v>7.5</v>
      </c>
      <c r="L555" s="4">
        <v>15</v>
      </c>
      <c r="M555" s="5">
        <v>0</v>
      </c>
      <c r="N555" s="5">
        <v>0</v>
      </c>
      <c r="O555" s="5">
        <v>0</v>
      </c>
      <c r="P555" s="5">
        <v>144</v>
      </c>
      <c r="Q555" s="5">
        <v>144</v>
      </c>
      <c r="R555" s="5">
        <v>0</v>
      </c>
      <c r="S555" s="5">
        <v>144</v>
      </c>
      <c r="T555" s="5">
        <v>144</v>
      </c>
      <c r="U555" s="5">
        <v>144</v>
      </c>
      <c r="V555" s="5">
        <v>432</v>
      </c>
      <c r="W555" s="5">
        <v>288</v>
      </c>
      <c r="X555" s="5">
        <v>288</v>
      </c>
      <c r="Z555" t="e">
        <f>VLOOKUP(E555,Sheet2!$A$1:$A$39,1,0)</f>
        <v>#N/A</v>
      </c>
      <c r="AA555">
        <f>VLOOKUP($E555,[1]Sheet1!$E$10:$X$629,AA$9,0)</f>
        <v>144</v>
      </c>
      <c r="AB555">
        <f>VLOOKUP($E555,[1]Sheet1!$E$10:$X$629,AB$9,0)</f>
        <v>288</v>
      </c>
      <c r="AC555">
        <f>VLOOKUP($E555,[1]Sheet1!$E$10:$X$629,AC$9,0)</f>
        <v>288</v>
      </c>
      <c r="AD555">
        <f>VLOOKUP($E555,[1]Sheet1!$E$10:$X$629,AD$9,0)</f>
        <v>432</v>
      </c>
      <c r="AE555">
        <f>VLOOKUP($E555,[1]Sheet1!$E$10:$X$629,AE$9,0)</f>
        <v>288</v>
      </c>
      <c r="AF555">
        <f>VLOOKUP($E555,[1]Sheet1!$E$10:$X$629,AF$9,0)</f>
        <v>432</v>
      </c>
      <c r="AG555">
        <f>VLOOKUP($E555,[1]Sheet1!$E$10:$X$629,AG$9,0)</f>
        <v>288</v>
      </c>
      <c r="AH555">
        <f>VLOOKUP($E555,[1]Sheet1!$E$10:$X$629,AH$9,0)</f>
        <v>288</v>
      </c>
      <c r="AJ555">
        <f t="shared" si="28"/>
        <v>576</v>
      </c>
      <c r="AK555">
        <f t="shared" si="29"/>
        <v>2448</v>
      </c>
      <c r="AL555">
        <f t="shared" si="30"/>
        <v>-1872</v>
      </c>
    </row>
    <row r="556" spans="1:38" ht="39.6" x14ac:dyDescent="0.3">
      <c r="A556" s="4" t="s">
        <v>1633</v>
      </c>
      <c r="B556" s="5" t="s">
        <v>1634</v>
      </c>
      <c r="C556" s="21" t="s">
        <v>1635</v>
      </c>
      <c r="D556" s="20"/>
      <c r="E556" s="4">
        <v>1200452</v>
      </c>
      <c r="F556" s="4" t="s">
        <v>44</v>
      </c>
      <c r="G556" s="4" t="s">
        <v>45</v>
      </c>
      <c r="H556" s="4" t="s">
        <v>61</v>
      </c>
      <c r="I556" s="4" t="s">
        <v>57</v>
      </c>
      <c r="J556" s="4" t="s">
        <v>47</v>
      </c>
      <c r="K556" s="4">
        <v>7.5</v>
      </c>
      <c r="L556" s="4">
        <v>15</v>
      </c>
      <c r="M556" s="5">
        <v>0</v>
      </c>
      <c r="N556" s="5">
        <v>0</v>
      </c>
      <c r="O556" s="5">
        <v>0</v>
      </c>
      <c r="P556" s="5">
        <v>0</v>
      </c>
      <c r="Q556" s="5">
        <v>144</v>
      </c>
      <c r="R556" s="5">
        <v>0</v>
      </c>
      <c r="S556" s="5">
        <v>0</v>
      </c>
      <c r="T556" s="5">
        <v>0</v>
      </c>
      <c r="U556" s="5">
        <v>0</v>
      </c>
      <c r="V556" s="5">
        <v>144</v>
      </c>
      <c r="W556" s="5">
        <v>144</v>
      </c>
      <c r="X556" s="5">
        <v>144</v>
      </c>
      <c r="Z556" t="e">
        <f>VLOOKUP(E556,Sheet2!$A$1:$A$39,1,0)</f>
        <v>#N/A</v>
      </c>
      <c r="AA556">
        <f>VLOOKUP($E556,[1]Sheet1!$E$10:$X$629,AA$9,0)</f>
        <v>0</v>
      </c>
      <c r="AB556">
        <f>VLOOKUP($E556,[1]Sheet1!$E$10:$X$629,AB$9,0)</f>
        <v>144</v>
      </c>
      <c r="AC556">
        <f>VLOOKUP($E556,[1]Sheet1!$E$10:$X$629,AC$9,0)</f>
        <v>0</v>
      </c>
      <c r="AD556">
        <f>VLOOKUP($E556,[1]Sheet1!$E$10:$X$629,AD$9,0)</f>
        <v>144</v>
      </c>
      <c r="AE556">
        <f>VLOOKUP($E556,[1]Sheet1!$E$10:$X$629,AE$9,0)</f>
        <v>144</v>
      </c>
      <c r="AF556">
        <f>VLOOKUP($E556,[1]Sheet1!$E$10:$X$629,AF$9,0)</f>
        <v>0</v>
      </c>
      <c r="AG556">
        <f>VLOOKUP($E556,[1]Sheet1!$E$10:$X$629,AG$9,0)</f>
        <v>0</v>
      </c>
      <c r="AH556">
        <f>VLOOKUP($E556,[1]Sheet1!$E$10:$X$629,AH$9,0)</f>
        <v>144</v>
      </c>
      <c r="AJ556">
        <f t="shared" si="28"/>
        <v>144</v>
      </c>
      <c r="AK556">
        <f t="shared" si="29"/>
        <v>576</v>
      </c>
      <c r="AL556">
        <f t="shared" si="30"/>
        <v>-432</v>
      </c>
    </row>
    <row r="557" spans="1:38" ht="39.6" x14ac:dyDescent="0.3">
      <c r="A557" s="4" t="s">
        <v>1636</v>
      </c>
      <c r="B557" s="5" t="s">
        <v>1637</v>
      </c>
      <c r="C557" s="21" t="s">
        <v>1638</v>
      </c>
      <c r="D557" s="20"/>
      <c r="E557" s="4">
        <v>1200592</v>
      </c>
      <c r="F557" s="4" t="s">
        <v>44</v>
      </c>
      <c r="G557" s="4" t="s">
        <v>45</v>
      </c>
      <c r="H557" s="4" t="s">
        <v>56</v>
      </c>
      <c r="I557" s="4" t="s">
        <v>57</v>
      </c>
      <c r="J557" s="4" t="s">
        <v>47</v>
      </c>
      <c r="K557" s="4">
        <v>7.5</v>
      </c>
      <c r="L557" s="4">
        <v>15</v>
      </c>
      <c r="M557" s="5">
        <v>144</v>
      </c>
      <c r="N557" s="5">
        <v>0</v>
      </c>
      <c r="O557" s="5">
        <v>0</v>
      </c>
      <c r="P557" s="5">
        <v>288</v>
      </c>
      <c r="Q557" s="5">
        <v>0</v>
      </c>
      <c r="R557" s="5">
        <v>432</v>
      </c>
      <c r="S557" s="5">
        <v>288</v>
      </c>
      <c r="T557" s="5">
        <v>288</v>
      </c>
      <c r="U557" s="5">
        <v>576</v>
      </c>
      <c r="V557" s="5">
        <v>864</v>
      </c>
      <c r="W557" s="5">
        <v>288</v>
      </c>
      <c r="X557" s="5">
        <v>1152</v>
      </c>
      <c r="Z557" t="e">
        <f>VLOOKUP(E557,Sheet2!$A$1:$A$39,1,0)</f>
        <v>#N/A</v>
      </c>
      <c r="AA557">
        <f>VLOOKUP($E557,[1]Sheet1!$E$10:$X$629,AA$9,0)</f>
        <v>576</v>
      </c>
      <c r="AB557">
        <f>VLOOKUP($E557,[1]Sheet1!$E$10:$X$629,AB$9,0)</f>
        <v>288</v>
      </c>
      <c r="AC557">
        <f>VLOOKUP($E557,[1]Sheet1!$E$10:$X$629,AC$9,0)</f>
        <v>864</v>
      </c>
      <c r="AD557">
        <f>VLOOKUP($E557,[1]Sheet1!$E$10:$X$629,AD$9,0)</f>
        <v>288</v>
      </c>
      <c r="AE557">
        <f>VLOOKUP($E557,[1]Sheet1!$E$10:$X$629,AE$9,0)</f>
        <v>576</v>
      </c>
      <c r="AF557">
        <f>VLOOKUP($E557,[1]Sheet1!$E$10:$X$629,AF$9,0)</f>
        <v>1008</v>
      </c>
      <c r="AG557">
        <f>VLOOKUP($E557,[1]Sheet1!$E$10:$X$629,AG$9,0)</f>
        <v>720</v>
      </c>
      <c r="AH557">
        <f>VLOOKUP($E557,[1]Sheet1!$E$10:$X$629,AH$9,0)</f>
        <v>288</v>
      </c>
      <c r="AJ557">
        <f t="shared" si="28"/>
        <v>1440</v>
      </c>
      <c r="AK557">
        <f t="shared" si="29"/>
        <v>4608</v>
      </c>
      <c r="AL557">
        <f t="shared" si="30"/>
        <v>-3168</v>
      </c>
    </row>
    <row r="558" spans="1:38" ht="39.6" x14ac:dyDescent="0.3">
      <c r="A558" s="4" t="s">
        <v>1639</v>
      </c>
      <c r="B558" s="5" t="s">
        <v>1640</v>
      </c>
      <c r="C558" s="21" t="s">
        <v>1641</v>
      </c>
      <c r="D558" s="20"/>
      <c r="E558" s="4">
        <v>1200595</v>
      </c>
      <c r="F558" s="4" t="s">
        <v>44</v>
      </c>
      <c r="G558" s="4" t="s">
        <v>45</v>
      </c>
      <c r="H558" s="4" t="s">
        <v>56</v>
      </c>
      <c r="I558" s="4" t="s">
        <v>57</v>
      </c>
      <c r="J558" s="4" t="s">
        <v>47</v>
      </c>
      <c r="K558" s="4">
        <v>7.5</v>
      </c>
      <c r="L558" s="4">
        <v>15</v>
      </c>
      <c r="M558" s="5">
        <v>0</v>
      </c>
      <c r="N558" s="5">
        <v>0</v>
      </c>
      <c r="O558" s="5">
        <v>144</v>
      </c>
      <c r="P558" s="5">
        <v>0</v>
      </c>
      <c r="Q558" s="5">
        <v>144</v>
      </c>
      <c r="R558" s="5">
        <v>144</v>
      </c>
      <c r="S558" s="5">
        <v>0</v>
      </c>
      <c r="T558" s="5">
        <v>288</v>
      </c>
      <c r="U558" s="5">
        <v>288</v>
      </c>
      <c r="V558" s="5">
        <v>576</v>
      </c>
      <c r="W558" s="5">
        <v>144</v>
      </c>
      <c r="X558" s="5">
        <v>720</v>
      </c>
      <c r="Z558" t="e">
        <f>VLOOKUP(E558,Sheet2!$A$1:$A$39,1,0)</f>
        <v>#N/A</v>
      </c>
      <c r="AA558">
        <f>VLOOKUP($E558,[1]Sheet1!$E$10:$X$629,AA$9,0)</f>
        <v>144</v>
      </c>
      <c r="AB558">
        <f>VLOOKUP($E558,[1]Sheet1!$E$10:$X$629,AB$9,0)</f>
        <v>288</v>
      </c>
      <c r="AC558">
        <f>VLOOKUP($E558,[1]Sheet1!$E$10:$X$629,AC$9,0)</f>
        <v>288</v>
      </c>
      <c r="AD558">
        <f>VLOOKUP($E558,[1]Sheet1!$E$10:$X$629,AD$9,0)</f>
        <v>144</v>
      </c>
      <c r="AE558">
        <f>VLOOKUP($E558,[1]Sheet1!$E$10:$X$629,AE$9,0)</f>
        <v>432</v>
      </c>
      <c r="AF558">
        <f>VLOOKUP($E558,[1]Sheet1!$E$10:$X$629,AF$9,0)</f>
        <v>288</v>
      </c>
      <c r="AG558">
        <f>VLOOKUP($E558,[1]Sheet1!$E$10:$X$629,AG$9,0)</f>
        <v>432</v>
      </c>
      <c r="AH558">
        <f>VLOOKUP($E558,[1]Sheet1!$E$10:$X$629,AH$9,0)</f>
        <v>288</v>
      </c>
      <c r="AJ558">
        <f t="shared" si="28"/>
        <v>720</v>
      </c>
      <c r="AK558">
        <f t="shared" si="29"/>
        <v>2304</v>
      </c>
      <c r="AL558">
        <f t="shared" si="30"/>
        <v>-1584</v>
      </c>
    </row>
    <row r="559" spans="1:38" ht="39.6" x14ac:dyDescent="0.3">
      <c r="A559" s="4" t="s">
        <v>1642</v>
      </c>
      <c r="B559" s="5" t="s">
        <v>1643</v>
      </c>
      <c r="C559" s="21" t="s">
        <v>1644</v>
      </c>
      <c r="D559" s="20"/>
      <c r="E559" s="4">
        <v>1200498</v>
      </c>
      <c r="F559" s="4" t="s">
        <v>44</v>
      </c>
      <c r="G559" s="4" t="s">
        <v>45</v>
      </c>
      <c r="H559" s="4" t="s">
        <v>56</v>
      </c>
      <c r="I559" s="4" t="s">
        <v>57</v>
      </c>
      <c r="J559" s="4" t="s">
        <v>47</v>
      </c>
      <c r="K559" s="4">
        <v>6.5</v>
      </c>
      <c r="L559" s="4">
        <v>13</v>
      </c>
      <c r="M559" s="5">
        <v>720</v>
      </c>
      <c r="N559" s="5">
        <v>1296</v>
      </c>
      <c r="O559" s="5">
        <v>1008</v>
      </c>
      <c r="P559" s="5">
        <v>720</v>
      </c>
      <c r="Q559" s="5">
        <v>1008</v>
      </c>
      <c r="R559" s="5">
        <v>1296</v>
      </c>
      <c r="S559" s="5">
        <v>1152</v>
      </c>
      <c r="T559" s="5">
        <v>1152</v>
      </c>
      <c r="U559" s="5">
        <v>1296</v>
      </c>
      <c r="V559" s="5">
        <v>1728</v>
      </c>
      <c r="W559" s="5">
        <v>1296</v>
      </c>
      <c r="X559" s="5">
        <v>1440</v>
      </c>
      <c r="Z559" t="e">
        <f>VLOOKUP(E559,Sheet2!$A$1:$A$39,1,0)</f>
        <v>#N/A</v>
      </c>
      <c r="AA559">
        <f>VLOOKUP($E559,[1]Sheet1!$E$10:$X$629,AA$9,0)</f>
        <v>1728</v>
      </c>
      <c r="AB559">
        <f>VLOOKUP($E559,[1]Sheet1!$E$10:$X$629,AB$9,0)</f>
        <v>1440</v>
      </c>
      <c r="AC559">
        <f>VLOOKUP($E559,[1]Sheet1!$E$10:$X$629,AC$9,0)</f>
        <v>2160</v>
      </c>
      <c r="AD559">
        <f>VLOOKUP($E559,[1]Sheet1!$E$10:$X$629,AD$9,0)</f>
        <v>1728</v>
      </c>
      <c r="AE559">
        <f>VLOOKUP($E559,[1]Sheet1!$E$10:$X$629,AE$9,0)</f>
        <v>1440</v>
      </c>
      <c r="AF559">
        <f>VLOOKUP($E559,[1]Sheet1!$E$10:$X$629,AF$9,0)</f>
        <v>2016</v>
      </c>
      <c r="AG559">
        <f>VLOOKUP($E559,[1]Sheet1!$E$10:$X$629,AG$9,0)</f>
        <v>1872</v>
      </c>
      <c r="AH559">
        <f>VLOOKUP($E559,[1]Sheet1!$E$10:$X$629,AH$9,0)</f>
        <v>1008</v>
      </c>
      <c r="AJ559">
        <f t="shared" si="28"/>
        <v>8352</v>
      </c>
      <c r="AK559">
        <f t="shared" si="29"/>
        <v>13392</v>
      </c>
      <c r="AL559">
        <f t="shared" si="30"/>
        <v>-5040</v>
      </c>
    </row>
    <row r="560" spans="1:38" ht="39.6" x14ac:dyDescent="0.3">
      <c r="A560" s="4" t="s">
        <v>1645</v>
      </c>
      <c r="B560" s="5" t="s">
        <v>1646</v>
      </c>
      <c r="C560" s="21" t="s">
        <v>1647</v>
      </c>
      <c r="D560" s="20"/>
      <c r="E560" s="4">
        <v>1200568</v>
      </c>
      <c r="F560" s="4" t="s">
        <v>44</v>
      </c>
      <c r="G560" s="4" t="s">
        <v>45</v>
      </c>
      <c r="H560" s="4" t="s">
        <v>61</v>
      </c>
      <c r="I560" s="4" t="s">
        <v>57</v>
      </c>
      <c r="J560" s="4" t="s">
        <v>47</v>
      </c>
      <c r="K560" s="4">
        <v>25</v>
      </c>
      <c r="L560" s="4">
        <v>50</v>
      </c>
      <c r="M560" s="5">
        <v>24</v>
      </c>
      <c r="N560" s="5">
        <v>24</v>
      </c>
      <c r="O560" s="5">
        <v>24</v>
      </c>
      <c r="P560" s="5">
        <v>0</v>
      </c>
      <c r="Q560" s="5">
        <v>24</v>
      </c>
      <c r="R560" s="5">
        <v>0</v>
      </c>
      <c r="S560" s="5">
        <v>24</v>
      </c>
      <c r="T560" s="5">
        <v>24</v>
      </c>
      <c r="U560" s="5">
        <v>0</v>
      </c>
      <c r="V560" s="5">
        <v>48</v>
      </c>
      <c r="W560" s="5">
        <v>48</v>
      </c>
      <c r="X560" s="5">
        <v>24</v>
      </c>
      <c r="Z560" t="e">
        <f>VLOOKUP(E560,Sheet2!$A$1:$A$39,1,0)</f>
        <v>#N/A</v>
      </c>
      <c r="AA560">
        <f>VLOOKUP($E560,[1]Sheet1!$E$10:$X$629,AA$9,0)</f>
        <v>96</v>
      </c>
      <c r="AB560">
        <f>VLOOKUP($E560,[1]Sheet1!$E$10:$X$629,AB$9,0)</f>
        <v>120</v>
      </c>
      <c r="AC560">
        <f>VLOOKUP($E560,[1]Sheet1!$E$10:$X$629,AC$9,0)</f>
        <v>192</v>
      </c>
      <c r="AD560">
        <f>VLOOKUP($E560,[1]Sheet1!$E$10:$X$629,AD$9,0)</f>
        <v>72</v>
      </c>
      <c r="AE560">
        <f>VLOOKUP($E560,[1]Sheet1!$E$10:$X$629,AE$9,0)</f>
        <v>120</v>
      </c>
      <c r="AF560">
        <f>VLOOKUP($E560,[1]Sheet1!$E$10:$X$629,AF$9,0)</f>
        <v>192</v>
      </c>
      <c r="AG560">
        <f>VLOOKUP($E560,[1]Sheet1!$E$10:$X$629,AG$9,0)</f>
        <v>168</v>
      </c>
      <c r="AH560">
        <f>VLOOKUP($E560,[1]Sheet1!$E$10:$X$629,AH$9,0)</f>
        <v>48</v>
      </c>
      <c r="AJ560">
        <f t="shared" si="28"/>
        <v>144</v>
      </c>
      <c r="AK560">
        <f t="shared" si="29"/>
        <v>1008</v>
      </c>
      <c r="AL560">
        <f t="shared" si="30"/>
        <v>-864</v>
      </c>
    </row>
    <row r="561" spans="1:38" ht="39.6" x14ac:dyDescent="0.3">
      <c r="A561" s="4" t="s">
        <v>1648</v>
      </c>
      <c r="B561" s="5" t="s">
        <v>1649</v>
      </c>
      <c r="C561" s="21" t="s">
        <v>1650</v>
      </c>
      <c r="D561" s="20"/>
      <c r="E561" s="4">
        <v>1200523</v>
      </c>
      <c r="F561" s="4" t="s">
        <v>44</v>
      </c>
      <c r="G561" s="4" t="s">
        <v>45</v>
      </c>
      <c r="H561" s="4" t="s">
        <v>61</v>
      </c>
      <c r="I561" s="4" t="s">
        <v>57</v>
      </c>
      <c r="J561" s="4" t="s">
        <v>47</v>
      </c>
      <c r="K561" s="4">
        <v>6.5</v>
      </c>
      <c r="L561" s="4">
        <v>13</v>
      </c>
      <c r="M561" s="5">
        <v>0</v>
      </c>
      <c r="N561" s="5">
        <v>576</v>
      </c>
      <c r="O561" s="5">
        <v>432</v>
      </c>
      <c r="P561" s="5">
        <v>576</v>
      </c>
      <c r="Q561" s="5">
        <v>288</v>
      </c>
      <c r="R561" s="5">
        <v>576</v>
      </c>
      <c r="S561" s="5">
        <v>576</v>
      </c>
      <c r="T561" s="5">
        <v>432</v>
      </c>
      <c r="U561" s="5">
        <v>576</v>
      </c>
      <c r="V561" s="5">
        <v>864</v>
      </c>
      <c r="W561" s="5">
        <v>576</v>
      </c>
      <c r="X561" s="5">
        <v>720</v>
      </c>
      <c r="Z561" t="e">
        <f>VLOOKUP(E561,Sheet2!$A$1:$A$39,1,0)</f>
        <v>#N/A</v>
      </c>
      <c r="AA561">
        <f>VLOOKUP($E561,[1]Sheet1!$E$10:$X$629,AA$9,0)</f>
        <v>1008</v>
      </c>
      <c r="AB561">
        <f>VLOOKUP($E561,[1]Sheet1!$E$10:$X$629,AB$9,0)</f>
        <v>576</v>
      </c>
      <c r="AC561">
        <f>VLOOKUP($E561,[1]Sheet1!$E$10:$X$629,AC$9,0)</f>
        <v>864</v>
      </c>
      <c r="AD561">
        <f>VLOOKUP($E561,[1]Sheet1!$E$10:$X$629,AD$9,0)</f>
        <v>864</v>
      </c>
      <c r="AE561">
        <f>VLOOKUP($E561,[1]Sheet1!$E$10:$X$629,AE$9,0)</f>
        <v>720</v>
      </c>
      <c r="AF561">
        <f>VLOOKUP($E561,[1]Sheet1!$E$10:$X$629,AF$9,0)</f>
        <v>864</v>
      </c>
      <c r="AG561">
        <f>VLOOKUP($E561,[1]Sheet1!$E$10:$X$629,AG$9,0)</f>
        <v>864</v>
      </c>
      <c r="AH561">
        <f>VLOOKUP($E561,[1]Sheet1!$E$10:$X$629,AH$9,0)</f>
        <v>576</v>
      </c>
      <c r="AJ561">
        <f t="shared" si="28"/>
        <v>3456</v>
      </c>
      <c r="AK561">
        <f t="shared" si="29"/>
        <v>6336</v>
      </c>
      <c r="AL561">
        <f t="shared" si="30"/>
        <v>-2880</v>
      </c>
    </row>
    <row r="562" spans="1:38" ht="39.6" x14ac:dyDescent="0.3">
      <c r="A562" s="4" t="s">
        <v>1651</v>
      </c>
      <c r="B562" s="5" t="s">
        <v>1652</v>
      </c>
      <c r="C562" s="21" t="s">
        <v>1653</v>
      </c>
      <c r="D562" s="20"/>
      <c r="E562" s="4">
        <v>1200524</v>
      </c>
      <c r="F562" s="4" t="s">
        <v>44</v>
      </c>
      <c r="G562" s="4" t="s">
        <v>45</v>
      </c>
      <c r="H562" s="4" t="s">
        <v>61</v>
      </c>
      <c r="I562" s="4" t="s">
        <v>57</v>
      </c>
      <c r="J562" s="4" t="s">
        <v>47</v>
      </c>
      <c r="K562" s="4">
        <v>6.5</v>
      </c>
      <c r="L562" s="4">
        <v>13</v>
      </c>
      <c r="M562" s="5">
        <v>0</v>
      </c>
      <c r="N562" s="5">
        <v>144</v>
      </c>
      <c r="O562" s="5">
        <v>144</v>
      </c>
      <c r="P562" s="5">
        <v>0</v>
      </c>
      <c r="Q562" s="5">
        <v>288</v>
      </c>
      <c r="R562" s="5">
        <v>144</v>
      </c>
      <c r="S562" s="5">
        <v>144</v>
      </c>
      <c r="T562" s="5">
        <v>144</v>
      </c>
      <c r="U562" s="5">
        <v>432</v>
      </c>
      <c r="V562" s="5">
        <v>288</v>
      </c>
      <c r="W562" s="5">
        <v>432</v>
      </c>
      <c r="X562" s="5">
        <v>144</v>
      </c>
      <c r="Z562" t="e">
        <f>VLOOKUP(E562,Sheet2!$A$1:$A$39,1,0)</f>
        <v>#N/A</v>
      </c>
      <c r="AA562">
        <f>VLOOKUP($E562,[1]Sheet1!$E$10:$X$629,AA$9,0)</f>
        <v>288</v>
      </c>
      <c r="AB562">
        <f>VLOOKUP($E562,[1]Sheet1!$E$10:$X$629,AB$9,0)</f>
        <v>144</v>
      </c>
      <c r="AC562">
        <f>VLOOKUP($E562,[1]Sheet1!$E$10:$X$629,AC$9,0)</f>
        <v>720</v>
      </c>
      <c r="AD562">
        <f>VLOOKUP($E562,[1]Sheet1!$E$10:$X$629,AD$9,0)</f>
        <v>576</v>
      </c>
      <c r="AE562">
        <f>VLOOKUP($E562,[1]Sheet1!$E$10:$X$629,AE$9,0)</f>
        <v>288</v>
      </c>
      <c r="AF562">
        <f>VLOOKUP($E562,[1]Sheet1!$E$10:$X$629,AF$9,0)</f>
        <v>576</v>
      </c>
      <c r="AG562">
        <f>VLOOKUP($E562,[1]Sheet1!$E$10:$X$629,AG$9,0)</f>
        <v>576</v>
      </c>
      <c r="AH562">
        <f>VLOOKUP($E562,[1]Sheet1!$E$10:$X$629,AH$9,0)</f>
        <v>0</v>
      </c>
      <c r="AJ562">
        <f t="shared" si="28"/>
        <v>1008</v>
      </c>
      <c r="AK562">
        <f t="shared" si="29"/>
        <v>3168</v>
      </c>
      <c r="AL562">
        <f t="shared" si="30"/>
        <v>-2160</v>
      </c>
    </row>
    <row r="563" spans="1:38" ht="39.6" x14ac:dyDescent="0.3">
      <c r="A563" s="4" t="s">
        <v>1654</v>
      </c>
      <c r="B563" s="5" t="s">
        <v>1655</v>
      </c>
      <c r="C563" s="21" t="s">
        <v>1656</v>
      </c>
      <c r="D563" s="20"/>
      <c r="E563" s="4">
        <v>1200522</v>
      </c>
      <c r="F563" s="4" t="s">
        <v>44</v>
      </c>
      <c r="G563" s="4" t="s">
        <v>45</v>
      </c>
      <c r="H563" s="4" t="s">
        <v>61</v>
      </c>
      <c r="I563" s="4" t="s">
        <v>57</v>
      </c>
      <c r="J563" s="4" t="s">
        <v>47</v>
      </c>
      <c r="K563" s="4">
        <v>6.5</v>
      </c>
      <c r="L563" s="4">
        <v>13</v>
      </c>
      <c r="M563" s="5">
        <v>0</v>
      </c>
      <c r="N563" s="5">
        <v>288</v>
      </c>
      <c r="O563" s="5">
        <v>288</v>
      </c>
      <c r="P563" s="5">
        <v>144</v>
      </c>
      <c r="Q563" s="5">
        <v>288</v>
      </c>
      <c r="R563" s="5">
        <v>288</v>
      </c>
      <c r="S563" s="5">
        <v>432</v>
      </c>
      <c r="T563" s="5">
        <v>288</v>
      </c>
      <c r="U563" s="5">
        <v>576</v>
      </c>
      <c r="V563" s="5">
        <v>432</v>
      </c>
      <c r="W563" s="5">
        <v>432</v>
      </c>
      <c r="X563" s="5">
        <v>432</v>
      </c>
      <c r="Z563" t="e">
        <f>VLOOKUP(E563,Sheet2!$A$1:$A$39,1,0)</f>
        <v>#N/A</v>
      </c>
      <c r="AA563">
        <f>VLOOKUP($E563,[1]Sheet1!$E$10:$X$629,AA$9,0)</f>
        <v>576</v>
      </c>
      <c r="AB563">
        <f>VLOOKUP($E563,[1]Sheet1!$E$10:$X$629,AB$9,0)</f>
        <v>720</v>
      </c>
      <c r="AC563">
        <f>VLOOKUP($E563,[1]Sheet1!$E$10:$X$629,AC$9,0)</f>
        <v>720</v>
      </c>
      <c r="AD563">
        <f>VLOOKUP($E563,[1]Sheet1!$E$10:$X$629,AD$9,0)</f>
        <v>720</v>
      </c>
      <c r="AE563">
        <f>VLOOKUP($E563,[1]Sheet1!$E$10:$X$629,AE$9,0)</f>
        <v>576</v>
      </c>
      <c r="AF563">
        <f>VLOOKUP($E563,[1]Sheet1!$E$10:$X$629,AF$9,0)</f>
        <v>1008</v>
      </c>
      <c r="AG563">
        <f>VLOOKUP($E563,[1]Sheet1!$E$10:$X$629,AG$9,0)</f>
        <v>576</v>
      </c>
      <c r="AH563">
        <f>VLOOKUP($E563,[1]Sheet1!$E$10:$X$629,AH$9,0)</f>
        <v>432</v>
      </c>
      <c r="AJ563">
        <f t="shared" si="28"/>
        <v>2016</v>
      </c>
      <c r="AK563">
        <f t="shared" si="29"/>
        <v>5328</v>
      </c>
      <c r="AL563">
        <f t="shared" si="30"/>
        <v>-3312</v>
      </c>
    </row>
    <row r="564" spans="1:38" ht="39.6" x14ac:dyDescent="0.3">
      <c r="A564" s="4" t="s">
        <v>1657</v>
      </c>
      <c r="B564" s="5" t="s">
        <v>1658</v>
      </c>
      <c r="C564" s="21" t="s">
        <v>1659</v>
      </c>
      <c r="D564" s="20"/>
      <c r="E564" s="4">
        <v>1200525</v>
      </c>
      <c r="F564" s="4" t="s">
        <v>44</v>
      </c>
      <c r="G564" s="4" t="s">
        <v>45</v>
      </c>
      <c r="H564" s="4" t="s">
        <v>56</v>
      </c>
      <c r="I564" s="4" t="s">
        <v>57</v>
      </c>
      <c r="J564" s="4" t="s">
        <v>47</v>
      </c>
      <c r="K564" s="4">
        <v>6.5</v>
      </c>
      <c r="L564" s="4">
        <v>13</v>
      </c>
      <c r="M564" s="5">
        <v>432</v>
      </c>
      <c r="N564" s="5">
        <v>576</v>
      </c>
      <c r="O564" s="5">
        <v>864</v>
      </c>
      <c r="P564" s="5">
        <v>576</v>
      </c>
      <c r="Q564" s="5">
        <v>576</v>
      </c>
      <c r="R564" s="5">
        <v>864</v>
      </c>
      <c r="S564" s="5">
        <v>576</v>
      </c>
      <c r="T564" s="5">
        <v>720</v>
      </c>
      <c r="U564" s="5">
        <v>1008</v>
      </c>
      <c r="V564" s="5">
        <v>1008</v>
      </c>
      <c r="W564" s="5">
        <v>720</v>
      </c>
      <c r="X564" s="5">
        <v>1008</v>
      </c>
      <c r="Z564" t="e">
        <f>VLOOKUP(E564,Sheet2!$A$1:$A$39,1,0)</f>
        <v>#N/A</v>
      </c>
      <c r="AA564">
        <f>VLOOKUP($E564,[1]Sheet1!$E$10:$X$629,AA$9,0)</f>
        <v>864</v>
      </c>
      <c r="AB564">
        <f>VLOOKUP($E564,[1]Sheet1!$E$10:$X$629,AB$9,0)</f>
        <v>1008</v>
      </c>
      <c r="AC564">
        <f>VLOOKUP($E564,[1]Sheet1!$E$10:$X$629,AC$9,0)</f>
        <v>1152</v>
      </c>
      <c r="AD564">
        <f>VLOOKUP($E564,[1]Sheet1!$E$10:$X$629,AD$9,0)</f>
        <v>1008</v>
      </c>
      <c r="AE564">
        <f>VLOOKUP($E564,[1]Sheet1!$E$10:$X$629,AE$9,0)</f>
        <v>1008</v>
      </c>
      <c r="AF564">
        <f>VLOOKUP($E564,[1]Sheet1!$E$10:$X$629,AF$9,0)</f>
        <v>1296</v>
      </c>
      <c r="AG564">
        <f>VLOOKUP($E564,[1]Sheet1!$E$10:$X$629,AG$9,0)</f>
        <v>1152</v>
      </c>
      <c r="AH564">
        <f>VLOOKUP($E564,[1]Sheet1!$E$10:$X$629,AH$9,0)</f>
        <v>288</v>
      </c>
      <c r="AJ564">
        <f t="shared" si="28"/>
        <v>5184</v>
      </c>
      <c r="AK564">
        <f t="shared" si="29"/>
        <v>7776</v>
      </c>
      <c r="AL564">
        <f t="shared" si="30"/>
        <v>-2592</v>
      </c>
    </row>
    <row r="565" spans="1:38" ht="39.6" x14ac:dyDescent="0.3">
      <c r="A565" s="4" t="s">
        <v>1660</v>
      </c>
      <c r="B565" s="5" t="s">
        <v>1661</v>
      </c>
      <c r="C565" s="21" t="s">
        <v>1662</v>
      </c>
      <c r="D565" s="20"/>
      <c r="E565" s="4">
        <v>1200378</v>
      </c>
      <c r="F565" s="4" t="s">
        <v>44</v>
      </c>
      <c r="G565" s="4" t="s">
        <v>45</v>
      </c>
      <c r="H565" s="4" t="s">
        <v>61</v>
      </c>
      <c r="I565" s="4" t="s">
        <v>52</v>
      </c>
      <c r="J565" s="4" t="s">
        <v>47</v>
      </c>
      <c r="K565" s="4">
        <v>6.5</v>
      </c>
      <c r="L565" s="4">
        <v>13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Z565" t="e">
        <f>VLOOKUP(E565,Sheet2!$A$1:$A$39,1,0)</f>
        <v>#N/A</v>
      </c>
      <c r="AA565">
        <f>VLOOKUP($E565,[1]Sheet1!$E$10:$X$629,AA$9,0)</f>
        <v>0</v>
      </c>
      <c r="AB565">
        <f>VLOOKUP($E565,[1]Sheet1!$E$10:$X$629,AB$9,0)</f>
        <v>0</v>
      </c>
      <c r="AC565">
        <f>VLOOKUP($E565,[1]Sheet1!$E$10:$X$629,AC$9,0)</f>
        <v>0</v>
      </c>
      <c r="AD565">
        <f>VLOOKUP($E565,[1]Sheet1!$E$10:$X$629,AD$9,0)</f>
        <v>0</v>
      </c>
      <c r="AE565">
        <f>VLOOKUP($E565,[1]Sheet1!$E$10:$X$629,AE$9,0)</f>
        <v>0</v>
      </c>
      <c r="AF565">
        <f>VLOOKUP($E565,[1]Sheet1!$E$10:$X$629,AF$9,0)</f>
        <v>0</v>
      </c>
      <c r="AG565">
        <f>VLOOKUP($E565,[1]Sheet1!$E$10:$X$629,AG$9,0)</f>
        <v>0</v>
      </c>
      <c r="AH565">
        <f>VLOOKUP($E565,[1]Sheet1!$E$10:$X$629,AH$9,0)</f>
        <v>0</v>
      </c>
      <c r="AJ565">
        <f t="shared" si="28"/>
        <v>0</v>
      </c>
      <c r="AK565">
        <f t="shared" si="29"/>
        <v>0</v>
      </c>
      <c r="AL565">
        <f t="shared" si="30"/>
        <v>0</v>
      </c>
    </row>
    <row r="566" spans="1:38" ht="39.6" x14ac:dyDescent="0.3">
      <c r="A566" s="4" t="s">
        <v>1663</v>
      </c>
      <c r="B566" s="5" t="s">
        <v>1664</v>
      </c>
      <c r="C566" s="21" t="s">
        <v>1665</v>
      </c>
      <c r="D566" s="20"/>
      <c r="E566" s="4">
        <v>1200428</v>
      </c>
      <c r="F566" s="4" t="s">
        <v>44</v>
      </c>
      <c r="G566" s="4" t="s">
        <v>45</v>
      </c>
      <c r="H566" s="4" t="s">
        <v>56</v>
      </c>
      <c r="I566" s="4" t="s">
        <v>57</v>
      </c>
      <c r="J566" s="4" t="s">
        <v>47</v>
      </c>
      <c r="K566" s="4">
        <v>6.5</v>
      </c>
      <c r="L566" s="4">
        <v>13</v>
      </c>
      <c r="M566" s="5">
        <v>720</v>
      </c>
      <c r="N566" s="5">
        <v>432</v>
      </c>
      <c r="O566" s="5">
        <v>432</v>
      </c>
      <c r="P566" s="5">
        <v>720</v>
      </c>
      <c r="Q566" s="5">
        <v>576</v>
      </c>
      <c r="R566" s="5">
        <v>1152</v>
      </c>
      <c r="S566" s="5">
        <v>864</v>
      </c>
      <c r="T566" s="5">
        <v>1008</v>
      </c>
      <c r="U566" s="5">
        <v>1440</v>
      </c>
      <c r="V566" s="5">
        <v>1008</v>
      </c>
      <c r="W566" s="5">
        <v>864</v>
      </c>
      <c r="X566" s="5">
        <v>1296</v>
      </c>
      <c r="Z566" t="e">
        <f>VLOOKUP(E566,Sheet2!$A$1:$A$39,1,0)</f>
        <v>#N/A</v>
      </c>
      <c r="AA566">
        <f>VLOOKUP($E566,[1]Sheet1!$E$10:$X$629,AA$9,0)</f>
        <v>576</v>
      </c>
      <c r="AB566">
        <f>VLOOKUP($E566,[1]Sheet1!$E$10:$X$629,AB$9,0)</f>
        <v>864</v>
      </c>
      <c r="AC566">
        <f>VLOOKUP($E566,[1]Sheet1!$E$10:$X$629,AC$9,0)</f>
        <v>1008</v>
      </c>
      <c r="AD566">
        <f>VLOOKUP($E566,[1]Sheet1!$E$10:$X$629,AD$9,0)</f>
        <v>576</v>
      </c>
      <c r="AE566">
        <f>VLOOKUP($E566,[1]Sheet1!$E$10:$X$629,AE$9,0)</f>
        <v>1152</v>
      </c>
      <c r="AF566">
        <f>VLOOKUP($E566,[1]Sheet1!$E$10:$X$629,AF$9,0)</f>
        <v>1296</v>
      </c>
      <c r="AG566">
        <f>VLOOKUP($E566,[1]Sheet1!$E$10:$X$629,AG$9,0)</f>
        <v>1008</v>
      </c>
      <c r="AH566">
        <f>VLOOKUP($E566,[1]Sheet1!$E$10:$X$629,AH$9,0)</f>
        <v>720</v>
      </c>
      <c r="AJ566">
        <f t="shared" si="28"/>
        <v>5904</v>
      </c>
      <c r="AK566">
        <f t="shared" si="29"/>
        <v>7200</v>
      </c>
      <c r="AL566">
        <f t="shared" si="30"/>
        <v>-1296</v>
      </c>
    </row>
    <row r="567" spans="1:38" ht="39.6" x14ac:dyDescent="0.3">
      <c r="A567" s="4" t="s">
        <v>1666</v>
      </c>
      <c r="B567" s="5" t="s">
        <v>1667</v>
      </c>
      <c r="C567" s="21" t="s">
        <v>1668</v>
      </c>
      <c r="D567" s="20"/>
      <c r="E567" s="4">
        <v>1200167</v>
      </c>
      <c r="F567" s="4" t="s">
        <v>44</v>
      </c>
      <c r="G567" s="4" t="s">
        <v>45</v>
      </c>
      <c r="H567" s="4" t="s">
        <v>61</v>
      </c>
      <c r="I567" s="4" t="s">
        <v>57</v>
      </c>
      <c r="J567" s="4" t="s">
        <v>47</v>
      </c>
      <c r="K567" s="4">
        <v>10</v>
      </c>
      <c r="L567" s="4">
        <v>20</v>
      </c>
      <c r="M567" s="5">
        <v>100</v>
      </c>
      <c r="N567" s="5">
        <v>50</v>
      </c>
      <c r="O567" s="5">
        <v>200</v>
      </c>
      <c r="P567" s="5">
        <v>100</v>
      </c>
      <c r="Q567" s="5">
        <v>100</v>
      </c>
      <c r="R567" s="5">
        <v>200</v>
      </c>
      <c r="S567" s="5">
        <v>150</v>
      </c>
      <c r="T567" s="5">
        <v>150</v>
      </c>
      <c r="U567" s="5">
        <v>200</v>
      </c>
      <c r="V567" s="5">
        <v>200</v>
      </c>
      <c r="W567" s="5">
        <v>250</v>
      </c>
      <c r="X567" s="5">
        <v>150</v>
      </c>
      <c r="Z567" t="e">
        <f>VLOOKUP(E567,Sheet2!$A$1:$A$39,1,0)</f>
        <v>#N/A</v>
      </c>
      <c r="AA567">
        <f>VLOOKUP($E567,[1]Sheet1!$E$10:$X$629,AA$9,0)</f>
        <v>250</v>
      </c>
      <c r="AB567">
        <f>VLOOKUP($E567,[1]Sheet1!$E$10:$X$629,AB$9,0)</f>
        <v>150</v>
      </c>
      <c r="AC567">
        <f>VLOOKUP($E567,[1]Sheet1!$E$10:$X$629,AC$9,0)</f>
        <v>250</v>
      </c>
      <c r="AD567">
        <f>VLOOKUP($E567,[1]Sheet1!$E$10:$X$629,AD$9,0)</f>
        <v>200</v>
      </c>
      <c r="AE567">
        <f>VLOOKUP($E567,[1]Sheet1!$E$10:$X$629,AE$9,0)</f>
        <v>200</v>
      </c>
      <c r="AF567">
        <f>VLOOKUP($E567,[1]Sheet1!$E$10:$X$629,AF$9,0)</f>
        <v>400</v>
      </c>
      <c r="AG567">
        <f>VLOOKUP($E567,[1]Sheet1!$E$10:$X$629,AG$9,0)</f>
        <v>150</v>
      </c>
      <c r="AH567">
        <f>VLOOKUP($E567,[1]Sheet1!$E$10:$X$629,AH$9,0)</f>
        <v>150</v>
      </c>
      <c r="AJ567">
        <f t="shared" si="28"/>
        <v>1050</v>
      </c>
      <c r="AK567">
        <f t="shared" si="29"/>
        <v>1750</v>
      </c>
      <c r="AL567">
        <f t="shared" si="30"/>
        <v>-700</v>
      </c>
    </row>
    <row r="568" spans="1:38" ht="39.6" x14ac:dyDescent="0.3">
      <c r="A568" s="4" t="s">
        <v>1669</v>
      </c>
      <c r="B568" s="5" t="s">
        <v>1670</v>
      </c>
      <c r="C568" s="21" t="s">
        <v>1671</v>
      </c>
      <c r="D568" s="20"/>
      <c r="E568" s="4">
        <v>1200166</v>
      </c>
      <c r="F568" s="4" t="s">
        <v>44</v>
      </c>
      <c r="G568" s="4" t="s">
        <v>45</v>
      </c>
      <c r="H568" s="4" t="s">
        <v>61</v>
      </c>
      <c r="I568" s="4" t="s">
        <v>57</v>
      </c>
      <c r="J568" s="4" t="s">
        <v>47</v>
      </c>
      <c r="K568" s="4">
        <v>10</v>
      </c>
      <c r="L568" s="4">
        <v>20</v>
      </c>
      <c r="M568" s="5">
        <v>150</v>
      </c>
      <c r="N568" s="5">
        <v>200</v>
      </c>
      <c r="O568" s="5">
        <v>150</v>
      </c>
      <c r="P568" s="5">
        <v>200</v>
      </c>
      <c r="Q568" s="5">
        <v>150</v>
      </c>
      <c r="R568" s="5">
        <v>200</v>
      </c>
      <c r="S568" s="5">
        <v>200</v>
      </c>
      <c r="T568" s="5">
        <v>150</v>
      </c>
      <c r="U568" s="5">
        <v>200</v>
      </c>
      <c r="V568" s="5">
        <v>200</v>
      </c>
      <c r="W568" s="5">
        <v>300</v>
      </c>
      <c r="X568" s="5">
        <v>200</v>
      </c>
      <c r="Z568" t="e">
        <f>VLOOKUP(E568,Sheet2!$A$1:$A$39,1,0)</f>
        <v>#N/A</v>
      </c>
      <c r="AA568">
        <f>VLOOKUP($E568,[1]Sheet1!$E$10:$X$629,AA$9,0)</f>
        <v>200</v>
      </c>
      <c r="AB568">
        <f>VLOOKUP($E568,[1]Sheet1!$E$10:$X$629,AB$9,0)</f>
        <v>350</v>
      </c>
      <c r="AC568">
        <f>VLOOKUP($E568,[1]Sheet1!$E$10:$X$629,AC$9,0)</f>
        <v>250</v>
      </c>
      <c r="AD568">
        <f>VLOOKUP($E568,[1]Sheet1!$E$10:$X$629,AD$9,0)</f>
        <v>250</v>
      </c>
      <c r="AE568">
        <f>VLOOKUP($E568,[1]Sheet1!$E$10:$X$629,AE$9,0)</f>
        <v>250</v>
      </c>
      <c r="AF568">
        <f>VLOOKUP($E568,[1]Sheet1!$E$10:$X$629,AF$9,0)</f>
        <v>350</v>
      </c>
      <c r="AG568">
        <f>VLOOKUP($E568,[1]Sheet1!$E$10:$X$629,AG$9,0)</f>
        <v>300</v>
      </c>
      <c r="AH568">
        <f>VLOOKUP($E568,[1]Sheet1!$E$10:$X$629,AH$9,0)</f>
        <v>50</v>
      </c>
      <c r="AJ568">
        <f t="shared" si="28"/>
        <v>1400</v>
      </c>
      <c r="AK568">
        <f t="shared" si="29"/>
        <v>2000</v>
      </c>
      <c r="AL568">
        <f t="shared" si="30"/>
        <v>-600</v>
      </c>
    </row>
    <row r="569" spans="1:38" ht="39.6" x14ac:dyDescent="0.3">
      <c r="A569" s="4" t="s">
        <v>1672</v>
      </c>
      <c r="B569" s="5" t="s">
        <v>1673</v>
      </c>
      <c r="C569" s="21" t="s">
        <v>1674</v>
      </c>
      <c r="D569" s="20"/>
      <c r="E569" s="4">
        <v>1002328</v>
      </c>
      <c r="F569" s="4" t="s">
        <v>44</v>
      </c>
      <c r="G569" s="4" t="s">
        <v>45</v>
      </c>
      <c r="H569" s="4" t="s">
        <v>269</v>
      </c>
      <c r="I569" s="4" t="s">
        <v>57</v>
      </c>
      <c r="J569" s="4" t="s">
        <v>47</v>
      </c>
      <c r="K569" s="4">
        <v>10</v>
      </c>
      <c r="L569" s="4">
        <v>20</v>
      </c>
      <c r="M569" s="5">
        <v>4080</v>
      </c>
      <c r="N569" s="5">
        <v>3480</v>
      </c>
      <c r="O569" s="5">
        <v>3000</v>
      </c>
      <c r="P569" s="5">
        <v>3600</v>
      </c>
      <c r="Q569" s="5">
        <v>3600</v>
      </c>
      <c r="R569" s="5">
        <v>4440</v>
      </c>
      <c r="S569" s="5">
        <v>3240</v>
      </c>
      <c r="T569" s="5">
        <v>3360</v>
      </c>
      <c r="U569" s="5">
        <v>4320</v>
      </c>
      <c r="V569" s="5">
        <v>5400</v>
      </c>
      <c r="W569" s="5">
        <v>3240</v>
      </c>
      <c r="X569" s="5">
        <v>5160</v>
      </c>
      <c r="Z569" t="e">
        <f>VLOOKUP(E569,Sheet2!$A$1:$A$39,1,0)</f>
        <v>#N/A</v>
      </c>
      <c r="AA569">
        <f>VLOOKUP($E569,[1]Sheet1!$E$10:$X$629,AA$9,0)</f>
        <v>3480</v>
      </c>
      <c r="AB569">
        <f>VLOOKUP($E569,[1]Sheet1!$E$10:$X$629,AB$9,0)</f>
        <v>3480</v>
      </c>
      <c r="AC569">
        <f>VLOOKUP($E569,[1]Sheet1!$E$10:$X$629,AC$9,0)</f>
        <v>4200</v>
      </c>
      <c r="AD569">
        <f>VLOOKUP($E569,[1]Sheet1!$E$10:$X$629,AD$9,0)</f>
        <v>4320</v>
      </c>
      <c r="AE569">
        <f>VLOOKUP($E569,[1]Sheet1!$E$10:$X$629,AE$9,0)</f>
        <v>4200</v>
      </c>
      <c r="AF569">
        <f>VLOOKUP($E569,[1]Sheet1!$E$10:$X$629,AF$9,0)</f>
        <v>4920</v>
      </c>
      <c r="AG569">
        <f>VLOOKUP($E569,[1]Sheet1!$E$10:$X$629,AG$9,0)</f>
        <v>4200</v>
      </c>
      <c r="AH569">
        <f>VLOOKUP($E569,[1]Sheet1!$E$10:$X$629,AH$9,0)</f>
        <v>1920</v>
      </c>
      <c r="AJ569">
        <f t="shared" si="28"/>
        <v>28800</v>
      </c>
      <c r="AK569">
        <f t="shared" si="29"/>
        <v>30720</v>
      </c>
      <c r="AL569">
        <f t="shared" si="30"/>
        <v>-1920</v>
      </c>
    </row>
    <row r="570" spans="1:38" ht="39.6" x14ac:dyDescent="0.3">
      <c r="A570" s="4" t="s">
        <v>1675</v>
      </c>
      <c r="B570" s="5" t="s">
        <v>1676</v>
      </c>
      <c r="C570" s="21" t="s">
        <v>1677</v>
      </c>
      <c r="D570" s="20"/>
      <c r="E570" s="4">
        <v>1200768</v>
      </c>
      <c r="F570" s="4" t="s">
        <v>44</v>
      </c>
      <c r="G570" s="4" t="s">
        <v>45</v>
      </c>
      <c r="H570" s="4" t="s">
        <v>61</v>
      </c>
      <c r="I570" s="4" t="s">
        <v>57</v>
      </c>
      <c r="J570" s="4" t="s">
        <v>47</v>
      </c>
      <c r="K570" s="4">
        <v>6.5</v>
      </c>
      <c r="L570" s="4">
        <v>13</v>
      </c>
      <c r="M570" s="5">
        <v>0</v>
      </c>
      <c r="N570" s="5">
        <v>144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432</v>
      </c>
      <c r="U570" s="5">
        <v>576</v>
      </c>
      <c r="V570" s="5">
        <v>432</v>
      </c>
      <c r="W570" s="5">
        <v>432</v>
      </c>
      <c r="X570" s="5">
        <v>576</v>
      </c>
      <c r="Z570">
        <f>VLOOKUP(E570,Sheet2!$A$1:$A$39,1,0)</f>
        <v>1200768</v>
      </c>
      <c r="AA570">
        <f>VLOOKUP($E570,[1]Sheet1!$E$10:$X$629,AA$9,0)</f>
        <v>0</v>
      </c>
      <c r="AB570">
        <f>VLOOKUP($E570,[1]Sheet1!$E$10:$X$629,AB$9,0)</f>
        <v>0</v>
      </c>
      <c r="AC570">
        <f>VLOOKUP($E570,[1]Sheet1!$E$10:$X$629,AC$9,0)</f>
        <v>0</v>
      </c>
      <c r="AD570">
        <f>VLOOKUP($E570,[1]Sheet1!$E$10:$X$629,AD$9,0)</f>
        <v>0</v>
      </c>
      <c r="AE570">
        <f>VLOOKUP($E570,[1]Sheet1!$E$10:$X$629,AE$9,0)</f>
        <v>0</v>
      </c>
      <c r="AF570">
        <f>VLOOKUP($E570,[1]Sheet1!$E$10:$X$629,AF$9,0)</f>
        <v>0</v>
      </c>
      <c r="AG570">
        <f>VLOOKUP($E570,[1]Sheet1!$E$10:$X$629,AG$9,0)</f>
        <v>0</v>
      </c>
      <c r="AH570">
        <f>VLOOKUP($E570,[1]Sheet1!$E$10:$X$629,AH$9,0)</f>
        <v>0</v>
      </c>
      <c r="AJ570">
        <f t="shared" si="28"/>
        <v>576</v>
      </c>
      <c r="AK570">
        <f t="shared" si="29"/>
        <v>0</v>
      </c>
      <c r="AL570">
        <f t="shared" si="30"/>
        <v>576</v>
      </c>
    </row>
    <row r="571" spans="1:38" ht="39.6" x14ac:dyDescent="0.3">
      <c r="A571" s="4" t="s">
        <v>1678</v>
      </c>
      <c r="B571" s="5" t="s">
        <v>1679</v>
      </c>
      <c r="C571" s="21" t="s">
        <v>1680</v>
      </c>
      <c r="D571" s="20"/>
      <c r="E571" s="4">
        <v>1200769</v>
      </c>
      <c r="F571" s="4" t="s">
        <v>44</v>
      </c>
      <c r="G571" s="4" t="s">
        <v>45</v>
      </c>
      <c r="H571" s="4" t="s">
        <v>61</v>
      </c>
      <c r="I571" s="4" t="s">
        <v>57</v>
      </c>
      <c r="J571" s="4" t="s">
        <v>47</v>
      </c>
      <c r="K571" s="4">
        <v>6.5</v>
      </c>
      <c r="L571" s="4">
        <v>13</v>
      </c>
      <c r="M571" s="5">
        <v>0</v>
      </c>
      <c r="N571" s="5">
        <v>0</v>
      </c>
      <c r="O571" s="5">
        <v>0</v>
      </c>
      <c r="P571" s="5">
        <v>144</v>
      </c>
      <c r="Q571" s="5">
        <v>0</v>
      </c>
      <c r="R571" s="5">
        <v>0</v>
      </c>
      <c r="S571" s="5">
        <v>0</v>
      </c>
      <c r="T571" s="5">
        <v>144</v>
      </c>
      <c r="U571" s="5">
        <v>432</v>
      </c>
      <c r="V571" s="5">
        <v>720</v>
      </c>
      <c r="W571" s="5">
        <v>432</v>
      </c>
      <c r="X571" s="5">
        <v>576</v>
      </c>
      <c r="Z571">
        <f>VLOOKUP(E571,Sheet2!$A$1:$A$39,1,0)</f>
        <v>1200769</v>
      </c>
      <c r="AA571">
        <f>VLOOKUP($E571,[1]Sheet1!$E$10:$X$629,AA$9,0)</f>
        <v>0</v>
      </c>
      <c r="AB571">
        <f>VLOOKUP($E571,[1]Sheet1!$E$10:$X$629,AB$9,0)</f>
        <v>0</v>
      </c>
      <c r="AC571">
        <f>VLOOKUP($E571,[1]Sheet1!$E$10:$X$629,AC$9,0)</f>
        <v>0</v>
      </c>
      <c r="AD571">
        <f>VLOOKUP($E571,[1]Sheet1!$E$10:$X$629,AD$9,0)</f>
        <v>0</v>
      </c>
      <c r="AE571">
        <f>VLOOKUP($E571,[1]Sheet1!$E$10:$X$629,AE$9,0)</f>
        <v>0</v>
      </c>
      <c r="AF571">
        <f>VLOOKUP($E571,[1]Sheet1!$E$10:$X$629,AF$9,0)</f>
        <v>0</v>
      </c>
      <c r="AG571">
        <f>VLOOKUP($E571,[1]Sheet1!$E$10:$X$629,AG$9,0)</f>
        <v>0</v>
      </c>
      <c r="AH571">
        <f>VLOOKUP($E571,[1]Sheet1!$E$10:$X$629,AH$9,0)</f>
        <v>0</v>
      </c>
      <c r="AJ571">
        <f t="shared" si="28"/>
        <v>288</v>
      </c>
      <c r="AK571">
        <f t="shared" si="29"/>
        <v>0</v>
      </c>
      <c r="AL571">
        <f t="shared" si="30"/>
        <v>288</v>
      </c>
    </row>
    <row r="572" spans="1:38" ht="39.6" x14ac:dyDescent="0.3">
      <c r="A572" s="4" t="s">
        <v>1681</v>
      </c>
      <c r="B572" s="5" t="s">
        <v>1682</v>
      </c>
      <c r="C572" s="21" t="s">
        <v>1683</v>
      </c>
      <c r="D572" s="20"/>
      <c r="E572" s="4">
        <v>1200770</v>
      </c>
      <c r="F572" s="4" t="s">
        <v>44</v>
      </c>
      <c r="G572" s="4" t="s">
        <v>45</v>
      </c>
      <c r="H572" s="4" t="s">
        <v>61</v>
      </c>
      <c r="I572" s="4" t="s">
        <v>57</v>
      </c>
      <c r="J572" s="4" t="s">
        <v>47</v>
      </c>
      <c r="K572" s="4">
        <v>6.5</v>
      </c>
      <c r="L572" s="4">
        <v>13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144</v>
      </c>
      <c r="U572" s="5">
        <v>576</v>
      </c>
      <c r="V572" s="5">
        <v>576</v>
      </c>
      <c r="W572" s="5">
        <v>576</v>
      </c>
      <c r="X572" s="5">
        <v>432</v>
      </c>
      <c r="Z572">
        <f>VLOOKUP(E572,Sheet2!$A$1:$A$39,1,0)</f>
        <v>1200770</v>
      </c>
      <c r="AA572">
        <f>VLOOKUP($E572,[1]Sheet1!$E$10:$X$629,AA$9,0)</f>
        <v>0</v>
      </c>
      <c r="AB572">
        <f>VLOOKUP($E572,[1]Sheet1!$E$10:$X$629,AB$9,0)</f>
        <v>0</v>
      </c>
      <c r="AC572">
        <f>VLOOKUP($E572,[1]Sheet1!$E$10:$X$629,AC$9,0)</f>
        <v>0</v>
      </c>
      <c r="AD572">
        <f>VLOOKUP($E572,[1]Sheet1!$E$10:$X$629,AD$9,0)</f>
        <v>0</v>
      </c>
      <c r="AE572">
        <f>VLOOKUP($E572,[1]Sheet1!$E$10:$X$629,AE$9,0)</f>
        <v>0</v>
      </c>
      <c r="AF572">
        <f>VLOOKUP($E572,[1]Sheet1!$E$10:$X$629,AF$9,0)</f>
        <v>0</v>
      </c>
      <c r="AG572">
        <f>VLOOKUP($E572,[1]Sheet1!$E$10:$X$629,AG$9,0)</f>
        <v>0</v>
      </c>
      <c r="AH572">
        <f>VLOOKUP($E572,[1]Sheet1!$E$10:$X$629,AH$9,0)</f>
        <v>0</v>
      </c>
      <c r="AJ572">
        <f t="shared" si="28"/>
        <v>144</v>
      </c>
      <c r="AK572">
        <f t="shared" si="29"/>
        <v>0</v>
      </c>
      <c r="AL572">
        <f t="shared" si="30"/>
        <v>144</v>
      </c>
    </row>
    <row r="573" spans="1:38" ht="39.6" x14ac:dyDescent="0.3">
      <c r="A573" s="4" t="s">
        <v>1684</v>
      </c>
      <c r="B573" s="5" t="s">
        <v>1685</v>
      </c>
      <c r="C573" s="21" t="s">
        <v>1686</v>
      </c>
      <c r="D573" s="20"/>
      <c r="E573" s="4">
        <v>1200771</v>
      </c>
      <c r="F573" s="4" t="s">
        <v>44</v>
      </c>
      <c r="G573" s="4" t="s">
        <v>45</v>
      </c>
      <c r="H573" s="4" t="s">
        <v>61</v>
      </c>
      <c r="I573" s="4" t="s">
        <v>57</v>
      </c>
      <c r="J573" s="4" t="s">
        <v>47</v>
      </c>
      <c r="K573" s="4">
        <v>6.5</v>
      </c>
      <c r="L573" s="4">
        <v>13</v>
      </c>
      <c r="M573" s="5">
        <v>144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144</v>
      </c>
      <c r="T573" s="5">
        <v>288</v>
      </c>
      <c r="U573" s="5">
        <v>576</v>
      </c>
      <c r="V573" s="5">
        <v>432</v>
      </c>
      <c r="W573" s="5">
        <v>576</v>
      </c>
      <c r="X573" s="5">
        <v>576</v>
      </c>
      <c r="Z573">
        <f>VLOOKUP(E573,Sheet2!$A$1:$A$39,1,0)</f>
        <v>1200771</v>
      </c>
      <c r="AA573">
        <f>VLOOKUP($E573,[1]Sheet1!$E$10:$X$629,AA$9,0)</f>
        <v>0</v>
      </c>
      <c r="AB573">
        <f>VLOOKUP($E573,[1]Sheet1!$E$10:$X$629,AB$9,0)</f>
        <v>0</v>
      </c>
      <c r="AC573">
        <f>VLOOKUP($E573,[1]Sheet1!$E$10:$X$629,AC$9,0)</f>
        <v>0</v>
      </c>
      <c r="AD573">
        <f>VLOOKUP($E573,[1]Sheet1!$E$10:$X$629,AD$9,0)</f>
        <v>0</v>
      </c>
      <c r="AE573">
        <f>VLOOKUP($E573,[1]Sheet1!$E$10:$X$629,AE$9,0)</f>
        <v>0</v>
      </c>
      <c r="AF573">
        <f>VLOOKUP($E573,[1]Sheet1!$E$10:$X$629,AF$9,0)</f>
        <v>0</v>
      </c>
      <c r="AG573">
        <f>VLOOKUP($E573,[1]Sheet1!$E$10:$X$629,AG$9,0)</f>
        <v>0</v>
      </c>
      <c r="AH573">
        <f>VLOOKUP($E573,[1]Sheet1!$E$10:$X$629,AH$9,0)</f>
        <v>0</v>
      </c>
      <c r="AJ573">
        <f t="shared" si="28"/>
        <v>576</v>
      </c>
      <c r="AK573">
        <f t="shared" si="29"/>
        <v>0</v>
      </c>
      <c r="AL573">
        <f t="shared" si="30"/>
        <v>576</v>
      </c>
    </row>
    <row r="574" spans="1:38" ht="39.6" x14ac:dyDescent="0.3">
      <c r="A574" s="4" t="s">
        <v>1687</v>
      </c>
      <c r="B574" s="5" t="s">
        <v>1688</v>
      </c>
      <c r="C574" s="21" t="s">
        <v>1689</v>
      </c>
      <c r="D574" s="20"/>
      <c r="E574" s="4">
        <v>1200772</v>
      </c>
      <c r="F574" s="4" t="s">
        <v>44</v>
      </c>
      <c r="G574" s="4" t="s">
        <v>45</v>
      </c>
      <c r="H574" s="4" t="s">
        <v>61</v>
      </c>
      <c r="I574" s="4" t="s">
        <v>57</v>
      </c>
      <c r="J574" s="4" t="s">
        <v>47</v>
      </c>
      <c r="K574" s="4">
        <v>6.5</v>
      </c>
      <c r="L574" s="4">
        <v>13</v>
      </c>
      <c r="M574" s="5">
        <v>0</v>
      </c>
      <c r="N574" s="5">
        <v>0</v>
      </c>
      <c r="O574" s="5">
        <v>0</v>
      </c>
      <c r="P574" s="5">
        <v>144</v>
      </c>
      <c r="Q574" s="5">
        <v>0</v>
      </c>
      <c r="R574" s="5">
        <v>0</v>
      </c>
      <c r="S574" s="5">
        <v>0</v>
      </c>
      <c r="T574" s="5">
        <v>432</v>
      </c>
      <c r="U574" s="5">
        <v>288</v>
      </c>
      <c r="V574" s="5">
        <v>720</v>
      </c>
      <c r="W574" s="5">
        <v>432</v>
      </c>
      <c r="X574" s="5">
        <v>432</v>
      </c>
      <c r="Z574">
        <f>VLOOKUP(E574,Sheet2!$A$1:$A$39,1,0)</f>
        <v>1200772</v>
      </c>
      <c r="AA574">
        <f>VLOOKUP($E574,[1]Sheet1!$E$10:$X$629,AA$9,0)</f>
        <v>0</v>
      </c>
      <c r="AB574">
        <f>VLOOKUP($E574,[1]Sheet1!$E$10:$X$629,AB$9,0)</f>
        <v>0</v>
      </c>
      <c r="AC574">
        <f>VLOOKUP($E574,[1]Sheet1!$E$10:$X$629,AC$9,0)</f>
        <v>0</v>
      </c>
      <c r="AD574">
        <f>VLOOKUP($E574,[1]Sheet1!$E$10:$X$629,AD$9,0)</f>
        <v>0</v>
      </c>
      <c r="AE574">
        <f>VLOOKUP($E574,[1]Sheet1!$E$10:$X$629,AE$9,0)</f>
        <v>0</v>
      </c>
      <c r="AF574">
        <f>VLOOKUP($E574,[1]Sheet1!$E$10:$X$629,AF$9,0)</f>
        <v>0</v>
      </c>
      <c r="AG574">
        <f>VLOOKUP($E574,[1]Sheet1!$E$10:$X$629,AG$9,0)</f>
        <v>0</v>
      </c>
      <c r="AH574">
        <f>VLOOKUP($E574,[1]Sheet1!$E$10:$X$629,AH$9,0)</f>
        <v>0</v>
      </c>
      <c r="AJ574">
        <f t="shared" si="28"/>
        <v>576</v>
      </c>
      <c r="AK574">
        <f t="shared" si="29"/>
        <v>0</v>
      </c>
      <c r="AL574">
        <f t="shared" si="30"/>
        <v>576</v>
      </c>
    </row>
    <row r="575" spans="1:38" ht="39.6" x14ac:dyDescent="0.3">
      <c r="A575" s="4" t="s">
        <v>1690</v>
      </c>
      <c r="B575" s="5" t="s">
        <v>1691</v>
      </c>
      <c r="C575" s="21" t="s">
        <v>1692</v>
      </c>
      <c r="D575" s="20"/>
      <c r="E575" s="4">
        <v>1200773</v>
      </c>
      <c r="F575" s="4" t="s">
        <v>44</v>
      </c>
      <c r="G575" s="4" t="s">
        <v>45</v>
      </c>
      <c r="H575" s="4" t="s">
        <v>61</v>
      </c>
      <c r="I575" s="4" t="s">
        <v>57</v>
      </c>
      <c r="J575" s="4" t="s">
        <v>47</v>
      </c>
      <c r="K575" s="4">
        <v>6.5</v>
      </c>
      <c r="L575" s="4">
        <v>13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288</v>
      </c>
      <c r="T575" s="5">
        <v>288</v>
      </c>
      <c r="U575" s="5">
        <v>432</v>
      </c>
      <c r="V575" s="5">
        <v>576</v>
      </c>
      <c r="W575" s="5">
        <v>432</v>
      </c>
      <c r="X575" s="5">
        <v>576</v>
      </c>
      <c r="Z575">
        <f>VLOOKUP(E575,Sheet2!$A$1:$A$39,1,0)</f>
        <v>1200773</v>
      </c>
      <c r="AA575">
        <f>VLOOKUP($E575,[1]Sheet1!$E$10:$X$629,AA$9,0)</f>
        <v>0</v>
      </c>
      <c r="AB575">
        <f>VLOOKUP($E575,[1]Sheet1!$E$10:$X$629,AB$9,0)</f>
        <v>0</v>
      </c>
      <c r="AC575">
        <f>VLOOKUP($E575,[1]Sheet1!$E$10:$X$629,AC$9,0)</f>
        <v>0</v>
      </c>
      <c r="AD575">
        <f>VLOOKUP($E575,[1]Sheet1!$E$10:$X$629,AD$9,0)</f>
        <v>0</v>
      </c>
      <c r="AE575">
        <f>VLOOKUP($E575,[1]Sheet1!$E$10:$X$629,AE$9,0)</f>
        <v>0</v>
      </c>
      <c r="AF575">
        <f>VLOOKUP($E575,[1]Sheet1!$E$10:$X$629,AF$9,0)</f>
        <v>0</v>
      </c>
      <c r="AG575">
        <f>VLOOKUP($E575,[1]Sheet1!$E$10:$X$629,AG$9,0)</f>
        <v>0</v>
      </c>
      <c r="AH575">
        <f>VLOOKUP($E575,[1]Sheet1!$E$10:$X$629,AH$9,0)</f>
        <v>0</v>
      </c>
      <c r="AJ575">
        <f t="shared" si="28"/>
        <v>576</v>
      </c>
      <c r="AK575">
        <f t="shared" si="29"/>
        <v>0</v>
      </c>
      <c r="AL575">
        <f t="shared" si="30"/>
        <v>576</v>
      </c>
    </row>
    <row r="576" spans="1:38" ht="39.6" x14ac:dyDescent="0.3">
      <c r="A576" s="4" t="s">
        <v>1693</v>
      </c>
      <c r="B576" s="5" t="s">
        <v>1694</v>
      </c>
      <c r="C576" s="21" t="s">
        <v>1695</v>
      </c>
      <c r="D576" s="20"/>
      <c r="E576" s="4">
        <v>1200762</v>
      </c>
      <c r="F576" s="4" t="s">
        <v>44</v>
      </c>
      <c r="G576" s="4" t="s">
        <v>45</v>
      </c>
      <c r="H576" s="4"/>
      <c r="I576" s="4" t="s">
        <v>52</v>
      </c>
      <c r="J576" s="4" t="s">
        <v>47</v>
      </c>
      <c r="K576" s="4">
        <v>9</v>
      </c>
      <c r="L576" s="4">
        <v>18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Z576" t="e">
        <f>VLOOKUP(E576,Sheet2!$A$1:$A$39,1,0)</f>
        <v>#N/A</v>
      </c>
      <c r="AA576">
        <f>VLOOKUP($E576,[1]Sheet1!$E$10:$X$629,AA$9,0)</f>
        <v>0</v>
      </c>
      <c r="AB576">
        <f>VLOOKUP($E576,[1]Sheet1!$E$10:$X$629,AB$9,0)</f>
        <v>0</v>
      </c>
      <c r="AC576">
        <f>VLOOKUP($E576,[1]Sheet1!$E$10:$X$629,AC$9,0)</f>
        <v>0</v>
      </c>
      <c r="AD576">
        <f>VLOOKUP($E576,[1]Sheet1!$E$10:$X$629,AD$9,0)</f>
        <v>0</v>
      </c>
      <c r="AE576">
        <f>VLOOKUP($E576,[1]Sheet1!$E$10:$X$629,AE$9,0)</f>
        <v>0</v>
      </c>
      <c r="AF576">
        <f>VLOOKUP($E576,[1]Sheet1!$E$10:$X$629,AF$9,0)</f>
        <v>0</v>
      </c>
      <c r="AG576">
        <f>VLOOKUP($E576,[1]Sheet1!$E$10:$X$629,AG$9,0)</f>
        <v>0</v>
      </c>
      <c r="AH576">
        <f>VLOOKUP($E576,[1]Sheet1!$E$10:$X$629,AH$9,0)</f>
        <v>0</v>
      </c>
      <c r="AJ576">
        <f t="shared" si="28"/>
        <v>0</v>
      </c>
      <c r="AK576">
        <f t="shared" si="29"/>
        <v>0</v>
      </c>
      <c r="AL576">
        <f t="shared" si="30"/>
        <v>0</v>
      </c>
    </row>
    <row r="577" spans="1:38" ht="39.6" x14ac:dyDescent="0.3">
      <c r="A577" s="4" t="s">
        <v>1696</v>
      </c>
      <c r="B577" s="5" t="s">
        <v>1697</v>
      </c>
      <c r="C577" s="21" t="s">
        <v>1698</v>
      </c>
      <c r="D577" s="20"/>
      <c r="E577" s="4">
        <v>1200818</v>
      </c>
      <c r="F577" s="4" t="s">
        <v>44</v>
      </c>
      <c r="G577" s="4" t="s">
        <v>45</v>
      </c>
      <c r="H577" s="4"/>
      <c r="I577" s="4" t="s">
        <v>57</v>
      </c>
      <c r="J577" s="4" t="s">
        <v>47</v>
      </c>
      <c r="K577" s="4">
        <v>9</v>
      </c>
      <c r="L577" s="4">
        <v>18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Z577" t="e">
        <f>VLOOKUP(E577,Sheet2!$A$1:$A$39,1,0)</f>
        <v>#N/A</v>
      </c>
      <c r="AA577">
        <f>VLOOKUP($E577,[1]Sheet1!$E$10:$X$629,AA$9,0)</f>
        <v>0</v>
      </c>
      <c r="AB577">
        <f>VLOOKUP($E577,[1]Sheet1!$E$10:$X$629,AB$9,0)</f>
        <v>0</v>
      </c>
      <c r="AC577">
        <f>VLOOKUP($E577,[1]Sheet1!$E$10:$X$629,AC$9,0)</f>
        <v>0</v>
      </c>
      <c r="AD577">
        <f>VLOOKUP($E577,[1]Sheet1!$E$10:$X$629,AD$9,0)</f>
        <v>0</v>
      </c>
      <c r="AE577">
        <f>VLOOKUP($E577,[1]Sheet1!$E$10:$X$629,AE$9,0)</f>
        <v>0</v>
      </c>
      <c r="AF577">
        <f>VLOOKUP($E577,[1]Sheet1!$E$10:$X$629,AF$9,0)</f>
        <v>0</v>
      </c>
      <c r="AG577">
        <f>VLOOKUP($E577,[1]Sheet1!$E$10:$X$629,AG$9,0)</f>
        <v>0</v>
      </c>
      <c r="AH577">
        <f>VLOOKUP($E577,[1]Sheet1!$E$10:$X$629,AH$9,0)</f>
        <v>0</v>
      </c>
      <c r="AJ577">
        <f t="shared" si="28"/>
        <v>0</v>
      </c>
      <c r="AK577">
        <f t="shared" si="29"/>
        <v>0</v>
      </c>
      <c r="AL577">
        <f t="shared" si="30"/>
        <v>0</v>
      </c>
    </row>
    <row r="578" spans="1:38" ht="39.6" x14ac:dyDescent="0.3">
      <c r="A578" s="4" t="s">
        <v>1699</v>
      </c>
      <c r="B578" s="5" t="s">
        <v>1700</v>
      </c>
      <c r="C578" s="21" t="s">
        <v>1701</v>
      </c>
      <c r="D578" s="20"/>
      <c r="E578" s="4">
        <v>1200747</v>
      </c>
      <c r="F578" s="4" t="s">
        <v>44</v>
      </c>
      <c r="G578" s="4" t="s">
        <v>45</v>
      </c>
      <c r="H578" s="4"/>
      <c r="I578" s="4" t="s">
        <v>57</v>
      </c>
      <c r="J578" s="4" t="s">
        <v>47</v>
      </c>
      <c r="K578" s="4">
        <v>8</v>
      </c>
      <c r="L578" s="4">
        <v>16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Z578" t="e">
        <f>VLOOKUP(E578,Sheet2!$A$1:$A$39,1,0)</f>
        <v>#N/A</v>
      </c>
      <c r="AA578">
        <f>VLOOKUP($E578,[1]Sheet1!$E$10:$X$629,AA$9,0)</f>
        <v>0</v>
      </c>
      <c r="AB578">
        <f>VLOOKUP($E578,[1]Sheet1!$E$10:$X$629,AB$9,0)</f>
        <v>0</v>
      </c>
      <c r="AC578">
        <f>VLOOKUP($E578,[1]Sheet1!$E$10:$X$629,AC$9,0)</f>
        <v>0</v>
      </c>
      <c r="AD578">
        <f>VLOOKUP($E578,[1]Sheet1!$E$10:$X$629,AD$9,0)</f>
        <v>0</v>
      </c>
      <c r="AE578">
        <f>VLOOKUP($E578,[1]Sheet1!$E$10:$X$629,AE$9,0)</f>
        <v>0</v>
      </c>
      <c r="AF578">
        <f>VLOOKUP($E578,[1]Sheet1!$E$10:$X$629,AF$9,0)</f>
        <v>0</v>
      </c>
      <c r="AG578">
        <f>VLOOKUP($E578,[1]Sheet1!$E$10:$X$629,AG$9,0)</f>
        <v>0</v>
      </c>
      <c r="AH578">
        <f>VLOOKUP($E578,[1]Sheet1!$E$10:$X$629,AH$9,0)</f>
        <v>0</v>
      </c>
      <c r="AJ578">
        <f t="shared" si="28"/>
        <v>0</v>
      </c>
      <c r="AK578">
        <f t="shared" si="29"/>
        <v>0</v>
      </c>
      <c r="AL578">
        <f t="shared" si="30"/>
        <v>0</v>
      </c>
    </row>
    <row r="579" spans="1:38" ht="39.6" x14ac:dyDescent="0.3">
      <c r="A579" s="4" t="s">
        <v>1702</v>
      </c>
      <c r="B579" s="5" t="s">
        <v>1703</v>
      </c>
      <c r="C579" s="21" t="s">
        <v>1704</v>
      </c>
      <c r="D579" s="20"/>
      <c r="E579" s="4">
        <v>1200748</v>
      </c>
      <c r="F579" s="4" t="s">
        <v>44</v>
      </c>
      <c r="G579" s="4" t="s">
        <v>45</v>
      </c>
      <c r="H579" s="4"/>
      <c r="I579" s="4" t="s">
        <v>57</v>
      </c>
      <c r="J579" s="4" t="s">
        <v>47</v>
      </c>
      <c r="K579" s="4">
        <v>8</v>
      </c>
      <c r="L579" s="4">
        <v>16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Z579" t="e">
        <f>VLOOKUP(E579,Sheet2!$A$1:$A$39,1,0)</f>
        <v>#N/A</v>
      </c>
      <c r="AA579">
        <f>VLOOKUP($E579,[1]Sheet1!$E$10:$X$629,AA$9,0)</f>
        <v>0</v>
      </c>
      <c r="AB579">
        <f>VLOOKUP($E579,[1]Sheet1!$E$10:$X$629,AB$9,0)</f>
        <v>0</v>
      </c>
      <c r="AC579">
        <f>VLOOKUP($E579,[1]Sheet1!$E$10:$X$629,AC$9,0)</f>
        <v>0</v>
      </c>
      <c r="AD579">
        <f>VLOOKUP($E579,[1]Sheet1!$E$10:$X$629,AD$9,0)</f>
        <v>0</v>
      </c>
      <c r="AE579">
        <f>VLOOKUP($E579,[1]Sheet1!$E$10:$X$629,AE$9,0)</f>
        <v>0</v>
      </c>
      <c r="AF579">
        <f>VLOOKUP($E579,[1]Sheet1!$E$10:$X$629,AF$9,0)</f>
        <v>0</v>
      </c>
      <c r="AG579">
        <f>VLOOKUP($E579,[1]Sheet1!$E$10:$X$629,AG$9,0)</f>
        <v>0</v>
      </c>
      <c r="AH579">
        <f>VLOOKUP($E579,[1]Sheet1!$E$10:$X$629,AH$9,0)</f>
        <v>0</v>
      </c>
      <c r="AJ579">
        <f t="shared" si="28"/>
        <v>0</v>
      </c>
      <c r="AK579">
        <f t="shared" si="29"/>
        <v>0</v>
      </c>
      <c r="AL579">
        <f t="shared" si="30"/>
        <v>0</v>
      </c>
    </row>
    <row r="580" spans="1:38" ht="39.6" x14ac:dyDescent="0.3">
      <c r="A580" s="4" t="s">
        <v>1705</v>
      </c>
      <c r="B580" s="5" t="s">
        <v>1706</v>
      </c>
      <c r="C580" s="21" t="s">
        <v>1707</v>
      </c>
      <c r="D580" s="20"/>
      <c r="E580" s="4">
        <v>1200749</v>
      </c>
      <c r="F580" s="4" t="s">
        <v>44</v>
      </c>
      <c r="G580" s="4" t="s">
        <v>45</v>
      </c>
      <c r="H580" s="4"/>
      <c r="I580" s="4" t="s">
        <v>57</v>
      </c>
      <c r="J580" s="4" t="s">
        <v>47</v>
      </c>
      <c r="K580" s="4">
        <v>8</v>
      </c>
      <c r="L580" s="4">
        <v>16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Z580" t="e">
        <f>VLOOKUP(E580,Sheet2!$A$1:$A$39,1,0)</f>
        <v>#N/A</v>
      </c>
      <c r="AA580">
        <f>VLOOKUP($E580,[1]Sheet1!$E$10:$X$629,AA$9,0)</f>
        <v>0</v>
      </c>
      <c r="AB580">
        <f>VLOOKUP($E580,[1]Sheet1!$E$10:$X$629,AB$9,0)</f>
        <v>0</v>
      </c>
      <c r="AC580">
        <f>VLOOKUP($E580,[1]Sheet1!$E$10:$X$629,AC$9,0)</f>
        <v>0</v>
      </c>
      <c r="AD580">
        <f>VLOOKUP($E580,[1]Sheet1!$E$10:$X$629,AD$9,0)</f>
        <v>0</v>
      </c>
      <c r="AE580">
        <f>VLOOKUP($E580,[1]Sheet1!$E$10:$X$629,AE$9,0)</f>
        <v>0</v>
      </c>
      <c r="AF580">
        <f>VLOOKUP($E580,[1]Sheet1!$E$10:$X$629,AF$9,0)</f>
        <v>0</v>
      </c>
      <c r="AG580">
        <f>VLOOKUP($E580,[1]Sheet1!$E$10:$X$629,AG$9,0)</f>
        <v>0</v>
      </c>
      <c r="AH580">
        <f>VLOOKUP($E580,[1]Sheet1!$E$10:$X$629,AH$9,0)</f>
        <v>0</v>
      </c>
      <c r="AJ580">
        <f t="shared" si="28"/>
        <v>0</v>
      </c>
      <c r="AK580">
        <f t="shared" si="29"/>
        <v>0</v>
      </c>
      <c r="AL580">
        <f t="shared" si="30"/>
        <v>0</v>
      </c>
    </row>
    <row r="581" spans="1:38" ht="39.6" x14ac:dyDescent="0.3">
      <c r="A581" s="4" t="s">
        <v>1708</v>
      </c>
      <c r="B581" s="5" t="s">
        <v>1709</v>
      </c>
      <c r="C581" s="21" t="s">
        <v>1710</v>
      </c>
      <c r="D581" s="20"/>
      <c r="E581" s="4">
        <v>1200750</v>
      </c>
      <c r="F581" s="4" t="s">
        <v>44</v>
      </c>
      <c r="G581" s="4" t="s">
        <v>45</v>
      </c>
      <c r="H581" s="4"/>
      <c r="I581" s="4" t="s">
        <v>57</v>
      </c>
      <c r="J581" s="4" t="s">
        <v>47</v>
      </c>
      <c r="K581" s="4">
        <v>8</v>
      </c>
      <c r="L581" s="4">
        <v>16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Z581" t="e">
        <f>VLOOKUP(E581,Sheet2!$A$1:$A$39,1,0)</f>
        <v>#N/A</v>
      </c>
      <c r="AA581">
        <f>VLOOKUP($E581,[1]Sheet1!$E$10:$X$629,AA$9,0)</f>
        <v>0</v>
      </c>
      <c r="AB581">
        <f>VLOOKUP($E581,[1]Sheet1!$E$10:$X$629,AB$9,0)</f>
        <v>0</v>
      </c>
      <c r="AC581">
        <f>VLOOKUP($E581,[1]Sheet1!$E$10:$X$629,AC$9,0)</f>
        <v>0</v>
      </c>
      <c r="AD581">
        <f>VLOOKUP($E581,[1]Sheet1!$E$10:$X$629,AD$9,0)</f>
        <v>0</v>
      </c>
      <c r="AE581">
        <f>VLOOKUP($E581,[1]Sheet1!$E$10:$X$629,AE$9,0)</f>
        <v>0</v>
      </c>
      <c r="AF581">
        <f>VLOOKUP($E581,[1]Sheet1!$E$10:$X$629,AF$9,0)</f>
        <v>0</v>
      </c>
      <c r="AG581">
        <f>VLOOKUP($E581,[1]Sheet1!$E$10:$X$629,AG$9,0)</f>
        <v>0</v>
      </c>
      <c r="AH581">
        <f>VLOOKUP($E581,[1]Sheet1!$E$10:$X$629,AH$9,0)</f>
        <v>0</v>
      </c>
      <c r="AJ581">
        <f t="shared" si="28"/>
        <v>0</v>
      </c>
      <c r="AK581">
        <f t="shared" si="29"/>
        <v>0</v>
      </c>
      <c r="AL581">
        <f t="shared" si="30"/>
        <v>0</v>
      </c>
    </row>
    <row r="582" spans="1:38" ht="39.6" x14ac:dyDescent="0.3">
      <c r="A582" s="4" t="s">
        <v>1711</v>
      </c>
      <c r="B582" s="5" t="s">
        <v>1712</v>
      </c>
      <c r="C582" s="21" t="s">
        <v>1713</v>
      </c>
      <c r="D582" s="20"/>
      <c r="E582" s="4">
        <v>1200751</v>
      </c>
      <c r="F582" s="4" t="s">
        <v>44</v>
      </c>
      <c r="G582" s="4" t="s">
        <v>45</v>
      </c>
      <c r="H582" s="4"/>
      <c r="I582" s="4" t="s">
        <v>57</v>
      </c>
      <c r="J582" s="4" t="s">
        <v>47</v>
      </c>
      <c r="K582" s="4">
        <v>8</v>
      </c>
      <c r="L582" s="4">
        <v>16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Z582" t="e">
        <f>VLOOKUP(E582,Sheet2!$A$1:$A$39,1,0)</f>
        <v>#N/A</v>
      </c>
      <c r="AA582">
        <f>VLOOKUP($E582,[1]Sheet1!$E$10:$X$629,AA$9,0)</f>
        <v>0</v>
      </c>
      <c r="AB582">
        <f>VLOOKUP($E582,[1]Sheet1!$E$10:$X$629,AB$9,0)</f>
        <v>0</v>
      </c>
      <c r="AC582">
        <f>VLOOKUP($E582,[1]Sheet1!$E$10:$X$629,AC$9,0)</f>
        <v>0</v>
      </c>
      <c r="AD582">
        <f>VLOOKUP($E582,[1]Sheet1!$E$10:$X$629,AD$9,0)</f>
        <v>0</v>
      </c>
      <c r="AE582">
        <f>VLOOKUP($E582,[1]Sheet1!$E$10:$X$629,AE$9,0)</f>
        <v>0</v>
      </c>
      <c r="AF582">
        <f>VLOOKUP($E582,[1]Sheet1!$E$10:$X$629,AF$9,0)</f>
        <v>0</v>
      </c>
      <c r="AG582">
        <f>VLOOKUP($E582,[1]Sheet1!$E$10:$X$629,AG$9,0)</f>
        <v>0</v>
      </c>
      <c r="AH582">
        <f>VLOOKUP($E582,[1]Sheet1!$E$10:$X$629,AH$9,0)</f>
        <v>0</v>
      </c>
      <c r="AJ582">
        <f t="shared" si="28"/>
        <v>0</v>
      </c>
      <c r="AK582">
        <f t="shared" si="29"/>
        <v>0</v>
      </c>
      <c r="AL582">
        <f t="shared" si="30"/>
        <v>0</v>
      </c>
    </row>
    <row r="583" spans="1:38" ht="39.6" x14ac:dyDescent="0.3">
      <c r="A583" s="4" t="s">
        <v>1714</v>
      </c>
      <c r="B583" s="5" t="s">
        <v>1715</v>
      </c>
      <c r="C583" s="21" t="s">
        <v>1716</v>
      </c>
      <c r="D583" s="20"/>
      <c r="E583" s="4">
        <v>1200752</v>
      </c>
      <c r="F583" s="4" t="s">
        <v>44</v>
      </c>
      <c r="G583" s="4" t="s">
        <v>45</v>
      </c>
      <c r="H583" s="4"/>
      <c r="I583" s="4" t="s">
        <v>57</v>
      </c>
      <c r="J583" s="4" t="s">
        <v>47</v>
      </c>
      <c r="K583" s="4">
        <v>8</v>
      </c>
      <c r="L583" s="4">
        <v>16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Z583" t="e">
        <f>VLOOKUP(E583,Sheet2!$A$1:$A$39,1,0)</f>
        <v>#N/A</v>
      </c>
      <c r="AA583">
        <f>VLOOKUP($E583,[1]Sheet1!$E$10:$X$629,AA$9,0)</f>
        <v>0</v>
      </c>
      <c r="AB583">
        <f>VLOOKUP($E583,[1]Sheet1!$E$10:$X$629,AB$9,0)</f>
        <v>0</v>
      </c>
      <c r="AC583">
        <f>VLOOKUP($E583,[1]Sheet1!$E$10:$X$629,AC$9,0)</f>
        <v>0</v>
      </c>
      <c r="AD583">
        <f>VLOOKUP($E583,[1]Sheet1!$E$10:$X$629,AD$9,0)</f>
        <v>0</v>
      </c>
      <c r="AE583">
        <f>VLOOKUP($E583,[1]Sheet1!$E$10:$X$629,AE$9,0)</f>
        <v>0</v>
      </c>
      <c r="AF583">
        <f>VLOOKUP($E583,[1]Sheet1!$E$10:$X$629,AF$9,0)</f>
        <v>0</v>
      </c>
      <c r="AG583">
        <f>VLOOKUP($E583,[1]Sheet1!$E$10:$X$629,AG$9,0)</f>
        <v>0</v>
      </c>
      <c r="AH583">
        <f>VLOOKUP($E583,[1]Sheet1!$E$10:$X$629,AH$9,0)</f>
        <v>0</v>
      </c>
      <c r="AJ583">
        <f t="shared" si="28"/>
        <v>0</v>
      </c>
      <c r="AK583">
        <f t="shared" si="29"/>
        <v>0</v>
      </c>
      <c r="AL583">
        <f t="shared" si="30"/>
        <v>0</v>
      </c>
    </row>
    <row r="584" spans="1:38" ht="39.6" x14ac:dyDescent="0.3">
      <c r="A584" s="4" t="s">
        <v>1717</v>
      </c>
      <c r="B584" s="5" t="s">
        <v>1718</v>
      </c>
      <c r="C584" s="21" t="s">
        <v>1719</v>
      </c>
      <c r="D584" s="20"/>
      <c r="E584" s="4">
        <v>1200794</v>
      </c>
      <c r="F584" s="4" t="s">
        <v>44</v>
      </c>
      <c r="G584" s="4" t="s">
        <v>45</v>
      </c>
      <c r="H584" s="4" t="s">
        <v>269</v>
      </c>
      <c r="I584" s="4" t="s">
        <v>57</v>
      </c>
      <c r="J584" s="4" t="s">
        <v>47</v>
      </c>
      <c r="K584" s="4">
        <v>8</v>
      </c>
      <c r="L584" s="4">
        <v>16</v>
      </c>
      <c r="M584" s="5">
        <v>144</v>
      </c>
      <c r="N584" s="5">
        <v>432</v>
      </c>
      <c r="O584" s="5">
        <v>864</v>
      </c>
      <c r="P584" s="5">
        <v>864</v>
      </c>
      <c r="Q584" s="5">
        <v>1584</v>
      </c>
      <c r="R584" s="5">
        <v>1872</v>
      </c>
      <c r="S584" s="5">
        <v>1440</v>
      </c>
      <c r="T584" s="5">
        <v>1296</v>
      </c>
      <c r="U584" s="5">
        <v>2304</v>
      </c>
      <c r="V584" s="5">
        <v>3168</v>
      </c>
      <c r="W584" s="5">
        <v>1296</v>
      </c>
      <c r="X584" s="5">
        <v>2880</v>
      </c>
      <c r="Z584">
        <f>VLOOKUP(E584,Sheet2!$A$1:$A$39,1,0)</f>
        <v>1200794</v>
      </c>
      <c r="AA584">
        <f>VLOOKUP($E584,[1]Sheet1!$E$10:$X$629,AA$9,0)</f>
        <v>0</v>
      </c>
      <c r="AB584">
        <f>VLOOKUP($E584,[1]Sheet1!$E$10:$X$629,AB$9,0)</f>
        <v>0</v>
      </c>
      <c r="AC584">
        <f>VLOOKUP($E584,[1]Sheet1!$E$10:$X$629,AC$9,0)</f>
        <v>0</v>
      </c>
      <c r="AD584">
        <f>VLOOKUP($E584,[1]Sheet1!$E$10:$X$629,AD$9,0)</f>
        <v>0</v>
      </c>
      <c r="AE584">
        <f>VLOOKUP($E584,[1]Sheet1!$E$10:$X$629,AE$9,0)</f>
        <v>0</v>
      </c>
      <c r="AF584">
        <f>VLOOKUP($E584,[1]Sheet1!$E$10:$X$629,AF$9,0)</f>
        <v>0</v>
      </c>
      <c r="AG584">
        <f>VLOOKUP($E584,[1]Sheet1!$E$10:$X$629,AG$9,0)</f>
        <v>0</v>
      </c>
      <c r="AH584">
        <f>VLOOKUP($E584,[1]Sheet1!$E$10:$X$629,AH$9,0)</f>
        <v>0</v>
      </c>
      <c r="AJ584">
        <f t="shared" si="28"/>
        <v>8496</v>
      </c>
      <c r="AK584">
        <f t="shared" si="29"/>
        <v>0</v>
      </c>
      <c r="AL584">
        <f t="shared" si="30"/>
        <v>8496</v>
      </c>
    </row>
    <row r="585" spans="1:38" ht="39.6" x14ac:dyDescent="0.3">
      <c r="A585" s="4" t="s">
        <v>1720</v>
      </c>
      <c r="B585" s="5" t="s">
        <v>1721</v>
      </c>
      <c r="C585" s="21" t="s">
        <v>1722</v>
      </c>
      <c r="D585" s="20"/>
      <c r="E585" s="4">
        <v>1200777</v>
      </c>
      <c r="F585" s="4" t="s">
        <v>44</v>
      </c>
      <c r="G585" s="4" t="s">
        <v>45</v>
      </c>
      <c r="H585" s="4" t="s">
        <v>269</v>
      </c>
      <c r="I585" s="4" t="s">
        <v>57</v>
      </c>
      <c r="J585" s="4" t="s">
        <v>47</v>
      </c>
      <c r="K585" s="4">
        <v>9</v>
      </c>
      <c r="L585" s="4">
        <v>18</v>
      </c>
      <c r="M585" s="5">
        <v>144</v>
      </c>
      <c r="N585" s="5">
        <v>1008</v>
      </c>
      <c r="O585" s="5">
        <v>1728</v>
      </c>
      <c r="P585" s="5">
        <v>1728</v>
      </c>
      <c r="Q585" s="5">
        <v>1728</v>
      </c>
      <c r="R585" s="5">
        <v>2160</v>
      </c>
      <c r="S585" s="5">
        <v>1728</v>
      </c>
      <c r="T585" s="5">
        <v>1728</v>
      </c>
      <c r="U585" s="5">
        <v>2160</v>
      </c>
      <c r="V585" s="5">
        <v>2592</v>
      </c>
      <c r="W585" s="5">
        <v>1872</v>
      </c>
      <c r="X585" s="5">
        <v>2592</v>
      </c>
      <c r="Z585">
        <f>VLOOKUP(E585,Sheet2!$A$1:$A$39,1,0)</f>
        <v>1200777</v>
      </c>
      <c r="AA585">
        <f>VLOOKUP($E585,[1]Sheet1!$E$10:$X$629,AA$9,0)</f>
        <v>0</v>
      </c>
      <c r="AB585">
        <f>VLOOKUP($E585,[1]Sheet1!$E$10:$X$629,AB$9,0)</f>
        <v>0</v>
      </c>
      <c r="AC585">
        <f>VLOOKUP($E585,[1]Sheet1!$E$10:$X$629,AC$9,0)</f>
        <v>0</v>
      </c>
      <c r="AD585">
        <f>VLOOKUP($E585,[1]Sheet1!$E$10:$X$629,AD$9,0)</f>
        <v>0</v>
      </c>
      <c r="AE585">
        <f>VLOOKUP($E585,[1]Sheet1!$E$10:$X$629,AE$9,0)</f>
        <v>0</v>
      </c>
      <c r="AF585">
        <f>VLOOKUP($E585,[1]Sheet1!$E$10:$X$629,AF$9,0)</f>
        <v>0</v>
      </c>
      <c r="AG585">
        <f>VLOOKUP($E585,[1]Sheet1!$E$10:$X$629,AG$9,0)</f>
        <v>0</v>
      </c>
      <c r="AH585">
        <f>VLOOKUP($E585,[1]Sheet1!$E$10:$X$629,AH$9,0)</f>
        <v>0</v>
      </c>
      <c r="AJ585">
        <f t="shared" si="28"/>
        <v>11952</v>
      </c>
      <c r="AK585">
        <f t="shared" si="29"/>
        <v>0</v>
      </c>
      <c r="AL585">
        <f t="shared" si="30"/>
        <v>11952</v>
      </c>
    </row>
    <row r="586" spans="1:38" ht="39.6" x14ac:dyDescent="0.3">
      <c r="A586" s="4" t="s">
        <v>1723</v>
      </c>
      <c r="B586" s="5" t="s">
        <v>1724</v>
      </c>
      <c r="C586" s="21" t="s">
        <v>1725</v>
      </c>
      <c r="D586" s="20"/>
      <c r="E586" s="4">
        <v>1200785</v>
      </c>
      <c r="F586" s="4" t="s">
        <v>44</v>
      </c>
      <c r="G586" s="4" t="s">
        <v>45</v>
      </c>
      <c r="H586" s="4" t="s">
        <v>269</v>
      </c>
      <c r="I586" s="4" t="s">
        <v>57</v>
      </c>
      <c r="J586" s="4" t="s">
        <v>47</v>
      </c>
      <c r="K586" s="4">
        <v>9</v>
      </c>
      <c r="L586" s="4">
        <v>18</v>
      </c>
      <c r="M586" s="5">
        <v>144</v>
      </c>
      <c r="N586" s="5">
        <v>576</v>
      </c>
      <c r="O586" s="5">
        <v>1152</v>
      </c>
      <c r="P586" s="5">
        <v>576</v>
      </c>
      <c r="Q586" s="5">
        <v>1296</v>
      </c>
      <c r="R586" s="5">
        <v>1008</v>
      </c>
      <c r="S586" s="5">
        <v>864</v>
      </c>
      <c r="T586" s="5">
        <v>1008</v>
      </c>
      <c r="U586" s="5">
        <v>1440</v>
      </c>
      <c r="V586" s="5">
        <v>1296</v>
      </c>
      <c r="W586" s="5">
        <v>1008</v>
      </c>
      <c r="X586" s="5">
        <v>1008</v>
      </c>
      <c r="Z586">
        <f>VLOOKUP(E586,Sheet2!$A$1:$A$39,1,0)</f>
        <v>1200785</v>
      </c>
      <c r="AA586">
        <f>VLOOKUP($E586,[1]Sheet1!$E$10:$X$629,AA$9,0)</f>
        <v>0</v>
      </c>
      <c r="AB586">
        <f>VLOOKUP($E586,[1]Sheet1!$E$10:$X$629,AB$9,0)</f>
        <v>0</v>
      </c>
      <c r="AC586">
        <f>VLOOKUP($E586,[1]Sheet1!$E$10:$X$629,AC$9,0)</f>
        <v>0</v>
      </c>
      <c r="AD586">
        <f>VLOOKUP($E586,[1]Sheet1!$E$10:$X$629,AD$9,0)</f>
        <v>0</v>
      </c>
      <c r="AE586">
        <f>VLOOKUP($E586,[1]Sheet1!$E$10:$X$629,AE$9,0)</f>
        <v>0</v>
      </c>
      <c r="AF586">
        <f>VLOOKUP($E586,[1]Sheet1!$E$10:$X$629,AF$9,0)</f>
        <v>0</v>
      </c>
      <c r="AG586">
        <f>VLOOKUP($E586,[1]Sheet1!$E$10:$X$629,AG$9,0)</f>
        <v>0</v>
      </c>
      <c r="AH586">
        <f>VLOOKUP($E586,[1]Sheet1!$E$10:$X$629,AH$9,0)</f>
        <v>0</v>
      </c>
      <c r="AJ586">
        <f t="shared" si="28"/>
        <v>6624</v>
      </c>
      <c r="AK586">
        <f t="shared" si="29"/>
        <v>0</v>
      </c>
      <c r="AL586">
        <f t="shared" si="30"/>
        <v>6624</v>
      </c>
    </row>
    <row r="587" spans="1:38" ht="39.6" x14ac:dyDescent="0.3">
      <c r="A587" s="4" t="s">
        <v>1726</v>
      </c>
      <c r="B587" s="5" t="s">
        <v>1727</v>
      </c>
      <c r="C587" s="21" t="s">
        <v>1728</v>
      </c>
      <c r="D587" s="20"/>
      <c r="E587" s="4">
        <v>1200786</v>
      </c>
      <c r="F587" s="4" t="s">
        <v>44</v>
      </c>
      <c r="G587" s="4" t="s">
        <v>45</v>
      </c>
      <c r="H587" s="4" t="s">
        <v>269</v>
      </c>
      <c r="I587" s="4" t="s">
        <v>57</v>
      </c>
      <c r="J587" s="4" t="s">
        <v>47</v>
      </c>
      <c r="K587" s="4">
        <v>9</v>
      </c>
      <c r="L587" s="4">
        <v>18</v>
      </c>
      <c r="M587" s="5">
        <v>864</v>
      </c>
      <c r="N587" s="5">
        <v>1296</v>
      </c>
      <c r="O587" s="5">
        <v>1872</v>
      </c>
      <c r="P587" s="5">
        <v>1440</v>
      </c>
      <c r="Q587" s="5">
        <v>1296</v>
      </c>
      <c r="R587" s="5">
        <v>2016</v>
      </c>
      <c r="S587" s="5">
        <v>1584</v>
      </c>
      <c r="T587" s="5">
        <v>1440</v>
      </c>
      <c r="U587" s="5">
        <v>2016</v>
      </c>
      <c r="V587" s="5">
        <v>1872</v>
      </c>
      <c r="W587" s="5">
        <v>1584</v>
      </c>
      <c r="X587" s="5">
        <v>1872</v>
      </c>
      <c r="Z587">
        <f>VLOOKUP(E587,Sheet2!$A$1:$A$39,1,0)</f>
        <v>1200786</v>
      </c>
      <c r="AA587">
        <f>VLOOKUP($E587,[1]Sheet1!$E$10:$X$629,AA$9,0)</f>
        <v>0</v>
      </c>
      <c r="AB587">
        <f>VLOOKUP($E587,[1]Sheet1!$E$10:$X$629,AB$9,0)</f>
        <v>0</v>
      </c>
      <c r="AC587">
        <f>VLOOKUP($E587,[1]Sheet1!$E$10:$X$629,AC$9,0)</f>
        <v>0</v>
      </c>
      <c r="AD587">
        <f>VLOOKUP($E587,[1]Sheet1!$E$10:$X$629,AD$9,0)</f>
        <v>0</v>
      </c>
      <c r="AE587">
        <f>VLOOKUP($E587,[1]Sheet1!$E$10:$X$629,AE$9,0)</f>
        <v>0</v>
      </c>
      <c r="AF587">
        <f>VLOOKUP($E587,[1]Sheet1!$E$10:$X$629,AF$9,0)</f>
        <v>0</v>
      </c>
      <c r="AG587">
        <f>VLOOKUP($E587,[1]Sheet1!$E$10:$X$629,AG$9,0)</f>
        <v>0</v>
      </c>
      <c r="AH587">
        <f>VLOOKUP($E587,[1]Sheet1!$E$10:$X$629,AH$9,0)</f>
        <v>0</v>
      </c>
      <c r="AJ587">
        <f t="shared" ref="AJ587:AJ639" si="31">SUM(M587:T587)</f>
        <v>11808</v>
      </c>
      <c r="AK587">
        <f t="shared" ref="AK587:AK639" si="32">SUM(AA587:AH587)</f>
        <v>0</v>
      </c>
      <c r="AL587">
        <f t="shared" ref="AL587:AL639" si="33">IFERROR(AJ587-AK587,0)</f>
        <v>11808</v>
      </c>
    </row>
    <row r="588" spans="1:38" ht="39.6" x14ac:dyDescent="0.3">
      <c r="A588" s="4" t="s">
        <v>1729</v>
      </c>
      <c r="B588" s="5" t="s">
        <v>1730</v>
      </c>
      <c r="C588" s="21" t="s">
        <v>1731</v>
      </c>
      <c r="D588" s="20"/>
      <c r="E588" s="4">
        <v>1200788</v>
      </c>
      <c r="F588" s="4" t="s">
        <v>44</v>
      </c>
      <c r="G588" s="4" t="s">
        <v>45</v>
      </c>
      <c r="H588" s="4"/>
      <c r="I588" s="4" t="s">
        <v>57</v>
      </c>
      <c r="J588" s="4" t="s">
        <v>47</v>
      </c>
      <c r="K588" s="4">
        <v>9</v>
      </c>
      <c r="L588" s="4">
        <v>18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Z588" t="e">
        <f>VLOOKUP(E588,Sheet2!$A$1:$A$39,1,0)</f>
        <v>#N/A</v>
      </c>
      <c r="AA588">
        <f>VLOOKUP($E588,[1]Sheet1!$E$10:$X$629,AA$9,0)</f>
        <v>0</v>
      </c>
      <c r="AB588">
        <f>VLOOKUP($E588,[1]Sheet1!$E$10:$X$629,AB$9,0)</f>
        <v>0</v>
      </c>
      <c r="AC588">
        <f>VLOOKUP($E588,[1]Sheet1!$E$10:$X$629,AC$9,0)</f>
        <v>0</v>
      </c>
      <c r="AD588">
        <f>VLOOKUP($E588,[1]Sheet1!$E$10:$X$629,AD$9,0)</f>
        <v>0</v>
      </c>
      <c r="AE588">
        <f>VLOOKUP($E588,[1]Sheet1!$E$10:$X$629,AE$9,0)</f>
        <v>0</v>
      </c>
      <c r="AF588">
        <f>VLOOKUP($E588,[1]Sheet1!$E$10:$X$629,AF$9,0)</f>
        <v>0</v>
      </c>
      <c r="AG588">
        <f>VLOOKUP($E588,[1]Sheet1!$E$10:$X$629,AG$9,0)</f>
        <v>0</v>
      </c>
      <c r="AH588">
        <f>VLOOKUP($E588,[1]Sheet1!$E$10:$X$629,AH$9,0)</f>
        <v>0</v>
      </c>
      <c r="AJ588">
        <f t="shared" si="31"/>
        <v>0</v>
      </c>
      <c r="AK588">
        <f t="shared" si="32"/>
        <v>0</v>
      </c>
      <c r="AL588">
        <f t="shared" si="33"/>
        <v>0</v>
      </c>
    </row>
    <row r="589" spans="1:38" ht="39.6" x14ac:dyDescent="0.3">
      <c r="A589" s="4" t="s">
        <v>1732</v>
      </c>
      <c r="B589" s="5" t="s">
        <v>1733</v>
      </c>
      <c r="C589" s="21" t="s">
        <v>1734</v>
      </c>
      <c r="D589" s="20"/>
      <c r="E589" s="4">
        <v>1200787</v>
      </c>
      <c r="F589" s="4" t="s">
        <v>44</v>
      </c>
      <c r="G589" s="4" t="s">
        <v>45</v>
      </c>
      <c r="H589" s="4"/>
      <c r="I589" s="4" t="s">
        <v>57</v>
      </c>
      <c r="J589" s="4" t="s">
        <v>47</v>
      </c>
      <c r="K589" s="4">
        <v>9</v>
      </c>
      <c r="L589" s="4">
        <v>18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Z589" t="e">
        <f>VLOOKUP(E589,Sheet2!$A$1:$A$39,1,0)</f>
        <v>#N/A</v>
      </c>
      <c r="AA589">
        <f>VLOOKUP($E589,[1]Sheet1!$E$10:$X$629,AA$9,0)</f>
        <v>0</v>
      </c>
      <c r="AB589">
        <f>VLOOKUP($E589,[1]Sheet1!$E$10:$X$629,AB$9,0)</f>
        <v>0</v>
      </c>
      <c r="AC589">
        <f>VLOOKUP($E589,[1]Sheet1!$E$10:$X$629,AC$9,0)</f>
        <v>0</v>
      </c>
      <c r="AD589">
        <f>VLOOKUP($E589,[1]Sheet1!$E$10:$X$629,AD$9,0)</f>
        <v>0</v>
      </c>
      <c r="AE589">
        <f>VLOOKUP($E589,[1]Sheet1!$E$10:$X$629,AE$9,0)</f>
        <v>0</v>
      </c>
      <c r="AF589">
        <f>VLOOKUP($E589,[1]Sheet1!$E$10:$X$629,AF$9,0)</f>
        <v>0</v>
      </c>
      <c r="AG589">
        <f>VLOOKUP($E589,[1]Sheet1!$E$10:$X$629,AG$9,0)</f>
        <v>0</v>
      </c>
      <c r="AH589">
        <f>VLOOKUP($E589,[1]Sheet1!$E$10:$X$629,AH$9,0)</f>
        <v>0</v>
      </c>
      <c r="AJ589">
        <f t="shared" si="31"/>
        <v>0</v>
      </c>
      <c r="AK589">
        <f t="shared" si="32"/>
        <v>0</v>
      </c>
      <c r="AL589">
        <f t="shared" si="33"/>
        <v>0</v>
      </c>
    </row>
    <row r="590" spans="1:38" ht="39.6" x14ac:dyDescent="0.3">
      <c r="A590" s="4" t="s">
        <v>1735</v>
      </c>
      <c r="B590" s="5" t="s">
        <v>1736</v>
      </c>
      <c r="C590" s="21" t="s">
        <v>1737</v>
      </c>
      <c r="D590" s="20"/>
      <c r="E590" s="4">
        <v>1200737</v>
      </c>
      <c r="F590" s="4" t="s">
        <v>44</v>
      </c>
      <c r="G590" s="4" t="s">
        <v>45</v>
      </c>
      <c r="H590" s="4"/>
      <c r="I590" s="4" t="s">
        <v>57</v>
      </c>
      <c r="J590" s="4" t="s">
        <v>47</v>
      </c>
      <c r="K590" s="4">
        <v>6.5</v>
      </c>
      <c r="L590" s="4">
        <v>13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Z590" t="e">
        <f>VLOOKUP(E590,Sheet2!$A$1:$A$39,1,0)</f>
        <v>#N/A</v>
      </c>
      <c r="AA590">
        <f>VLOOKUP($E590,[1]Sheet1!$E$10:$X$629,AA$9,0)</f>
        <v>0</v>
      </c>
      <c r="AB590">
        <f>VLOOKUP($E590,[1]Sheet1!$E$10:$X$629,AB$9,0)</f>
        <v>0</v>
      </c>
      <c r="AC590">
        <f>VLOOKUP($E590,[1]Sheet1!$E$10:$X$629,AC$9,0)</f>
        <v>0</v>
      </c>
      <c r="AD590">
        <f>VLOOKUP($E590,[1]Sheet1!$E$10:$X$629,AD$9,0)</f>
        <v>0</v>
      </c>
      <c r="AE590">
        <f>VLOOKUP($E590,[1]Sheet1!$E$10:$X$629,AE$9,0)</f>
        <v>0</v>
      </c>
      <c r="AF590">
        <f>VLOOKUP($E590,[1]Sheet1!$E$10:$X$629,AF$9,0)</f>
        <v>0</v>
      </c>
      <c r="AG590">
        <f>VLOOKUP($E590,[1]Sheet1!$E$10:$X$629,AG$9,0)</f>
        <v>0</v>
      </c>
      <c r="AH590">
        <f>VLOOKUP($E590,[1]Sheet1!$E$10:$X$629,AH$9,0)</f>
        <v>0</v>
      </c>
      <c r="AJ590">
        <f t="shared" si="31"/>
        <v>0</v>
      </c>
      <c r="AK590">
        <f t="shared" si="32"/>
        <v>0</v>
      </c>
      <c r="AL590">
        <f t="shared" si="33"/>
        <v>0</v>
      </c>
    </row>
    <row r="591" spans="1:38" ht="39.6" x14ac:dyDescent="0.3">
      <c r="A591" s="4" t="s">
        <v>1738</v>
      </c>
      <c r="B591" s="5" t="s">
        <v>1739</v>
      </c>
      <c r="C591" s="21" t="s">
        <v>1740</v>
      </c>
      <c r="D591" s="20"/>
      <c r="E591" s="4">
        <v>1200738</v>
      </c>
      <c r="F591" s="4" t="s">
        <v>44</v>
      </c>
      <c r="G591" s="4" t="s">
        <v>45</v>
      </c>
      <c r="H591" s="4"/>
      <c r="I591" s="4" t="s">
        <v>57</v>
      </c>
      <c r="J591" s="4" t="s">
        <v>47</v>
      </c>
      <c r="K591" s="4">
        <v>6.5</v>
      </c>
      <c r="L591" s="4">
        <v>13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Z591" t="e">
        <f>VLOOKUP(E591,Sheet2!$A$1:$A$39,1,0)</f>
        <v>#N/A</v>
      </c>
      <c r="AA591">
        <f>VLOOKUP($E591,[1]Sheet1!$E$10:$X$629,AA$9,0)</f>
        <v>0</v>
      </c>
      <c r="AB591">
        <f>VLOOKUP($E591,[1]Sheet1!$E$10:$X$629,AB$9,0)</f>
        <v>0</v>
      </c>
      <c r="AC591">
        <f>VLOOKUP($E591,[1]Sheet1!$E$10:$X$629,AC$9,0)</f>
        <v>0</v>
      </c>
      <c r="AD591">
        <f>VLOOKUP($E591,[1]Sheet1!$E$10:$X$629,AD$9,0)</f>
        <v>0</v>
      </c>
      <c r="AE591">
        <f>VLOOKUP($E591,[1]Sheet1!$E$10:$X$629,AE$9,0)</f>
        <v>0</v>
      </c>
      <c r="AF591">
        <f>VLOOKUP($E591,[1]Sheet1!$E$10:$X$629,AF$9,0)</f>
        <v>0</v>
      </c>
      <c r="AG591">
        <f>VLOOKUP($E591,[1]Sheet1!$E$10:$X$629,AG$9,0)</f>
        <v>0</v>
      </c>
      <c r="AH591">
        <f>VLOOKUP($E591,[1]Sheet1!$E$10:$X$629,AH$9,0)</f>
        <v>0</v>
      </c>
      <c r="AJ591">
        <f t="shared" si="31"/>
        <v>0</v>
      </c>
      <c r="AK591">
        <f t="shared" si="32"/>
        <v>0</v>
      </c>
      <c r="AL591">
        <f t="shared" si="33"/>
        <v>0</v>
      </c>
    </row>
    <row r="592" spans="1:38" ht="39.6" x14ac:dyDescent="0.3">
      <c r="A592" s="4" t="s">
        <v>1741</v>
      </c>
      <c r="B592" s="5" t="s">
        <v>1742</v>
      </c>
      <c r="C592" s="21" t="s">
        <v>1743</v>
      </c>
      <c r="D592" s="20"/>
      <c r="E592" s="4">
        <v>1200739</v>
      </c>
      <c r="F592" s="4" t="s">
        <v>44</v>
      </c>
      <c r="G592" s="4" t="s">
        <v>45</v>
      </c>
      <c r="H592" s="4"/>
      <c r="I592" s="4" t="s">
        <v>57</v>
      </c>
      <c r="J592" s="4" t="s">
        <v>47</v>
      </c>
      <c r="K592" s="4">
        <v>6.5</v>
      </c>
      <c r="L592" s="4">
        <v>13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Z592" t="e">
        <f>VLOOKUP(E592,Sheet2!$A$1:$A$39,1,0)</f>
        <v>#N/A</v>
      </c>
      <c r="AA592">
        <f>VLOOKUP($E592,[1]Sheet1!$E$10:$X$629,AA$9,0)</f>
        <v>0</v>
      </c>
      <c r="AB592">
        <f>VLOOKUP($E592,[1]Sheet1!$E$10:$X$629,AB$9,0)</f>
        <v>0</v>
      </c>
      <c r="AC592">
        <f>VLOOKUP($E592,[1]Sheet1!$E$10:$X$629,AC$9,0)</f>
        <v>0</v>
      </c>
      <c r="AD592">
        <f>VLOOKUP($E592,[1]Sheet1!$E$10:$X$629,AD$9,0)</f>
        <v>0</v>
      </c>
      <c r="AE592">
        <f>VLOOKUP($E592,[1]Sheet1!$E$10:$X$629,AE$9,0)</f>
        <v>0</v>
      </c>
      <c r="AF592">
        <f>VLOOKUP($E592,[1]Sheet1!$E$10:$X$629,AF$9,0)</f>
        <v>0</v>
      </c>
      <c r="AG592">
        <f>VLOOKUP($E592,[1]Sheet1!$E$10:$X$629,AG$9,0)</f>
        <v>0</v>
      </c>
      <c r="AH592">
        <f>VLOOKUP($E592,[1]Sheet1!$E$10:$X$629,AH$9,0)</f>
        <v>0</v>
      </c>
      <c r="AJ592">
        <f t="shared" si="31"/>
        <v>0</v>
      </c>
      <c r="AK592">
        <f t="shared" si="32"/>
        <v>0</v>
      </c>
      <c r="AL592">
        <f t="shared" si="33"/>
        <v>0</v>
      </c>
    </row>
    <row r="593" spans="1:38" ht="39.6" x14ac:dyDescent="0.3">
      <c r="A593" s="4" t="s">
        <v>1744</v>
      </c>
      <c r="B593" s="5" t="s">
        <v>1745</v>
      </c>
      <c r="C593" s="21" t="s">
        <v>1746</v>
      </c>
      <c r="D593" s="20"/>
      <c r="E593" s="4">
        <v>1200740</v>
      </c>
      <c r="F593" s="4" t="s">
        <v>44</v>
      </c>
      <c r="G593" s="4" t="s">
        <v>45</v>
      </c>
      <c r="H593" s="4"/>
      <c r="I593" s="4" t="s">
        <v>57</v>
      </c>
      <c r="J593" s="4" t="s">
        <v>47</v>
      </c>
      <c r="K593" s="4">
        <v>6.5</v>
      </c>
      <c r="L593" s="4">
        <v>13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Z593" t="e">
        <f>VLOOKUP(E593,Sheet2!$A$1:$A$39,1,0)</f>
        <v>#N/A</v>
      </c>
      <c r="AA593">
        <f>VLOOKUP($E593,[1]Sheet1!$E$10:$X$629,AA$9,0)</f>
        <v>0</v>
      </c>
      <c r="AB593">
        <f>VLOOKUP($E593,[1]Sheet1!$E$10:$X$629,AB$9,0)</f>
        <v>0</v>
      </c>
      <c r="AC593">
        <f>VLOOKUP($E593,[1]Sheet1!$E$10:$X$629,AC$9,0)</f>
        <v>0</v>
      </c>
      <c r="AD593">
        <f>VLOOKUP($E593,[1]Sheet1!$E$10:$X$629,AD$9,0)</f>
        <v>0</v>
      </c>
      <c r="AE593">
        <f>VLOOKUP($E593,[1]Sheet1!$E$10:$X$629,AE$9,0)</f>
        <v>0</v>
      </c>
      <c r="AF593">
        <f>VLOOKUP($E593,[1]Sheet1!$E$10:$X$629,AF$9,0)</f>
        <v>0</v>
      </c>
      <c r="AG593">
        <f>VLOOKUP($E593,[1]Sheet1!$E$10:$X$629,AG$9,0)</f>
        <v>0</v>
      </c>
      <c r="AH593">
        <f>VLOOKUP($E593,[1]Sheet1!$E$10:$X$629,AH$9,0)</f>
        <v>0</v>
      </c>
      <c r="AJ593">
        <f t="shared" si="31"/>
        <v>0</v>
      </c>
      <c r="AK593">
        <f t="shared" si="32"/>
        <v>0</v>
      </c>
      <c r="AL593">
        <f t="shared" si="33"/>
        <v>0</v>
      </c>
    </row>
    <row r="594" spans="1:38" ht="39.6" x14ac:dyDescent="0.3">
      <c r="A594" s="4" t="s">
        <v>1747</v>
      </c>
      <c r="B594" s="5" t="s">
        <v>1748</v>
      </c>
      <c r="C594" s="21" t="s">
        <v>1749</v>
      </c>
      <c r="D594" s="20"/>
      <c r="E594" s="4">
        <v>1200741</v>
      </c>
      <c r="F594" s="4" t="s">
        <v>44</v>
      </c>
      <c r="G594" s="4" t="s">
        <v>45</v>
      </c>
      <c r="H594" s="4"/>
      <c r="I594" s="4" t="s">
        <v>57</v>
      </c>
      <c r="J594" s="4" t="s">
        <v>47</v>
      </c>
      <c r="K594" s="4">
        <v>6.5</v>
      </c>
      <c r="L594" s="4">
        <v>13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Z594" t="e">
        <f>VLOOKUP(E594,Sheet2!$A$1:$A$39,1,0)</f>
        <v>#N/A</v>
      </c>
      <c r="AA594">
        <f>VLOOKUP($E594,[1]Sheet1!$E$10:$X$629,AA$9,0)</f>
        <v>0</v>
      </c>
      <c r="AB594">
        <f>VLOOKUP($E594,[1]Sheet1!$E$10:$X$629,AB$9,0)</f>
        <v>0</v>
      </c>
      <c r="AC594">
        <f>VLOOKUP($E594,[1]Sheet1!$E$10:$X$629,AC$9,0)</f>
        <v>0</v>
      </c>
      <c r="AD594">
        <f>VLOOKUP($E594,[1]Sheet1!$E$10:$X$629,AD$9,0)</f>
        <v>0</v>
      </c>
      <c r="AE594">
        <f>VLOOKUP($E594,[1]Sheet1!$E$10:$X$629,AE$9,0)</f>
        <v>0</v>
      </c>
      <c r="AF594">
        <f>VLOOKUP($E594,[1]Sheet1!$E$10:$X$629,AF$9,0)</f>
        <v>0</v>
      </c>
      <c r="AG594">
        <f>VLOOKUP($E594,[1]Sheet1!$E$10:$X$629,AG$9,0)</f>
        <v>0</v>
      </c>
      <c r="AH594">
        <f>VLOOKUP($E594,[1]Sheet1!$E$10:$X$629,AH$9,0)</f>
        <v>0</v>
      </c>
      <c r="AJ594">
        <f t="shared" si="31"/>
        <v>0</v>
      </c>
      <c r="AK594">
        <f t="shared" si="32"/>
        <v>0</v>
      </c>
      <c r="AL594">
        <f t="shared" si="33"/>
        <v>0</v>
      </c>
    </row>
    <row r="595" spans="1:38" ht="39.6" x14ac:dyDescent="0.3">
      <c r="A595" s="4" t="s">
        <v>1750</v>
      </c>
      <c r="B595" s="5" t="s">
        <v>1751</v>
      </c>
      <c r="C595" s="21" t="s">
        <v>1752</v>
      </c>
      <c r="D595" s="20"/>
      <c r="E595" s="4">
        <v>1200742</v>
      </c>
      <c r="F595" s="4" t="s">
        <v>44</v>
      </c>
      <c r="G595" s="4" t="s">
        <v>45</v>
      </c>
      <c r="H595" s="4" t="s">
        <v>269</v>
      </c>
      <c r="I595" s="4" t="s">
        <v>57</v>
      </c>
      <c r="J595" s="4" t="s">
        <v>47</v>
      </c>
      <c r="K595" s="4">
        <v>8</v>
      </c>
      <c r="L595" s="4">
        <v>16</v>
      </c>
      <c r="M595" s="5">
        <v>0</v>
      </c>
      <c r="N595" s="5">
        <v>288</v>
      </c>
      <c r="O595" s="5">
        <v>576</v>
      </c>
      <c r="P595" s="5">
        <v>864</v>
      </c>
      <c r="Q595" s="5">
        <v>864</v>
      </c>
      <c r="R595" s="5">
        <v>1152</v>
      </c>
      <c r="S595" s="5">
        <v>1008</v>
      </c>
      <c r="T595" s="5">
        <v>1296</v>
      </c>
      <c r="U595" s="5">
        <v>1296</v>
      </c>
      <c r="V595" s="5">
        <v>2016</v>
      </c>
      <c r="W595" s="5">
        <v>864</v>
      </c>
      <c r="X595" s="5">
        <v>2016</v>
      </c>
      <c r="Z595">
        <f>VLOOKUP(E595,Sheet2!$A$1:$A$39,1,0)</f>
        <v>1200742</v>
      </c>
      <c r="AA595">
        <f>VLOOKUP($E595,[1]Sheet1!$E$10:$X$629,AA$9,0)</f>
        <v>0</v>
      </c>
      <c r="AB595">
        <f>VLOOKUP($E595,[1]Sheet1!$E$10:$X$629,AB$9,0)</f>
        <v>0</v>
      </c>
      <c r="AC595">
        <f>VLOOKUP($E595,[1]Sheet1!$E$10:$X$629,AC$9,0)</f>
        <v>0</v>
      </c>
      <c r="AD595">
        <f>VLOOKUP($E595,[1]Sheet1!$E$10:$X$629,AD$9,0)</f>
        <v>0</v>
      </c>
      <c r="AE595">
        <f>VLOOKUP($E595,[1]Sheet1!$E$10:$X$629,AE$9,0)</f>
        <v>0</v>
      </c>
      <c r="AF595">
        <f>VLOOKUP($E595,[1]Sheet1!$E$10:$X$629,AF$9,0)</f>
        <v>0</v>
      </c>
      <c r="AG595">
        <f>VLOOKUP($E595,[1]Sheet1!$E$10:$X$629,AG$9,0)</f>
        <v>0</v>
      </c>
      <c r="AH595">
        <f>VLOOKUP($E595,[1]Sheet1!$E$10:$X$629,AH$9,0)</f>
        <v>0</v>
      </c>
      <c r="AJ595">
        <f t="shared" si="31"/>
        <v>6048</v>
      </c>
      <c r="AK595">
        <f t="shared" si="32"/>
        <v>0</v>
      </c>
      <c r="AL595">
        <f t="shared" si="33"/>
        <v>6048</v>
      </c>
    </row>
    <row r="596" spans="1:38" ht="39.6" x14ac:dyDescent="0.3">
      <c r="A596" s="4" t="s">
        <v>1753</v>
      </c>
      <c r="B596" s="5" t="s">
        <v>1754</v>
      </c>
      <c r="C596" s="21" t="s">
        <v>1755</v>
      </c>
      <c r="D596" s="20"/>
      <c r="E596" s="4">
        <v>1200743</v>
      </c>
      <c r="F596" s="4" t="s">
        <v>44</v>
      </c>
      <c r="G596" s="4" t="s">
        <v>45</v>
      </c>
      <c r="H596" s="4" t="s">
        <v>269</v>
      </c>
      <c r="I596" s="4" t="s">
        <v>57</v>
      </c>
      <c r="J596" s="4" t="s">
        <v>47</v>
      </c>
      <c r="K596" s="4">
        <v>8</v>
      </c>
      <c r="L596" s="4">
        <v>16</v>
      </c>
      <c r="M596" s="5">
        <v>0</v>
      </c>
      <c r="N596" s="5">
        <v>288</v>
      </c>
      <c r="O596" s="5">
        <v>576</v>
      </c>
      <c r="P596" s="5">
        <v>864</v>
      </c>
      <c r="Q596" s="5">
        <v>576</v>
      </c>
      <c r="R596" s="5">
        <v>1440</v>
      </c>
      <c r="S596" s="5">
        <v>1008</v>
      </c>
      <c r="T596" s="5">
        <v>1296</v>
      </c>
      <c r="U596" s="5">
        <v>1296</v>
      </c>
      <c r="V596" s="5">
        <v>1872</v>
      </c>
      <c r="W596" s="5">
        <v>864</v>
      </c>
      <c r="X596" s="5">
        <v>2016</v>
      </c>
      <c r="Z596">
        <f>VLOOKUP(E596,Sheet2!$A$1:$A$39,1,0)</f>
        <v>1200743</v>
      </c>
      <c r="AA596">
        <f>VLOOKUP($E596,[1]Sheet1!$E$10:$X$629,AA$9,0)</f>
        <v>0</v>
      </c>
      <c r="AB596">
        <f>VLOOKUP($E596,[1]Sheet1!$E$10:$X$629,AB$9,0)</f>
        <v>0</v>
      </c>
      <c r="AC596">
        <f>VLOOKUP($E596,[1]Sheet1!$E$10:$X$629,AC$9,0)</f>
        <v>0</v>
      </c>
      <c r="AD596">
        <f>VLOOKUP($E596,[1]Sheet1!$E$10:$X$629,AD$9,0)</f>
        <v>0</v>
      </c>
      <c r="AE596">
        <f>VLOOKUP($E596,[1]Sheet1!$E$10:$X$629,AE$9,0)</f>
        <v>0</v>
      </c>
      <c r="AF596">
        <f>VLOOKUP($E596,[1]Sheet1!$E$10:$X$629,AF$9,0)</f>
        <v>0</v>
      </c>
      <c r="AG596">
        <f>VLOOKUP($E596,[1]Sheet1!$E$10:$X$629,AG$9,0)</f>
        <v>0</v>
      </c>
      <c r="AH596">
        <f>VLOOKUP($E596,[1]Sheet1!$E$10:$X$629,AH$9,0)</f>
        <v>0</v>
      </c>
      <c r="AJ596">
        <f t="shared" si="31"/>
        <v>6048</v>
      </c>
      <c r="AK596">
        <f t="shared" si="32"/>
        <v>0</v>
      </c>
      <c r="AL596">
        <f t="shared" si="33"/>
        <v>6048</v>
      </c>
    </row>
    <row r="597" spans="1:38" ht="39.6" x14ac:dyDescent="0.3">
      <c r="A597" s="4" t="s">
        <v>1756</v>
      </c>
      <c r="B597" s="5" t="s">
        <v>1757</v>
      </c>
      <c r="C597" s="21" t="s">
        <v>1758</v>
      </c>
      <c r="D597" s="20"/>
      <c r="E597" s="4">
        <v>1200744</v>
      </c>
      <c r="F597" s="4" t="s">
        <v>44</v>
      </c>
      <c r="G597" s="4" t="s">
        <v>45</v>
      </c>
      <c r="H597" s="4" t="s">
        <v>269</v>
      </c>
      <c r="I597" s="4" t="s">
        <v>57</v>
      </c>
      <c r="J597" s="4" t="s">
        <v>47</v>
      </c>
      <c r="K597" s="4">
        <v>8</v>
      </c>
      <c r="L597" s="4">
        <v>16</v>
      </c>
      <c r="M597" s="5">
        <v>0</v>
      </c>
      <c r="N597" s="5">
        <v>288</v>
      </c>
      <c r="O597" s="5">
        <v>576</v>
      </c>
      <c r="P597" s="5">
        <v>1008</v>
      </c>
      <c r="Q597" s="5">
        <v>720</v>
      </c>
      <c r="R597" s="5">
        <v>1296</v>
      </c>
      <c r="S597" s="5">
        <v>864</v>
      </c>
      <c r="T597" s="5">
        <v>1296</v>
      </c>
      <c r="U597" s="5">
        <v>1584</v>
      </c>
      <c r="V597" s="5">
        <v>1728</v>
      </c>
      <c r="W597" s="5">
        <v>864</v>
      </c>
      <c r="X597" s="5">
        <v>2304</v>
      </c>
      <c r="Z597">
        <f>VLOOKUP(E597,Sheet2!$A$1:$A$39,1,0)</f>
        <v>1200744</v>
      </c>
      <c r="AA597">
        <f>VLOOKUP($E597,[1]Sheet1!$E$10:$X$629,AA$9,0)</f>
        <v>0</v>
      </c>
      <c r="AB597">
        <f>VLOOKUP($E597,[1]Sheet1!$E$10:$X$629,AB$9,0)</f>
        <v>0</v>
      </c>
      <c r="AC597">
        <f>VLOOKUP($E597,[1]Sheet1!$E$10:$X$629,AC$9,0)</f>
        <v>0</v>
      </c>
      <c r="AD597">
        <f>VLOOKUP($E597,[1]Sheet1!$E$10:$X$629,AD$9,0)</f>
        <v>0</v>
      </c>
      <c r="AE597">
        <f>VLOOKUP($E597,[1]Sheet1!$E$10:$X$629,AE$9,0)</f>
        <v>0</v>
      </c>
      <c r="AF597">
        <f>VLOOKUP($E597,[1]Sheet1!$E$10:$X$629,AF$9,0)</f>
        <v>0</v>
      </c>
      <c r="AG597">
        <f>VLOOKUP($E597,[1]Sheet1!$E$10:$X$629,AG$9,0)</f>
        <v>0</v>
      </c>
      <c r="AH597">
        <f>VLOOKUP($E597,[1]Sheet1!$E$10:$X$629,AH$9,0)</f>
        <v>0</v>
      </c>
      <c r="AJ597">
        <f t="shared" si="31"/>
        <v>6048</v>
      </c>
      <c r="AK597">
        <f t="shared" si="32"/>
        <v>0</v>
      </c>
      <c r="AL597">
        <f t="shared" si="33"/>
        <v>6048</v>
      </c>
    </row>
    <row r="598" spans="1:38" ht="39.6" x14ac:dyDescent="0.3">
      <c r="A598" s="4" t="s">
        <v>1759</v>
      </c>
      <c r="B598" s="5" t="s">
        <v>1760</v>
      </c>
      <c r="C598" s="21" t="s">
        <v>1761</v>
      </c>
      <c r="D598" s="20"/>
      <c r="E598" s="4">
        <v>1200746</v>
      </c>
      <c r="F598" s="4" t="s">
        <v>44</v>
      </c>
      <c r="G598" s="4" t="s">
        <v>45</v>
      </c>
      <c r="H598" s="4" t="s">
        <v>269</v>
      </c>
      <c r="I598" s="4" t="s">
        <v>57</v>
      </c>
      <c r="J598" s="4" t="s">
        <v>47</v>
      </c>
      <c r="K598" s="4">
        <v>8</v>
      </c>
      <c r="L598" s="4">
        <v>16</v>
      </c>
      <c r="M598" s="5">
        <v>0</v>
      </c>
      <c r="N598" s="5">
        <v>432</v>
      </c>
      <c r="O598" s="5">
        <v>576</v>
      </c>
      <c r="P598" s="5">
        <v>864</v>
      </c>
      <c r="Q598" s="5">
        <v>720</v>
      </c>
      <c r="R598" s="5">
        <v>1296</v>
      </c>
      <c r="S598" s="5">
        <v>1008</v>
      </c>
      <c r="T598" s="5">
        <v>1152</v>
      </c>
      <c r="U598" s="5">
        <v>1440</v>
      </c>
      <c r="V598" s="5">
        <v>1872</v>
      </c>
      <c r="W598" s="5">
        <v>720</v>
      </c>
      <c r="X598" s="5">
        <v>2160</v>
      </c>
      <c r="Z598">
        <f>VLOOKUP(E598,Sheet2!$A$1:$A$39,1,0)</f>
        <v>1200746</v>
      </c>
      <c r="AA598">
        <f>VLOOKUP($E598,[1]Sheet1!$E$10:$X$629,AA$9,0)</f>
        <v>0</v>
      </c>
      <c r="AB598">
        <f>VLOOKUP($E598,[1]Sheet1!$E$10:$X$629,AB$9,0)</f>
        <v>0</v>
      </c>
      <c r="AC598">
        <f>VLOOKUP($E598,[1]Sheet1!$E$10:$X$629,AC$9,0)</f>
        <v>0</v>
      </c>
      <c r="AD598">
        <f>VLOOKUP($E598,[1]Sheet1!$E$10:$X$629,AD$9,0)</f>
        <v>0</v>
      </c>
      <c r="AE598">
        <f>VLOOKUP($E598,[1]Sheet1!$E$10:$X$629,AE$9,0)</f>
        <v>0</v>
      </c>
      <c r="AF598">
        <f>VLOOKUP($E598,[1]Sheet1!$E$10:$X$629,AF$9,0)</f>
        <v>0</v>
      </c>
      <c r="AG598">
        <f>VLOOKUP($E598,[1]Sheet1!$E$10:$X$629,AG$9,0)</f>
        <v>0</v>
      </c>
      <c r="AH598">
        <f>VLOOKUP($E598,[1]Sheet1!$E$10:$X$629,AH$9,0)</f>
        <v>0</v>
      </c>
      <c r="AJ598">
        <f t="shared" si="31"/>
        <v>6048</v>
      </c>
      <c r="AK598">
        <f t="shared" si="32"/>
        <v>0</v>
      </c>
      <c r="AL598">
        <f t="shared" si="33"/>
        <v>6048</v>
      </c>
    </row>
    <row r="599" spans="1:38" ht="39.6" x14ac:dyDescent="0.3">
      <c r="A599" s="4" t="s">
        <v>1762</v>
      </c>
      <c r="B599" s="5" t="s">
        <v>1763</v>
      </c>
      <c r="C599" s="21" t="s">
        <v>1764</v>
      </c>
      <c r="D599" s="20"/>
      <c r="E599" s="4">
        <v>1200745</v>
      </c>
      <c r="F599" s="4" t="s">
        <v>44</v>
      </c>
      <c r="G599" s="4" t="s">
        <v>45</v>
      </c>
      <c r="H599" s="4" t="s">
        <v>269</v>
      </c>
      <c r="I599" s="4" t="s">
        <v>57</v>
      </c>
      <c r="J599" s="4" t="s">
        <v>47</v>
      </c>
      <c r="K599" s="4">
        <v>8</v>
      </c>
      <c r="L599" s="4">
        <v>16</v>
      </c>
      <c r="M599" s="5">
        <v>144</v>
      </c>
      <c r="N599" s="5">
        <v>288</v>
      </c>
      <c r="O599" s="5">
        <v>576</v>
      </c>
      <c r="P599" s="5">
        <v>864</v>
      </c>
      <c r="Q599" s="5">
        <v>864</v>
      </c>
      <c r="R599" s="5">
        <v>1152</v>
      </c>
      <c r="S599" s="5">
        <v>1008</v>
      </c>
      <c r="T599" s="5">
        <v>1296</v>
      </c>
      <c r="U599" s="5">
        <v>1440</v>
      </c>
      <c r="V599" s="5">
        <v>1872</v>
      </c>
      <c r="W599" s="5">
        <v>864</v>
      </c>
      <c r="X599" s="5">
        <v>2016</v>
      </c>
      <c r="Z599">
        <f>VLOOKUP(E599,Sheet2!$A$1:$A$39,1,0)</f>
        <v>1200745</v>
      </c>
      <c r="AA599">
        <f>VLOOKUP($E599,[1]Sheet1!$E$10:$X$629,AA$9,0)</f>
        <v>0</v>
      </c>
      <c r="AB599">
        <f>VLOOKUP($E599,[1]Sheet1!$E$10:$X$629,AB$9,0)</f>
        <v>0</v>
      </c>
      <c r="AC599">
        <f>VLOOKUP($E599,[1]Sheet1!$E$10:$X$629,AC$9,0)</f>
        <v>0</v>
      </c>
      <c r="AD599">
        <f>VLOOKUP($E599,[1]Sheet1!$E$10:$X$629,AD$9,0)</f>
        <v>0</v>
      </c>
      <c r="AE599">
        <f>VLOOKUP($E599,[1]Sheet1!$E$10:$X$629,AE$9,0)</f>
        <v>0</v>
      </c>
      <c r="AF599">
        <f>VLOOKUP($E599,[1]Sheet1!$E$10:$X$629,AF$9,0)</f>
        <v>0</v>
      </c>
      <c r="AG599">
        <f>VLOOKUP($E599,[1]Sheet1!$E$10:$X$629,AG$9,0)</f>
        <v>0</v>
      </c>
      <c r="AH599">
        <f>VLOOKUP($E599,[1]Sheet1!$E$10:$X$629,AH$9,0)</f>
        <v>0</v>
      </c>
      <c r="AJ599">
        <f t="shared" si="31"/>
        <v>6192</v>
      </c>
      <c r="AK599">
        <f t="shared" si="32"/>
        <v>0</v>
      </c>
      <c r="AL599">
        <f t="shared" si="33"/>
        <v>6192</v>
      </c>
    </row>
    <row r="600" spans="1:38" ht="39.6" x14ac:dyDescent="0.3">
      <c r="A600" s="4" t="s">
        <v>1765</v>
      </c>
      <c r="B600" s="5" t="s">
        <v>1766</v>
      </c>
      <c r="C600" s="21" t="s">
        <v>1767</v>
      </c>
      <c r="D600" s="20"/>
      <c r="E600" s="4">
        <v>1200753</v>
      </c>
      <c r="F600" s="4" t="s">
        <v>44</v>
      </c>
      <c r="G600" s="4" t="s">
        <v>45</v>
      </c>
      <c r="H600" s="4"/>
      <c r="I600" s="4" t="s">
        <v>57</v>
      </c>
      <c r="J600" s="4" t="s">
        <v>47</v>
      </c>
      <c r="K600" s="4">
        <v>7.5</v>
      </c>
      <c r="L600" s="4">
        <v>15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Z600" t="e">
        <f>VLOOKUP(E600,Sheet2!$A$1:$A$39,1,0)</f>
        <v>#N/A</v>
      </c>
      <c r="AA600">
        <f>VLOOKUP($E600,[1]Sheet1!$E$10:$X$629,AA$9,0)</f>
        <v>0</v>
      </c>
      <c r="AB600">
        <f>VLOOKUP($E600,[1]Sheet1!$E$10:$X$629,AB$9,0)</f>
        <v>0</v>
      </c>
      <c r="AC600">
        <f>VLOOKUP($E600,[1]Sheet1!$E$10:$X$629,AC$9,0)</f>
        <v>0</v>
      </c>
      <c r="AD600">
        <f>VLOOKUP($E600,[1]Sheet1!$E$10:$X$629,AD$9,0)</f>
        <v>0</v>
      </c>
      <c r="AE600">
        <f>VLOOKUP($E600,[1]Sheet1!$E$10:$X$629,AE$9,0)</f>
        <v>0</v>
      </c>
      <c r="AF600">
        <f>VLOOKUP($E600,[1]Sheet1!$E$10:$X$629,AF$9,0)</f>
        <v>0</v>
      </c>
      <c r="AG600">
        <f>VLOOKUP($E600,[1]Sheet1!$E$10:$X$629,AG$9,0)</f>
        <v>0</v>
      </c>
      <c r="AH600">
        <f>VLOOKUP($E600,[1]Sheet1!$E$10:$X$629,AH$9,0)</f>
        <v>0</v>
      </c>
      <c r="AJ600">
        <f t="shared" si="31"/>
        <v>0</v>
      </c>
      <c r="AK600">
        <f t="shared" si="32"/>
        <v>0</v>
      </c>
      <c r="AL600">
        <f t="shared" si="33"/>
        <v>0</v>
      </c>
    </row>
    <row r="601" spans="1:38" ht="39.6" x14ac:dyDescent="0.3">
      <c r="A601" s="4" t="s">
        <v>1768</v>
      </c>
      <c r="B601" s="5" t="s">
        <v>1769</v>
      </c>
      <c r="C601" s="21" t="s">
        <v>1770</v>
      </c>
      <c r="D601" s="20"/>
      <c r="E601" s="4">
        <v>1200754</v>
      </c>
      <c r="F601" s="4" t="s">
        <v>44</v>
      </c>
      <c r="G601" s="4" t="s">
        <v>45</v>
      </c>
      <c r="H601" s="4"/>
      <c r="I601" s="4" t="s">
        <v>57</v>
      </c>
      <c r="J601" s="4" t="s">
        <v>47</v>
      </c>
      <c r="K601" s="4">
        <v>7.5</v>
      </c>
      <c r="L601" s="4">
        <v>15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Z601" t="e">
        <f>VLOOKUP(E601,Sheet2!$A$1:$A$39,1,0)</f>
        <v>#N/A</v>
      </c>
      <c r="AA601">
        <f>VLOOKUP($E601,[1]Sheet1!$E$10:$X$629,AA$9,0)</f>
        <v>0</v>
      </c>
      <c r="AB601">
        <f>VLOOKUP($E601,[1]Sheet1!$E$10:$X$629,AB$9,0)</f>
        <v>0</v>
      </c>
      <c r="AC601">
        <f>VLOOKUP($E601,[1]Sheet1!$E$10:$X$629,AC$9,0)</f>
        <v>0</v>
      </c>
      <c r="AD601">
        <f>VLOOKUP($E601,[1]Sheet1!$E$10:$X$629,AD$9,0)</f>
        <v>0</v>
      </c>
      <c r="AE601">
        <f>VLOOKUP($E601,[1]Sheet1!$E$10:$X$629,AE$9,0)</f>
        <v>0</v>
      </c>
      <c r="AF601">
        <f>VLOOKUP($E601,[1]Sheet1!$E$10:$X$629,AF$9,0)</f>
        <v>0</v>
      </c>
      <c r="AG601">
        <f>VLOOKUP($E601,[1]Sheet1!$E$10:$X$629,AG$9,0)</f>
        <v>0</v>
      </c>
      <c r="AH601">
        <f>VLOOKUP($E601,[1]Sheet1!$E$10:$X$629,AH$9,0)</f>
        <v>0</v>
      </c>
      <c r="AJ601">
        <f t="shared" si="31"/>
        <v>0</v>
      </c>
      <c r="AK601">
        <f t="shared" si="32"/>
        <v>0</v>
      </c>
      <c r="AL601">
        <f t="shared" si="33"/>
        <v>0</v>
      </c>
    </row>
    <row r="602" spans="1:38" ht="39.6" x14ac:dyDescent="0.3">
      <c r="A602" s="4" t="s">
        <v>1771</v>
      </c>
      <c r="B602" s="5" t="s">
        <v>1772</v>
      </c>
      <c r="C602" s="21" t="s">
        <v>1773</v>
      </c>
      <c r="D602" s="20"/>
      <c r="E602" s="4">
        <v>1200755</v>
      </c>
      <c r="F602" s="4" t="s">
        <v>44</v>
      </c>
      <c r="G602" s="4" t="s">
        <v>45</v>
      </c>
      <c r="H602" s="4"/>
      <c r="I602" s="4" t="s">
        <v>57</v>
      </c>
      <c r="J602" s="4" t="s">
        <v>47</v>
      </c>
      <c r="K602" s="4">
        <v>7.5</v>
      </c>
      <c r="L602" s="4">
        <v>15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Z602" t="e">
        <f>VLOOKUP(E602,Sheet2!$A$1:$A$39,1,0)</f>
        <v>#N/A</v>
      </c>
      <c r="AA602">
        <f>VLOOKUP($E602,[1]Sheet1!$E$10:$X$629,AA$9,0)</f>
        <v>0</v>
      </c>
      <c r="AB602">
        <f>VLOOKUP($E602,[1]Sheet1!$E$10:$X$629,AB$9,0)</f>
        <v>0</v>
      </c>
      <c r="AC602">
        <f>VLOOKUP($E602,[1]Sheet1!$E$10:$X$629,AC$9,0)</f>
        <v>0</v>
      </c>
      <c r="AD602">
        <f>VLOOKUP($E602,[1]Sheet1!$E$10:$X$629,AD$9,0)</f>
        <v>0</v>
      </c>
      <c r="AE602">
        <f>VLOOKUP($E602,[1]Sheet1!$E$10:$X$629,AE$9,0)</f>
        <v>0</v>
      </c>
      <c r="AF602">
        <f>VLOOKUP($E602,[1]Sheet1!$E$10:$X$629,AF$9,0)</f>
        <v>0</v>
      </c>
      <c r="AG602">
        <f>VLOOKUP($E602,[1]Sheet1!$E$10:$X$629,AG$9,0)</f>
        <v>0</v>
      </c>
      <c r="AH602">
        <f>VLOOKUP($E602,[1]Sheet1!$E$10:$X$629,AH$9,0)</f>
        <v>0</v>
      </c>
      <c r="AJ602">
        <f t="shared" si="31"/>
        <v>0</v>
      </c>
      <c r="AK602">
        <f t="shared" si="32"/>
        <v>0</v>
      </c>
      <c r="AL602">
        <f t="shared" si="33"/>
        <v>0</v>
      </c>
    </row>
    <row r="603" spans="1:38" ht="39.6" x14ac:dyDescent="0.3">
      <c r="A603" s="4" t="s">
        <v>1774</v>
      </c>
      <c r="B603" s="5" t="s">
        <v>1775</v>
      </c>
      <c r="C603" s="21" t="s">
        <v>1776</v>
      </c>
      <c r="D603" s="20"/>
      <c r="E603" s="4">
        <v>1200756</v>
      </c>
      <c r="F603" s="4" t="s">
        <v>44</v>
      </c>
      <c r="G603" s="4" t="s">
        <v>45</v>
      </c>
      <c r="H603" s="4"/>
      <c r="I603" s="4" t="s">
        <v>57</v>
      </c>
      <c r="J603" s="4" t="s">
        <v>47</v>
      </c>
      <c r="K603" s="4">
        <v>7.5</v>
      </c>
      <c r="L603" s="4">
        <v>15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Z603" t="e">
        <f>VLOOKUP(E603,Sheet2!$A$1:$A$39,1,0)</f>
        <v>#N/A</v>
      </c>
      <c r="AA603">
        <f>VLOOKUP($E603,[1]Sheet1!$E$10:$X$629,AA$9,0)</f>
        <v>0</v>
      </c>
      <c r="AB603">
        <f>VLOOKUP($E603,[1]Sheet1!$E$10:$X$629,AB$9,0)</f>
        <v>0</v>
      </c>
      <c r="AC603">
        <f>VLOOKUP($E603,[1]Sheet1!$E$10:$X$629,AC$9,0)</f>
        <v>0</v>
      </c>
      <c r="AD603">
        <f>VLOOKUP($E603,[1]Sheet1!$E$10:$X$629,AD$9,0)</f>
        <v>0</v>
      </c>
      <c r="AE603">
        <f>VLOOKUP($E603,[1]Sheet1!$E$10:$X$629,AE$9,0)</f>
        <v>0</v>
      </c>
      <c r="AF603">
        <f>VLOOKUP($E603,[1]Sheet1!$E$10:$X$629,AF$9,0)</f>
        <v>0</v>
      </c>
      <c r="AG603">
        <f>VLOOKUP($E603,[1]Sheet1!$E$10:$X$629,AG$9,0)</f>
        <v>0</v>
      </c>
      <c r="AH603">
        <f>VLOOKUP($E603,[1]Sheet1!$E$10:$X$629,AH$9,0)</f>
        <v>0</v>
      </c>
      <c r="AJ603">
        <f t="shared" si="31"/>
        <v>0</v>
      </c>
      <c r="AK603">
        <f t="shared" si="32"/>
        <v>0</v>
      </c>
      <c r="AL603">
        <f t="shared" si="33"/>
        <v>0</v>
      </c>
    </row>
    <row r="604" spans="1:38" ht="39.6" x14ac:dyDescent="0.3">
      <c r="A604" s="4" t="s">
        <v>1777</v>
      </c>
      <c r="B604" s="5" t="s">
        <v>1778</v>
      </c>
      <c r="C604" s="21" t="s">
        <v>1779</v>
      </c>
      <c r="D604" s="20"/>
      <c r="E604" s="4">
        <v>1200757</v>
      </c>
      <c r="F604" s="4" t="s">
        <v>44</v>
      </c>
      <c r="G604" s="4" t="s">
        <v>45</v>
      </c>
      <c r="H604" s="4"/>
      <c r="I604" s="4" t="s">
        <v>57</v>
      </c>
      <c r="J604" s="4" t="s">
        <v>47</v>
      </c>
      <c r="K604" s="4">
        <v>7.5</v>
      </c>
      <c r="L604" s="4">
        <v>15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Z604" t="e">
        <f>VLOOKUP(E604,Sheet2!$A$1:$A$39,1,0)</f>
        <v>#N/A</v>
      </c>
      <c r="AA604">
        <f>VLOOKUP($E604,[1]Sheet1!$E$10:$X$629,AA$9,0)</f>
        <v>0</v>
      </c>
      <c r="AB604">
        <f>VLOOKUP($E604,[1]Sheet1!$E$10:$X$629,AB$9,0)</f>
        <v>0</v>
      </c>
      <c r="AC604">
        <f>VLOOKUP($E604,[1]Sheet1!$E$10:$X$629,AC$9,0)</f>
        <v>0</v>
      </c>
      <c r="AD604">
        <f>VLOOKUP($E604,[1]Sheet1!$E$10:$X$629,AD$9,0)</f>
        <v>0</v>
      </c>
      <c r="AE604">
        <f>VLOOKUP($E604,[1]Sheet1!$E$10:$X$629,AE$9,0)</f>
        <v>0</v>
      </c>
      <c r="AF604">
        <f>VLOOKUP($E604,[1]Sheet1!$E$10:$X$629,AF$9,0)</f>
        <v>0</v>
      </c>
      <c r="AG604">
        <f>VLOOKUP($E604,[1]Sheet1!$E$10:$X$629,AG$9,0)</f>
        <v>0</v>
      </c>
      <c r="AH604">
        <f>VLOOKUP($E604,[1]Sheet1!$E$10:$X$629,AH$9,0)</f>
        <v>0</v>
      </c>
      <c r="AJ604">
        <f t="shared" si="31"/>
        <v>0</v>
      </c>
      <c r="AK604">
        <f t="shared" si="32"/>
        <v>0</v>
      </c>
      <c r="AL604">
        <f t="shared" si="33"/>
        <v>0</v>
      </c>
    </row>
    <row r="605" spans="1:38" ht="39.6" x14ac:dyDescent="0.3">
      <c r="A605" s="4" t="s">
        <v>1780</v>
      </c>
      <c r="B605" s="5" t="s">
        <v>1781</v>
      </c>
      <c r="C605" s="21" t="s">
        <v>1782</v>
      </c>
      <c r="D605" s="20"/>
      <c r="E605" s="4">
        <v>1200764</v>
      </c>
      <c r="F605" s="4" t="s">
        <v>44</v>
      </c>
      <c r="G605" s="4" t="s">
        <v>45</v>
      </c>
      <c r="H605" s="4" t="s">
        <v>56</v>
      </c>
      <c r="I605" s="4" t="s">
        <v>57</v>
      </c>
      <c r="J605" s="4" t="s">
        <v>47</v>
      </c>
      <c r="K605" s="4">
        <v>6.5</v>
      </c>
      <c r="L605" s="4">
        <v>13</v>
      </c>
      <c r="M605" s="5">
        <v>0</v>
      </c>
      <c r="N605" s="5">
        <v>0</v>
      </c>
      <c r="O605" s="5">
        <v>432</v>
      </c>
      <c r="P605" s="5">
        <v>432</v>
      </c>
      <c r="Q605" s="5">
        <v>576</v>
      </c>
      <c r="R605" s="5">
        <v>576</v>
      </c>
      <c r="S605" s="5">
        <v>576</v>
      </c>
      <c r="T605" s="5">
        <v>720</v>
      </c>
      <c r="U605" s="5">
        <v>864</v>
      </c>
      <c r="V605" s="5">
        <v>1008</v>
      </c>
      <c r="W605" s="5">
        <v>720</v>
      </c>
      <c r="X605" s="5">
        <v>1008</v>
      </c>
      <c r="Z605">
        <f>VLOOKUP(E605,Sheet2!$A$1:$A$39,1,0)</f>
        <v>1200764</v>
      </c>
      <c r="AA605">
        <f>VLOOKUP($E605,[1]Sheet1!$E$10:$X$629,AA$9,0)</f>
        <v>0</v>
      </c>
      <c r="AB605">
        <f>VLOOKUP($E605,[1]Sheet1!$E$10:$X$629,AB$9,0)</f>
        <v>0</v>
      </c>
      <c r="AC605">
        <f>VLOOKUP($E605,[1]Sheet1!$E$10:$X$629,AC$9,0)</f>
        <v>0</v>
      </c>
      <c r="AD605">
        <f>VLOOKUP($E605,[1]Sheet1!$E$10:$X$629,AD$9,0)</f>
        <v>0</v>
      </c>
      <c r="AE605">
        <f>VLOOKUP($E605,[1]Sheet1!$E$10:$X$629,AE$9,0)</f>
        <v>0</v>
      </c>
      <c r="AF605">
        <f>VLOOKUP($E605,[1]Sheet1!$E$10:$X$629,AF$9,0)</f>
        <v>0</v>
      </c>
      <c r="AG605">
        <f>VLOOKUP($E605,[1]Sheet1!$E$10:$X$629,AG$9,0)</f>
        <v>0</v>
      </c>
      <c r="AH605">
        <f>VLOOKUP($E605,[1]Sheet1!$E$10:$X$629,AH$9,0)</f>
        <v>0</v>
      </c>
      <c r="AJ605">
        <f t="shared" si="31"/>
        <v>3312</v>
      </c>
      <c r="AK605">
        <f t="shared" si="32"/>
        <v>0</v>
      </c>
      <c r="AL605">
        <f t="shared" si="33"/>
        <v>3312</v>
      </c>
    </row>
    <row r="606" spans="1:38" ht="39.6" x14ac:dyDescent="0.3">
      <c r="A606" s="4" t="s">
        <v>1783</v>
      </c>
      <c r="B606" s="5" t="s">
        <v>1784</v>
      </c>
      <c r="C606" s="21" t="s">
        <v>1785</v>
      </c>
      <c r="D606" s="20"/>
      <c r="E606" s="4">
        <v>1200763</v>
      </c>
      <c r="F606" s="4" t="s">
        <v>44</v>
      </c>
      <c r="G606" s="4" t="s">
        <v>45</v>
      </c>
      <c r="H606" s="4" t="s">
        <v>56</v>
      </c>
      <c r="I606" s="4" t="s">
        <v>57</v>
      </c>
      <c r="J606" s="4" t="s">
        <v>47</v>
      </c>
      <c r="K606" s="4">
        <v>7</v>
      </c>
      <c r="L606" s="4">
        <v>14</v>
      </c>
      <c r="M606" s="5">
        <v>432</v>
      </c>
      <c r="N606" s="5">
        <v>0</v>
      </c>
      <c r="O606" s="5">
        <v>432</v>
      </c>
      <c r="P606" s="5">
        <v>576</v>
      </c>
      <c r="Q606" s="5">
        <v>720</v>
      </c>
      <c r="R606" s="5">
        <v>1008</v>
      </c>
      <c r="S606" s="5">
        <v>864</v>
      </c>
      <c r="T606" s="5">
        <v>864</v>
      </c>
      <c r="U606" s="5">
        <v>1152</v>
      </c>
      <c r="V606" s="5">
        <v>1152</v>
      </c>
      <c r="W606" s="5">
        <v>1008</v>
      </c>
      <c r="X606" s="5">
        <v>1440</v>
      </c>
      <c r="Z606">
        <f>VLOOKUP(E606,Sheet2!$A$1:$A$39,1,0)</f>
        <v>1200763</v>
      </c>
      <c r="AA606">
        <f>VLOOKUP($E606,[1]Sheet1!$E$10:$X$629,AA$9,0)</f>
        <v>0</v>
      </c>
      <c r="AB606">
        <f>VLOOKUP($E606,[1]Sheet1!$E$10:$X$629,AB$9,0)</f>
        <v>0</v>
      </c>
      <c r="AC606">
        <f>VLOOKUP($E606,[1]Sheet1!$E$10:$X$629,AC$9,0)</f>
        <v>0</v>
      </c>
      <c r="AD606">
        <f>VLOOKUP($E606,[1]Sheet1!$E$10:$X$629,AD$9,0)</f>
        <v>0</v>
      </c>
      <c r="AE606">
        <f>VLOOKUP($E606,[1]Sheet1!$E$10:$X$629,AE$9,0)</f>
        <v>0</v>
      </c>
      <c r="AF606">
        <f>VLOOKUP($E606,[1]Sheet1!$E$10:$X$629,AF$9,0)</f>
        <v>0</v>
      </c>
      <c r="AG606">
        <f>VLOOKUP($E606,[1]Sheet1!$E$10:$X$629,AG$9,0)</f>
        <v>0</v>
      </c>
      <c r="AH606">
        <f>VLOOKUP($E606,[1]Sheet1!$E$10:$X$629,AH$9,0)</f>
        <v>0</v>
      </c>
      <c r="AJ606">
        <f t="shared" si="31"/>
        <v>4896</v>
      </c>
      <c r="AK606">
        <f t="shared" si="32"/>
        <v>0</v>
      </c>
      <c r="AL606">
        <f t="shared" si="33"/>
        <v>4896</v>
      </c>
    </row>
    <row r="607" spans="1:38" ht="39.6" x14ac:dyDescent="0.3">
      <c r="A607" s="4" t="s">
        <v>1786</v>
      </c>
      <c r="B607" s="5" t="s">
        <v>1787</v>
      </c>
      <c r="C607" s="21" t="s">
        <v>1788</v>
      </c>
      <c r="D607" s="20"/>
      <c r="E607" s="4">
        <v>1200758</v>
      </c>
      <c r="F607" s="4" t="s">
        <v>44</v>
      </c>
      <c r="G607" s="4" t="s">
        <v>45</v>
      </c>
      <c r="H607" s="4"/>
      <c r="I607" s="4" t="s">
        <v>57</v>
      </c>
      <c r="J607" s="4" t="s">
        <v>47</v>
      </c>
      <c r="K607" s="4">
        <v>7.5</v>
      </c>
      <c r="L607" s="4">
        <v>15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Z607" t="e">
        <f>VLOOKUP(E607,Sheet2!$A$1:$A$39,1,0)</f>
        <v>#N/A</v>
      </c>
      <c r="AA607">
        <f>VLOOKUP($E607,[1]Sheet1!$E$10:$X$629,AA$9,0)</f>
        <v>0</v>
      </c>
      <c r="AB607">
        <f>VLOOKUP($E607,[1]Sheet1!$E$10:$X$629,AB$9,0)</f>
        <v>0</v>
      </c>
      <c r="AC607">
        <f>VLOOKUP($E607,[1]Sheet1!$E$10:$X$629,AC$9,0)</f>
        <v>0</v>
      </c>
      <c r="AD607">
        <f>VLOOKUP($E607,[1]Sheet1!$E$10:$X$629,AD$9,0)</f>
        <v>0</v>
      </c>
      <c r="AE607">
        <f>VLOOKUP($E607,[1]Sheet1!$E$10:$X$629,AE$9,0)</f>
        <v>0</v>
      </c>
      <c r="AF607">
        <f>VLOOKUP($E607,[1]Sheet1!$E$10:$X$629,AF$9,0)</f>
        <v>0</v>
      </c>
      <c r="AG607">
        <f>VLOOKUP($E607,[1]Sheet1!$E$10:$X$629,AG$9,0)</f>
        <v>0</v>
      </c>
      <c r="AH607">
        <f>VLOOKUP($E607,[1]Sheet1!$E$10:$X$629,AH$9,0)</f>
        <v>0</v>
      </c>
      <c r="AJ607">
        <f t="shared" si="31"/>
        <v>0</v>
      </c>
      <c r="AK607">
        <f t="shared" si="32"/>
        <v>0</v>
      </c>
      <c r="AL607">
        <f t="shared" si="33"/>
        <v>0</v>
      </c>
    </row>
    <row r="608" spans="1:38" ht="39.6" x14ac:dyDescent="0.3">
      <c r="A608" s="4" t="s">
        <v>1789</v>
      </c>
      <c r="B608" s="5" t="s">
        <v>1790</v>
      </c>
      <c r="C608" s="21" t="s">
        <v>1791</v>
      </c>
      <c r="D608" s="20"/>
      <c r="E608" s="4">
        <v>1200731</v>
      </c>
      <c r="F608" s="4" t="s">
        <v>44</v>
      </c>
      <c r="G608" s="4" t="s">
        <v>45</v>
      </c>
      <c r="H608" s="4"/>
      <c r="I608" s="4" t="s">
        <v>57</v>
      </c>
      <c r="J608" s="4" t="s">
        <v>47</v>
      </c>
      <c r="K608" s="4">
        <v>9</v>
      </c>
      <c r="L608" s="4">
        <v>18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Z608" t="e">
        <f>VLOOKUP(E608,Sheet2!$A$1:$A$39,1,0)</f>
        <v>#N/A</v>
      </c>
      <c r="AA608">
        <f>VLOOKUP($E608,[1]Sheet1!$E$10:$X$629,AA$9,0)</f>
        <v>0</v>
      </c>
      <c r="AB608">
        <f>VLOOKUP($E608,[1]Sheet1!$E$10:$X$629,AB$9,0)</f>
        <v>0</v>
      </c>
      <c r="AC608">
        <f>VLOOKUP($E608,[1]Sheet1!$E$10:$X$629,AC$9,0)</f>
        <v>0</v>
      </c>
      <c r="AD608">
        <f>VLOOKUP($E608,[1]Sheet1!$E$10:$X$629,AD$9,0)</f>
        <v>0</v>
      </c>
      <c r="AE608">
        <f>VLOOKUP($E608,[1]Sheet1!$E$10:$X$629,AE$9,0)</f>
        <v>0</v>
      </c>
      <c r="AF608">
        <f>VLOOKUP($E608,[1]Sheet1!$E$10:$X$629,AF$9,0)</f>
        <v>0</v>
      </c>
      <c r="AG608">
        <f>VLOOKUP($E608,[1]Sheet1!$E$10:$X$629,AG$9,0)</f>
        <v>0</v>
      </c>
      <c r="AH608">
        <f>VLOOKUP($E608,[1]Sheet1!$E$10:$X$629,AH$9,0)</f>
        <v>0</v>
      </c>
      <c r="AJ608">
        <f t="shared" si="31"/>
        <v>0</v>
      </c>
      <c r="AK608">
        <f t="shared" si="32"/>
        <v>0</v>
      </c>
      <c r="AL608">
        <f t="shared" si="33"/>
        <v>0</v>
      </c>
    </row>
    <row r="609" spans="1:38" ht="39.6" x14ac:dyDescent="0.3">
      <c r="A609" s="4" t="s">
        <v>1792</v>
      </c>
      <c r="B609" s="5" t="s">
        <v>1793</v>
      </c>
      <c r="C609" s="21" t="s">
        <v>1794</v>
      </c>
      <c r="D609" s="20"/>
      <c r="E609" s="4">
        <v>1200812</v>
      </c>
      <c r="F609" s="4" t="s">
        <v>44</v>
      </c>
      <c r="G609" s="4" t="s">
        <v>45</v>
      </c>
      <c r="H609" s="4" t="s">
        <v>61</v>
      </c>
      <c r="I609" s="4" t="s">
        <v>57</v>
      </c>
      <c r="J609" s="4" t="s">
        <v>47</v>
      </c>
      <c r="K609" s="4">
        <v>10</v>
      </c>
      <c r="L609" s="4">
        <v>20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144</v>
      </c>
      <c r="S609" s="5">
        <v>0</v>
      </c>
      <c r="T609" s="5">
        <v>0</v>
      </c>
      <c r="U609" s="5">
        <v>0</v>
      </c>
      <c r="V609" s="5">
        <v>0</v>
      </c>
      <c r="W609" s="5">
        <v>144</v>
      </c>
      <c r="X609" s="5">
        <v>288</v>
      </c>
      <c r="Z609">
        <f>VLOOKUP(E609,Sheet2!$A$1:$A$39,1,0)</f>
        <v>1200812</v>
      </c>
      <c r="AA609">
        <f>VLOOKUP($E609,[1]Sheet1!$E$10:$X$629,AA$9,0)</f>
        <v>0</v>
      </c>
      <c r="AB609">
        <f>VLOOKUP($E609,[1]Sheet1!$E$10:$X$629,AB$9,0)</f>
        <v>0</v>
      </c>
      <c r="AC609">
        <f>VLOOKUP($E609,[1]Sheet1!$E$10:$X$629,AC$9,0)</f>
        <v>0</v>
      </c>
      <c r="AD609">
        <f>VLOOKUP($E609,[1]Sheet1!$E$10:$X$629,AD$9,0)</f>
        <v>0</v>
      </c>
      <c r="AE609">
        <f>VLOOKUP($E609,[1]Sheet1!$E$10:$X$629,AE$9,0)</f>
        <v>0</v>
      </c>
      <c r="AF609">
        <f>VLOOKUP($E609,[1]Sheet1!$E$10:$X$629,AF$9,0)</f>
        <v>0</v>
      </c>
      <c r="AG609">
        <f>VLOOKUP($E609,[1]Sheet1!$E$10:$X$629,AG$9,0)</f>
        <v>0</v>
      </c>
      <c r="AH609">
        <f>VLOOKUP($E609,[1]Sheet1!$E$10:$X$629,AH$9,0)</f>
        <v>0</v>
      </c>
      <c r="AJ609">
        <f t="shared" si="31"/>
        <v>144</v>
      </c>
      <c r="AK609">
        <f t="shared" si="32"/>
        <v>0</v>
      </c>
      <c r="AL609">
        <f t="shared" si="33"/>
        <v>144</v>
      </c>
    </row>
    <row r="610" spans="1:38" ht="39.6" x14ac:dyDescent="0.3">
      <c r="A610" s="4" t="s">
        <v>1795</v>
      </c>
      <c r="B610" s="5" t="s">
        <v>1796</v>
      </c>
      <c r="C610" s="21" t="s">
        <v>1797</v>
      </c>
      <c r="D610" s="20"/>
      <c r="E610" s="4">
        <v>1200813</v>
      </c>
      <c r="F610" s="4" t="s">
        <v>44</v>
      </c>
      <c r="G610" s="4" t="s">
        <v>45</v>
      </c>
      <c r="H610" s="4" t="s">
        <v>61</v>
      </c>
      <c r="I610" s="4" t="s">
        <v>57</v>
      </c>
      <c r="J610" s="4" t="s">
        <v>47</v>
      </c>
      <c r="K610" s="4">
        <v>10</v>
      </c>
      <c r="L610" s="4">
        <v>20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144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432</v>
      </c>
      <c r="Z610">
        <f>VLOOKUP(E610,Sheet2!$A$1:$A$39,1,0)</f>
        <v>1200813</v>
      </c>
      <c r="AA610">
        <f>VLOOKUP($E610,[1]Sheet1!$E$10:$X$629,AA$9,0)</f>
        <v>0</v>
      </c>
      <c r="AB610">
        <f>VLOOKUP($E610,[1]Sheet1!$E$10:$X$629,AB$9,0)</f>
        <v>0</v>
      </c>
      <c r="AC610">
        <f>VLOOKUP($E610,[1]Sheet1!$E$10:$X$629,AC$9,0)</f>
        <v>0</v>
      </c>
      <c r="AD610">
        <f>VLOOKUP($E610,[1]Sheet1!$E$10:$X$629,AD$9,0)</f>
        <v>0</v>
      </c>
      <c r="AE610">
        <f>VLOOKUP($E610,[1]Sheet1!$E$10:$X$629,AE$9,0)</f>
        <v>0</v>
      </c>
      <c r="AF610">
        <f>VLOOKUP($E610,[1]Sheet1!$E$10:$X$629,AF$9,0)</f>
        <v>0</v>
      </c>
      <c r="AG610">
        <f>VLOOKUP($E610,[1]Sheet1!$E$10:$X$629,AG$9,0)</f>
        <v>0</v>
      </c>
      <c r="AH610">
        <f>VLOOKUP($E610,[1]Sheet1!$E$10:$X$629,AH$9,0)</f>
        <v>0</v>
      </c>
      <c r="AJ610">
        <f t="shared" si="31"/>
        <v>144</v>
      </c>
      <c r="AK610">
        <f t="shared" si="32"/>
        <v>0</v>
      </c>
      <c r="AL610">
        <f t="shared" si="33"/>
        <v>144</v>
      </c>
    </row>
    <row r="611" spans="1:38" ht="39.6" x14ac:dyDescent="0.3">
      <c r="A611" s="4" t="s">
        <v>1798</v>
      </c>
      <c r="B611" s="5" t="s">
        <v>1799</v>
      </c>
      <c r="C611" s="21" t="s">
        <v>1800</v>
      </c>
      <c r="D611" s="20"/>
      <c r="E611" s="4">
        <v>1200898</v>
      </c>
      <c r="F611" s="4" t="s">
        <v>44</v>
      </c>
      <c r="G611" s="4" t="s">
        <v>45</v>
      </c>
      <c r="H611" s="4" t="s">
        <v>61</v>
      </c>
      <c r="I611" s="4" t="s">
        <v>57</v>
      </c>
      <c r="J611" s="4" t="s">
        <v>47</v>
      </c>
      <c r="K611" s="4">
        <v>10</v>
      </c>
      <c r="L611" s="4">
        <v>20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144</v>
      </c>
      <c r="S611" s="5">
        <v>0</v>
      </c>
      <c r="T611" s="5">
        <v>0</v>
      </c>
      <c r="U611" s="5">
        <v>0</v>
      </c>
      <c r="V611" s="5">
        <v>0</v>
      </c>
      <c r="W611" s="5">
        <v>144</v>
      </c>
      <c r="X611" s="5">
        <v>288</v>
      </c>
      <c r="Z611">
        <f>VLOOKUP(E611,Sheet2!$A$1:$A$39,1,0)</f>
        <v>1200898</v>
      </c>
      <c r="AA611">
        <f>VLOOKUP($E611,[1]Sheet1!$E$10:$X$629,AA$9,0)</f>
        <v>0</v>
      </c>
      <c r="AB611">
        <f>VLOOKUP($E611,[1]Sheet1!$E$10:$X$629,AB$9,0)</f>
        <v>0</v>
      </c>
      <c r="AC611">
        <f>VLOOKUP($E611,[1]Sheet1!$E$10:$X$629,AC$9,0)</f>
        <v>0</v>
      </c>
      <c r="AD611">
        <f>VLOOKUP($E611,[1]Sheet1!$E$10:$X$629,AD$9,0)</f>
        <v>0</v>
      </c>
      <c r="AE611">
        <f>VLOOKUP($E611,[1]Sheet1!$E$10:$X$629,AE$9,0)</f>
        <v>0</v>
      </c>
      <c r="AF611">
        <f>VLOOKUP($E611,[1]Sheet1!$E$10:$X$629,AF$9,0)</f>
        <v>0</v>
      </c>
      <c r="AG611">
        <f>VLOOKUP($E611,[1]Sheet1!$E$10:$X$629,AG$9,0)</f>
        <v>0</v>
      </c>
      <c r="AH611">
        <f>VLOOKUP($E611,[1]Sheet1!$E$10:$X$629,AH$9,0)</f>
        <v>0</v>
      </c>
      <c r="AJ611">
        <f t="shared" si="31"/>
        <v>144</v>
      </c>
      <c r="AK611">
        <f t="shared" si="32"/>
        <v>0</v>
      </c>
      <c r="AL611">
        <f t="shared" si="33"/>
        <v>144</v>
      </c>
    </row>
    <row r="612" spans="1:38" ht="39.6" x14ac:dyDescent="0.3">
      <c r="A612" s="4" t="s">
        <v>1801</v>
      </c>
      <c r="B612" s="5" t="s">
        <v>1802</v>
      </c>
      <c r="C612" s="21" t="s">
        <v>1803</v>
      </c>
      <c r="D612" s="20"/>
      <c r="E612" s="4">
        <v>1200806</v>
      </c>
      <c r="F612" s="4" t="s">
        <v>44</v>
      </c>
      <c r="G612" s="4" t="s">
        <v>45</v>
      </c>
      <c r="H612" s="4" t="s">
        <v>61</v>
      </c>
      <c r="I612" s="4" t="s">
        <v>57</v>
      </c>
      <c r="J612" s="4" t="s">
        <v>47</v>
      </c>
      <c r="K612" s="4">
        <v>10</v>
      </c>
      <c r="L612" s="4">
        <v>20</v>
      </c>
      <c r="M612" s="5">
        <v>0</v>
      </c>
      <c r="N612" s="5">
        <v>0</v>
      </c>
      <c r="O612" s="5">
        <v>0</v>
      </c>
      <c r="P612" s="5">
        <v>144</v>
      </c>
      <c r="Q612" s="5">
        <v>0</v>
      </c>
      <c r="R612" s="5">
        <v>0</v>
      </c>
      <c r="S612" s="5">
        <v>0</v>
      </c>
      <c r="T612" s="5">
        <v>432</v>
      </c>
      <c r="U612" s="5">
        <v>0</v>
      </c>
      <c r="V612" s="5">
        <v>288</v>
      </c>
      <c r="W612" s="5">
        <v>432</v>
      </c>
      <c r="X612" s="5">
        <v>144</v>
      </c>
      <c r="Z612">
        <f>VLOOKUP(E612,Sheet2!$A$1:$A$39,1,0)</f>
        <v>1200806</v>
      </c>
      <c r="AA612">
        <f>VLOOKUP($E612,[1]Sheet1!$E$10:$X$629,AA$9,0)</f>
        <v>0</v>
      </c>
      <c r="AB612">
        <f>VLOOKUP($E612,[1]Sheet1!$E$10:$X$629,AB$9,0)</f>
        <v>0</v>
      </c>
      <c r="AC612">
        <f>VLOOKUP($E612,[1]Sheet1!$E$10:$X$629,AC$9,0)</f>
        <v>0</v>
      </c>
      <c r="AD612">
        <f>VLOOKUP($E612,[1]Sheet1!$E$10:$X$629,AD$9,0)</f>
        <v>0</v>
      </c>
      <c r="AE612">
        <f>VLOOKUP($E612,[1]Sheet1!$E$10:$X$629,AE$9,0)</f>
        <v>0</v>
      </c>
      <c r="AF612">
        <f>VLOOKUP($E612,[1]Sheet1!$E$10:$X$629,AF$9,0)</f>
        <v>0</v>
      </c>
      <c r="AG612">
        <f>VLOOKUP($E612,[1]Sheet1!$E$10:$X$629,AG$9,0)</f>
        <v>0</v>
      </c>
      <c r="AH612">
        <f>VLOOKUP($E612,[1]Sheet1!$E$10:$X$629,AH$9,0)</f>
        <v>0</v>
      </c>
      <c r="AJ612">
        <f t="shared" si="31"/>
        <v>576</v>
      </c>
      <c r="AK612">
        <f t="shared" si="32"/>
        <v>0</v>
      </c>
      <c r="AL612">
        <f t="shared" si="33"/>
        <v>576</v>
      </c>
    </row>
    <row r="613" spans="1:38" ht="39.6" x14ac:dyDescent="0.3">
      <c r="A613" s="4" t="s">
        <v>1804</v>
      </c>
      <c r="B613" s="5" t="s">
        <v>1805</v>
      </c>
      <c r="C613" s="21" t="s">
        <v>1806</v>
      </c>
      <c r="D613" s="20"/>
      <c r="E613" s="4">
        <v>1200811</v>
      </c>
      <c r="F613" s="4" t="s">
        <v>44</v>
      </c>
      <c r="G613" s="4" t="s">
        <v>45</v>
      </c>
      <c r="H613" s="4" t="s">
        <v>61</v>
      </c>
      <c r="I613" s="4" t="s">
        <v>57</v>
      </c>
      <c r="J613" s="4" t="s">
        <v>47</v>
      </c>
      <c r="K613" s="4">
        <v>10</v>
      </c>
      <c r="L613" s="4">
        <v>20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144</v>
      </c>
      <c r="S613" s="5">
        <v>0</v>
      </c>
      <c r="T613" s="5">
        <v>0</v>
      </c>
      <c r="U613" s="5">
        <v>0</v>
      </c>
      <c r="V613" s="5">
        <v>0</v>
      </c>
      <c r="W613" s="5">
        <v>144</v>
      </c>
      <c r="X613" s="5">
        <v>288</v>
      </c>
      <c r="Z613">
        <f>VLOOKUP(E613,Sheet2!$A$1:$A$39,1,0)</f>
        <v>1200811</v>
      </c>
      <c r="AA613">
        <f>VLOOKUP($E613,[1]Sheet1!$E$10:$X$629,AA$9,0)</f>
        <v>0</v>
      </c>
      <c r="AB613">
        <f>VLOOKUP($E613,[1]Sheet1!$E$10:$X$629,AB$9,0)</f>
        <v>0</v>
      </c>
      <c r="AC613">
        <f>VLOOKUP($E613,[1]Sheet1!$E$10:$X$629,AC$9,0)</f>
        <v>0</v>
      </c>
      <c r="AD613">
        <f>VLOOKUP($E613,[1]Sheet1!$E$10:$X$629,AD$9,0)</f>
        <v>0</v>
      </c>
      <c r="AE613">
        <f>VLOOKUP($E613,[1]Sheet1!$E$10:$X$629,AE$9,0)</f>
        <v>0</v>
      </c>
      <c r="AF613">
        <f>VLOOKUP($E613,[1]Sheet1!$E$10:$X$629,AF$9,0)</f>
        <v>0</v>
      </c>
      <c r="AG613">
        <f>VLOOKUP($E613,[1]Sheet1!$E$10:$X$629,AG$9,0)</f>
        <v>0</v>
      </c>
      <c r="AH613">
        <f>VLOOKUP($E613,[1]Sheet1!$E$10:$X$629,AH$9,0)</f>
        <v>0</v>
      </c>
      <c r="AJ613">
        <f t="shared" si="31"/>
        <v>144</v>
      </c>
      <c r="AK613">
        <f t="shared" si="32"/>
        <v>0</v>
      </c>
      <c r="AL613">
        <f t="shared" si="33"/>
        <v>144</v>
      </c>
    </row>
    <row r="614" spans="1:38" ht="39.6" x14ac:dyDescent="0.3">
      <c r="A614" s="4" t="s">
        <v>1807</v>
      </c>
      <c r="B614" s="5" t="s">
        <v>1808</v>
      </c>
      <c r="C614" s="21" t="s">
        <v>1809</v>
      </c>
      <c r="D614" s="20"/>
      <c r="E614" s="4">
        <v>1200808</v>
      </c>
      <c r="F614" s="4" t="s">
        <v>44</v>
      </c>
      <c r="G614" s="4" t="s">
        <v>45</v>
      </c>
      <c r="H614" s="4" t="s">
        <v>61</v>
      </c>
      <c r="I614" s="4" t="s">
        <v>57</v>
      </c>
      <c r="J614" s="4" t="s">
        <v>47</v>
      </c>
      <c r="K614" s="4">
        <v>10</v>
      </c>
      <c r="L614" s="4">
        <v>20</v>
      </c>
      <c r="M614" s="5">
        <v>144</v>
      </c>
      <c r="N614" s="5">
        <v>0</v>
      </c>
      <c r="O614" s="5">
        <v>0</v>
      </c>
      <c r="P614" s="5">
        <v>0</v>
      </c>
      <c r="Q614" s="5">
        <v>0</v>
      </c>
      <c r="R614" s="5">
        <v>288</v>
      </c>
      <c r="S614" s="5">
        <v>0</v>
      </c>
      <c r="T614" s="5">
        <v>432</v>
      </c>
      <c r="U614" s="5">
        <v>144</v>
      </c>
      <c r="V614" s="5">
        <v>288</v>
      </c>
      <c r="W614" s="5">
        <v>288</v>
      </c>
      <c r="X614" s="5">
        <v>288</v>
      </c>
      <c r="Z614">
        <f>VLOOKUP(E614,Sheet2!$A$1:$A$39,1,0)</f>
        <v>1200808</v>
      </c>
      <c r="AA614">
        <f>VLOOKUP($E614,[1]Sheet1!$E$10:$X$629,AA$9,0)</f>
        <v>0</v>
      </c>
      <c r="AB614">
        <f>VLOOKUP($E614,[1]Sheet1!$E$10:$X$629,AB$9,0)</f>
        <v>0</v>
      </c>
      <c r="AC614">
        <f>VLOOKUP($E614,[1]Sheet1!$E$10:$X$629,AC$9,0)</f>
        <v>0</v>
      </c>
      <c r="AD614">
        <f>VLOOKUP($E614,[1]Sheet1!$E$10:$X$629,AD$9,0)</f>
        <v>0</v>
      </c>
      <c r="AE614">
        <f>VLOOKUP($E614,[1]Sheet1!$E$10:$X$629,AE$9,0)</f>
        <v>0</v>
      </c>
      <c r="AF614">
        <f>VLOOKUP($E614,[1]Sheet1!$E$10:$X$629,AF$9,0)</f>
        <v>0</v>
      </c>
      <c r="AG614">
        <f>VLOOKUP($E614,[1]Sheet1!$E$10:$X$629,AG$9,0)</f>
        <v>0</v>
      </c>
      <c r="AH614">
        <f>VLOOKUP($E614,[1]Sheet1!$E$10:$X$629,AH$9,0)</f>
        <v>0</v>
      </c>
      <c r="AJ614">
        <f t="shared" si="31"/>
        <v>864</v>
      </c>
      <c r="AK614">
        <f t="shared" si="32"/>
        <v>0</v>
      </c>
      <c r="AL614">
        <f t="shared" si="33"/>
        <v>864</v>
      </c>
    </row>
    <row r="615" spans="1:38" ht="39.6" x14ac:dyDescent="0.3">
      <c r="A615" s="4" t="s">
        <v>1810</v>
      </c>
      <c r="B615" s="5" t="s">
        <v>1811</v>
      </c>
      <c r="C615" s="21" t="s">
        <v>1812</v>
      </c>
      <c r="D615" s="20"/>
      <c r="E615" s="4">
        <v>1200805</v>
      </c>
      <c r="F615" s="4" t="s">
        <v>44</v>
      </c>
      <c r="G615" s="4" t="s">
        <v>45</v>
      </c>
      <c r="H615" s="4" t="s">
        <v>61</v>
      </c>
      <c r="I615" s="4" t="s">
        <v>57</v>
      </c>
      <c r="J615" s="4" t="s">
        <v>47</v>
      </c>
      <c r="K615" s="4">
        <v>10</v>
      </c>
      <c r="L615" s="4">
        <v>20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144</v>
      </c>
      <c r="U615" s="5">
        <v>288</v>
      </c>
      <c r="V615" s="5">
        <v>144</v>
      </c>
      <c r="W615" s="5">
        <v>144</v>
      </c>
      <c r="X615" s="5">
        <v>144</v>
      </c>
      <c r="Z615">
        <f>VLOOKUP(E615,Sheet2!$A$1:$A$39,1,0)</f>
        <v>1200805</v>
      </c>
      <c r="AA615">
        <f>VLOOKUP($E615,[1]Sheet1!$E$10:$X$629,AA$9,0)</f>
        <v>0</v>
      </c>
      <c r="AB615">
        <f>VLOOKUP($E615,[1]Sheet1!$E$10:$X$629,AB$9,0)</f>
        <v>0</v>
      </c>
      <c r="AC615">
        <f>VLOOKUP($E615,[1]Sheet1!$E$10:$X$629,AC$9,0)</f>
        <v>0</v>
      </c>
      <c r="AD615">
        <f>VLOOKUP($E615,[1]Sheet1!$E$10:$X$629,AD$9,0)</f>
        <v>0</v>
      </c>
      <c r="AE615">
        <f>VLOOKUP($E615,[1]Sheet1!$E$10:$X$629,AE$9,0)</f>
        <v>0</v>
      </c>
      <c r="AF615">
        <f>VLOOKUP($E615,[1]Sheet1!$E$10:$X$629,AF$9,0)</f>
        <v>0</v>
      </c>
      <c r="AG615">
        <f>VLOOKUP($E615,[1]Sheet1!$E$10:$X$629,AG$9,0)</f>
        <v>0</v>
      </c>
      <c r="AH615">
        <f>VLOOKUP($E615,[1]Sheet1!$E$10:$X$629,AH$9,0)</f>
        <v>0</v>
      </c>
      <c r="AJ615">
        <f t="shared" si="31"/>
        <v>144</v>
      </c>
      <c r="AK615">
        <f t="shared" si="32"/>
        <v>0</v>
      </c>
      <c r="AL615">
        <f t="shared" si="33"/>
        <v>144</v>
      </c>
    </row>
    <row r="616" spans="1:38" ht="39.6" x14ac:dyDescent="0.3">
      <c r="A616" s="4" t="s">
        <v>1813</v>
      </c>
      <c r="B616" s="5" t="s">
        <v>1814</v>
      </c>
      <c r="C616" s="21" t="s">
        <v>1815</v>
      </c>
      <c r="D616" s="20"/>
      <c r="E616" s="4">
        <v>1200897</v>
      </c>
      <c r="F616" s="4" t="s">
        <v>44</v>
      </c>
      <c r="G616" s="4" t="s">
        <v>45</v>
      </c>
      <c r="H616" s="4" t="s">
        <v>61</v>
      </c>
      <c r="I616" s="4" t="s">
        <v>57</v>
      </c>
      <c r="J616" s="4" t="s">
        <v>47</v>
      </c>
      <c r="K616" s="4">
        <v>10</v>
      </c>
      <c r="L616" s="4">
        <v>20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288</v>
      </c>
      <c r="S616" s="5">
        <v>144</v>
      </c>
      <c r="T616" s="5">
        <v>288</v>
      </c>
      <c r="U616" s="5">
        <v>144</v>
      </c>
      <c r="V616" s="5">
        <v>288</v>
      </c>
      <c r="W616" s="5">
        <v>432</v>
      </c>
      <c r="X616" s="5">
        <v>144</v>
      </c>
      <c r="Z616">
        <f>VLOOKUP(E616,Sheet2!$A$1:$A$39,1,0)</f>
        <v>1200897</v>
      </c>
      <c r="AA616">
        <f>VLOOKUP($E616,[1]Sheet1!$E$10:$X$629,AA$9,0)</f>
        <v>0</v>
      </c>
      <c r="AB616">
        <f>VLOOKUP($E616,[1]Sheet1!$E$10:$X$629,AB$9,0)</f>
        <v>0</v>
      </c>
      <c r="AC616">
        <f>VLOOKUP($E616,[1]Sheet1!$E$10:$X$629,AC$9,0)</f>
        <v>0</v>
      </c>
      <c r="AD616">
        <f>VLOOKUP($E616,[1]Sheet1!$E$10:$X$629,AD$9,0)</f>
        <v>0</v>
      </c>
      <c r="AE616">
        <f>VLOOKUP($E616,[1]Sheet1!$E$10:$X$629,AE$9,0)</f>
        <v>0</v>
      </c>
      <c r="AF616">
        <f>VLOOKUP($E616,[1]Sheet1!$E$10:$X$629,AF$9,0)</f>
        <v>0</v>
      </c>
      <c r="AG616">
        <f>VLOOKUP($E616,[1]Sheet1!$E$10:$X$629,AG$9,0)</f>
        <v>0</v>
      </c>
      <c r="AH616">
        <f>VLOOKUP($E616,[1]Sheet1!$E$10:$X$629,AH$9,0)</f>
        <v>0</v>
      </c>
      <c r="AJ616">
        <f t="shared" si="31"/>
        <v>720</v>
      </c>
      <c r="AK616">
        <f t="shared" si="32"/>
        <v>0</v>
      </c>
      <c r="AL616">
        <f t="shared" si="33"/>
        <v>720</v>
      </c>
    </row>
    <row r="617" spans="1:38" ht="39.6" x14ac:dyDescent="0.3">
      <c r="A617" s="4" t="s">
        <v>1816</v>
      </c>
      <c r="B617" s="5" t="s">
        <v>1817</v>
      </c>
      <c r="C617" s="21" t="s">
        <v>1818</v>
      </c>
      <c r="D617" s="20"/>
      <c r="E617" s="4">
        <v>1200809</v>
      </c>
      <c r="F617" s="4" t="s">
        <v>44</v>
      </c>
      <c r="G617" s="4" t="s">
        <v>45</v>
      </c>
      <c r="H617" s="4" t="s">
        <v>61</v>
      </c>
      <c r="I617" s="4" t="s">
        <v>57</v>
      </c>
      <c r="J617" s="4" t="s">
        <v>47</v>
      </c>
      <c r="K617" s="4">
        <v>10</v>
      </c>
      <c r="L617" s="4">
        <v>20</v>
      </c>
      <c r="M617" s="5">
        <v>144</v>
      </c>
      <c r="N617" s="5">
        <v>0</v>
      </c>
      <c r="O617" s="5">
        <v>0</v>
      </c>
      <c r="P617" s="5">
        <v>0</v>
      </c>
      <c r="Q617" s="5">
        <v>0</v>
      </c>
      <c r="R617" s="5">
        <v>288</v>
      </c>
      <c r="S617" s="5">
        <v>144</v>
      </c>
      <c r="T617" s="5">
        <v>288</v>
      </c>
      <c r="U617" s="5">
        <v>144</v>
      </c>
      <c r="V617" s="5">
        <v>288</v>
      </c>
      <c r="W617" s="5">
        <v>432</v>
      </c>
      <c r="X617" s="5">
        <v>144</v>
      </c>
      <c r="Z617">
        <f>VLOOKUP(E617,Sheet2!$A$1:$A$39,1,0)</f>
        <v>1200809</v>
      </c>
      <c r="AA617">
        <f>VLOOKUP($E617,[1]Sheet1!$E$10:$X$629,AA$9,0)</f>
        <v>0</v>
      </c>
      <c r="AB617">
        <f>VLOOKUP($E617,[1]Sheet1!$E$10:$X$629,AB$9,0)</f>
        <v>0</v>
      </c>
      <c r="AC617">
        <f>VLOOKUP($E617,[1]Sheet1!$E$10:$X$629,AC$9,0)</f>
        <v>0</v>
      </c>
      <c r="AD617">
        <f>VLOOKUP($E617,[1]Sheet1!$E$10:$X$629,AD$9,0)</f>
        <v>0</v>
      </c>
      <c r="AE617">
        <f>VLOOKUP($E617,[1]Sheet1!$E$10:$X$629,AE$9,0)</f>
        <v>0</v>
      </c>
      <c r="AF617">
        <f>VLOOKUP($E617,[1]Sheet1!$E$10:$X$629,AF$9,0)</f>
        <v>0</v>
      </c>
      <c r="AG617">
        <f>VLOOKUP($E617,[1]Sheet1!$E$10:$X$629,AG$9,0)</f>
        <v>0</v>
      </c>
      <c r="AH617">
        <f>VLOOKUP($E617,[1]Sheet1!$E$10:$X$629,AH$9,0)</f>
        <v>0</v>
      </c>
      <c r="AJ617">
        <f t="shared" si="31"/>
        <v>864</v>
      </c>
      <c r="AK617">
        <f t="shared" si="32"/>
        <v>0</v>
      </c>
      <c r="AL617">
        <f t="shared" si="33"/>
        <v>864</v>
      </c>
    </row>
    <row r="618" spans="1:38" ht="39.6" x14ac:dyDescent="0.3">
      <c r="A618" s="4" t="s">
        <v>1819</v>
      </c>
      <c r="B618" s="5" t="s">
        <v>1820</v>
      </c>
      <c r="C618" s="21" t="s">
        <v>1821</v>
      </c>
      <c r="D618" s="20"/>
      <c r="E618" s="4">
        <v>1200814</v>
      </c>
      <c r="F618" s="4" t="s">
        <v>44</v>
      </c>
      <c r="G618" s="4" t="s">
        <v>45</v>
      </c>
      <c r="H618" s="4" t="s">
        <v>61</v>
      </c>
      <c r="I618" s="4" t="s">
        <v>57</v>
      </c>
      <c r="J618" s="4" t="s">
        <v>47</v>
      </c>
      <c r="K618" s="4">
        <v>10</v>
      </c>
      <c r="L618" s="4">
        <v>20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144</v>
      </c>
      <c r="S618" s="5">
        <v>0</v>
      </c>
      <c r="T618" s="5">
        <v>0</v>
      </c>
      <c r="U618" s="5">
        <v>0</v>
      </c>
      <c r="V618" s="5">
        <v>0</v>
      </c>
      <c r="W618" s="5">
        <v>288</v>
      </c>
      <c r="X618" s="5">
        <v>144</v>
      </c>
      <c r="Z618">
        <f>VLOOKUP(E618,Sheet2!$A$1:$A$39,1,0)</f>
        <v>1200814</v>
      </c>
      <c r="AA618">
        <f>VLOOKUP($E618,[1]Sheet1!$E$10:$X$629,AA$9,0)</f>
        <v>0</v>
      </c>
      <c r="AB618">
        <f>VLOOKUP($E618,[1]Sheet1!$E$10:$X$629,AB$9,0)</f>
        <v>0</v>
      </c>
      <c r="AC618">
        <f>VLOOKUP($E618,[1]Sheet1!$E$10:$X$629,AC$9,0)</f>
        <v>0</v>
      </c>
      <c r="AD618">
        <f>VLOOKUP($E618,[1]Sheet1!$E$10:$X$629,AD$9,0)</f>
        <v>0</v>
      </c>
      <c r="AE618">
        <f>VLOOKUP($E618,[1]Sheet1!$E$10:$X$629,AE$9,0)</f>
        <v>0</v>
      </c>
      <c r="AF618">
        <f>VLOOKUP($E618,[1]Sheet1!$E$10:$X$629,AF$9,0)</f>
        <v>0</v>
      </c>
      <c r="AG618">
        <f>VLOOKUP($E618,[1]Sheet1!$E$10:$X$629,AG$9,0)</f>
        <v>0</v>
      </c>
      <c r="AH618">
        <f>VLOOKUP($E618,[1]Sheet1!$E$10:$X$629,AH$9,0)</f>
        <v>0</v>
      </c>
      <c r="AJ618">
        <f t="shared" si="31"/>
        <v>144</v>
      </c>
      <c r="AK618">
        <f t="shared" si="32"/>
        <v>0</v>
      </c>
      <c r="AL618">
        <f t="shared" si="33"/>
        <v>144</v>
      </c>
    </row>
    <row r="619" spans="1:38" ht="39.6" x14ac:dyDescent="0.3">
      <c r="A619" s="4" t="s">
        <v>1822</v>
      </c>
      <c r="B619" s="5" t="s">
        <v>1823</v>
      </c>
      <c r="C619" s="21" t="s">
        <v>1824</v>
      </c>
      <c r="D619" s="20"/>
      <c r="E619" s="4">
        <v>1200807</v>
      </c>
      <c r="F619" s="4" t="s">
        <v>44</v>
      </c>
      <c r="G619" s="4" t="s">
        <v>45</v>
      </c>
      <c r="H619" s="4" t="s">
        <v>61</v>
      </c>
      <c r="I619" s="4" t="s">
        <v>57</v>
      </c>
      <c r="J619" s="4" t="s">
        <v>47</v>
      </c>
      <c r="K619" s="4">
        <v>10</v>
      </c>
      <c r="L619" s="4">
        <v>20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288</v>
      </c>
      <c r="S619" s="5">
        <v>288</v>
      </c>
      <c r="T619" s="5">
        <v>288</v>
      </c>
      <c r="U619" s="5">
        <v>144</v>
      </c>
      <c r="V619" s="5">
        <v>288</v>
      </c>
      <c r="W619" s="5">
        <v>432</v>
      </c>
      <c r="X619" s="5">
        <v>144</v>
      </c>
      <c r="Z619">
        <f>VLOOKUP(E619,Sheet2!$A$1:$A$39,1,0)</f>
        <v>1200807</v>
      </c>
      <c r="AA619">
        <f>VLOOKUP($E619,[1]Sheet1!$E$10:$X$629,AA$9,0)</f>
        <v>0</v>
      </c>
      <c r="AB619">
        <f>VLOOKUP($E619,[1]Sheet1!$E$10:$X$629,AB$9,0)</f>
        <v>0</v>
      </c>
      <c r="AC619">
        <f>VLOOKUP($E619,[1]Sheet1!$E$10:$X$629,AC$9,0)</f>
        <v>0</v>
      </c>
      <c r="AD619">
        <f>VLOOKUP($E619,[1]Sheet1!$E$10:$X$629,AD$9,0)</f>
        <v>0</v>
      </c>
      <c r="AE619">
        <f>VLOOKUP($E619,[1]Sheet1!$E$10:$X$629,AE$9,0)</f>
        <v>0</v>
      </c>
      <c r="AF619">
        <f>VLOOKUP($E619,[1]Sheet1!$E$10:$X$629,AF$9,0)</f>
        <v>0</v>
      </c>
      <c r="AG619">
        <f>VLOOKUP($E619,[1]Sheet1!$E$10:$X$629,AG$9,0)</f>
        <v>0</v>
      </c>
      <c r="AH619">
        <f>VLOOKUP($E619,[1]Sheet1!$E$10:$X$629,AH$9,0)</f>
        <v>0</v>
      </c>
      <c r="AJ619">
        <f t="shared" si="31"/>
        <v>864</v>
      </c>
      <c r="AK619">
        <f t="shared" si="32"/>
        <v>0</v>
      </c>
      <c r="AL619">
        <f t="shared" si="33"/>
        <v>864</v>
      </c>
    </row>
    <row r="620" spans="1:38" ht="39.6" x14ac:dyDescent="0.3">
      <c r="A620" s="4" t="s">
        <v>1825</v>
      </c>
      <c r="B620" s="5" t="s">
        <v>1826</v>
      </c>
      <c r="C620" s="21" t="s">
        <v>1827</v>
      </c>
      <c r="D620" s="20"/>
      <c r="E620" s="4">
        <v>1200810</v>
      </c>
      <c r="F620" s="4" t="s">
        <v>44</v>
      </c>
      <c r="G620" s="4" t="s">
        <v>45</v>
      </c>
      <c r="H620" s="4" t="s">
        <v>61</v>
      </c>
      <c r="I620" s="4" t="s">
        <v>57</v>
      </c>
      <c r="J620" s="4" t="s">
        <v>47</v>
      </c>
      <c r="K620" s="4">
        <v>10</v>
      </c>
      <c r="L620" s="4">
        <v>20</v>
      </c>
      <c r="M620" s="5">
        <v>144</v>
      </c>
      <c r="N620" s="5">
        <v>0</v>
      </c>
      <c r="O620" s="5">
        <v>0</v>
      </c>
      <c r="P620" s="5">
        <v>0</v>
      </c>
      <c r="Q620" s="5">
        <v>0</v>
      </c>
      <c r="R620" s="5">
        <v>288</v>
      </c>
      <c r="S620" s="5">
        <v>144</v>
      </c>
      <c r="T620" s="5">
        <v>288</v>
      </c>
      <c r="U620" s="5">
        <v>288</v>
      </c>
      <c r="V620" s="5">
        <v>144</v>
      </c>
      <c r="W620" s="5">
        <v>288</v>
      </c>
      <c r="X620" s="5">
        <v>288</v>
      </c>
      <c r="Z620">
        <f>VLOOKUP(E620,Sheet2!$A$1:$A$39,1,0)</f>
        <v>1200810</v>
      </c>
      <c r="AA620">
        <f>VLOOKUP($E620,[1]Sheet1!$E$10:$X$629,AA$9,0)</f>
        <v>0</v>
      </c>
      <c r="AB620">
        <f>VLOOKUP($E620,[1]Sheet1!$E$10:$X$629,AB$9,0)</f>
        <v>0</v>
      </c>
      <c r="AC620">
        <f>VLOOKUP($E620,[1]Sheet1!$E$10:$X$629,AC$9,0)</f>
        <v>0</v>
      </c>
      <c r="AD620">
        <f>VLOOKUP($E620,[1]Sheet1!$E$10:$X$629,AD$9,0)</f>
        <v>0</v>
      </c>
      <c r="AE620">
        <f>VLOOKUP($E620,[1]Sheet1!$E$10:$X$629,AE$9,0)</f>
        <v>0</v>
      </c>
      <c r="AF620">
        <f>VLOOKUP($E620,[1]Sheet1!$E$10:$X$629,AF$9,0)</f>
        <v>0</v>
      </c>
      <c r="AG620">
        <f>VLOOKUP($E620,[1]Sheet1!$E$10:$X$629,AG$9,0)</f>
        <v>0</v>
      </c>
      <c r="AH620">
        <f>VLOOKUP($E620,[1]Sheet1!$E$10:$X$629,AH$9,0)</f>
        <v>0</v>
      </c>
      <c r="AJ620">
        <f t="shared" si="31"/>
        <v>864</v>
      </c>
      <c r="AK620">
        <f t="shared" si="32"/>
        <v>0</v>
      </c>
      <c r="AL620">
        <f t="shared" si="33"/>
        <v>864</v>
      </c>
    </row>
    <row r="621" spans="1:38" ht="39.6" x14ac:dyDescent="0.3">
      <c r="A621" s="4" t="s">
        <v>1828</v>
      </c>
      <c r="B621" s="5" t="s">
        <v>1829</v>
      </c>
      <c r="C621" s="21" t="s">
        <v>1830</v>
      </c>
      <c r="D621" s="20"/>
      <c r="E621" s="4">
        <v>1200798</v>
      </c>
      <c r="F621" s="4" t="s">
        <v>44</v>
      </c>
      <c r="G621" s="4" t="s">
        <v>45</v>
      </c>
      <c r="H621" s="4"/>
      <c r="I621" s="4" t="s">
        <v>57</v>
      </c>
      <c r="J621" s="4" t="s">
        <v>47</v>
      </c>
      <c r="K621" s="4">
        <v>12</v>
      </c>
      <c r="L621" s="4">
        <v>20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Z621">
        <f>VLOOKUP(E621,Sheet2!$A$1:$A$39,1,0)</f>
        <v>1200798</v>
      </c>
      <c r="AA621">
        <f>VLOOKUP($E621,[1]Sheet1!$E$10:$X$629,AA$9,0)</f>
        <v>0</v>
      </c>
      <c r="AB621">
        <f>VLOOKUP($E621,[1]Sheet1!$E$10:$X$629,AB$9,0)</f>
        <v>0</v>
      </c>
      <c r="AC621">
        <f>VLOOKUP($E621,[1]Sheet1!$E$10:$X$629,AC$9,0)</f>
        <v>0</v>
      </c>
      <c r="AD621">
        <f>VLOOKUP($E621,[1]Sheet1!$E$10:$X$629,AD$9,0)</f>
        <v>0</v>
      </c>
      <c r="AE621">
        <f>VLOOKUP($E621,[1]Sheet1!$E$10:$X$629,AE$9,0)</f>
        <v>0</v>
      </c>
      <c r="AF621">
        <f>VLOOKUP($E621,[1]Sheet1!$E$10:$X$629,AF$9,0)</f>
        <v>0</v>
      </c>
      <c r="AG621">
        <f>VLOOKUP($E621,[1]Sheet1!$E$10:$X$629,AG$9,0)</f>
        <v>0</v>
      </c>
      <c r="AH621">
        <f>VLOOKUP($E621,[1]Sheet1!$E$10:$X$629,AH$9,0)</f>
        <v>0</v>
      </c>
      <c r="AJ621">
        <f t="shared" si="31"/>
        <v>0</v>
      </c>
      <c r="AK621">
        <f t="shared" si="32"/>
        <v>0</v>
      </c>
      <c r="AL621">
        <f t="shared" si="33"/>
        <v>0</v>
      </c>
    </row>
    <row r="622" spans="1:38" ht="39.6" x14ac:dyDescent="0.3">
      <c r="A622" s="4" t="s">
        <v>1831</v>
      </c>
      <c r="B622" s="5" t="s">
        <v>1832</v>
      </c>
      <c r="C622" s="21" t="s">
        <v>1833</v>
      </c>
      <c r="D622" s="20"/>
      <c r="E622" s="4">
        <v>1200804</v>
      </c>
      <c r="F622" s="4" t="s">
        <v>44</v>
      </c>
      <c r="G622" s="4" t="s">
        <v>45</v>
      </c>
      <c r="H622" s="4" t="s">
        <v>61</v>
      </c>
      <c r="I622" s="4" t="s">
        <v>57</v>
      </c>
      <c r="J622" s="4" t="s">
        <v>47</v>
      </c>
      <c r="K622" s="4">
        <v>10</v>
      </c>
      <c r="L622" s="4">
        <v>20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144</v>
      </c>
      <c r="V622" s="5">
        <v>144</v>
      </c>
      <c r="W622" s="5">
        <v>288</v>
      </c>
      <c r="X622" s="5">
        <v>144</v>
      </c>
      <c r="Z622">
        <f>VLOOKUP(E622,Sheet2!$A$1:$A$39,1,0)</f>
        <v>1200804</v>
      </c>
      <c r="AA622">
        <f>VLOOKUP($E622,[1]Sheet1!$E$10:$X$629,AA$9,0)</f>
        <v>0</v>
      </c>
      <c r="AB622">
        <f>VLOOKUP($E622,[1]Sheet1!$E$10:$X$629,AB$9,0)</f>
        <v>0</v>
      </c>
      <c r="AC622">
        <f>VLOOKUP($E622,[1]Sheet1!$E$10:$X$629,AC$9,0)</f>
        <v>0</v>
      </c>
      <c r="AD622">
        <f>VLOOKUP($E622,[1]Sheet1!$E$10:$X$629,AD$9,0)</f>
        <v>0</v>
      </c>
      <c r="AE622">
        <f>VLOOKUP($E622,[1]Sheet1!$E$10:$X$629,AE$9,0)</f>
        <v>0</v>
      </c>
      <c r="AF622">
        <f>VLOOKUP($E622,[1]Sheet1!$E$10:$X$629,AF$9,0)</f>
        <v>0</v>
      </c>
      <c r="AG622">
        <f>VLOOKUP($E622,[1]Sheet1!$E$10:$X$629,AG$9,0)</f>
        <v>0</v>
      </c>
      <c r="AH622">
        <f>VLOOKUP($E622,[1]Sheet1!$E$10:$X$629,AH$9,0)</f>
        <v>0</v>
      </c>
      <c r="AJ622">
        <f t="shared" si="31"/>
        <v>0</v>
      </c>
      <c r="AK622">
        <f t="shared" si="32"/>
        <v>0</v>
      </c>
      <c r="AL622">
        <f t="shared" si="33"/>
        <v>0</v>
      </c>
    </row>
    <row r="623" spans="1:38" ht="39.6" x14ac:dyDescent="0.3">
      <c r="A623" s="4" t="s">
        <v>1834</v>
      </c>
      <c r="B623" s="5" t="s">
        <v>1835</v>
      </c>
      <c r="C623" s="21" t="s">
        <v>1836</v>
      </c>
      <c r="D623" s="20"/>
      <c r="E623" s="4">
        <v>1200803</v>
      </c>
      <c r="F623" s="4" t="s">
        <v>44</v>
      </c>
      <c r="G623" s="4" t="s">
        <v>45</v>
      </c>
      <c r="H623" s="4" t="s">
        <v>61</v>
      </c>
      <c r="I623" s="4" t="s">
        <v>57</v>
      </c>
      <c r="J623" s="4" t="s">
        <v>47</v>
      </c>
      <c r="K623" s="4">
        <v>10</v>
      </c>
      <c r="L623" s="4">
        <v>20</v>
      </c>
      <c r="M623" s="5">
        <v>0</v>
      </c>
      <c r="N623" s="5">
        <v>0</v>
      </c>
      <c r="O623" s="5">
        <v>0</v>
      </c>
      <c r="P623" s="5">
        <v>144</v>
      </c>
      <c r="Q623" s="5">
        <v>144</v>
      </c>
      <c r="R623" s="5">
        <v>144</v>
      </c>
      <c r="S623" s="5">
        <v>0</v>
      </c>
      <c r="T623" s="5">
        <v>288</v>
      </c>
      <c r="U623" s="5">
        <v>288</v>
      </c>
      <c r="V623" s="5">
        <v>432</v>
      </c>
      <c r="W623" s="5">
        <v>0</v>
      </c>
      <c r="X623" s="5">
        <v>432</v>
      </c>
      <c r="Z623">
        <f>VLOOKUP(E623,Sheet2!$A$1:$A$39,1,0)</f>
        <v>1200803</v>
      </c>
      <c r="AA623">
        <f>VLOOKUP($E623,[1]Sheet1!$E$10:$X$629,AA$9,0)</f>
        <v>0</v>
      </c>
      <c r="AB623">
        <f>VLOOKUP($E623,[1]Sheet1!$E$10:$X$629,AB$9,0)</f>
        <v>0</v>
      </c>
      <c r="AC623">
        <f>VLOOKUP($E623,[1]Sheet1!$E$10:$X$629,AC$9,0)</f>
        <v>0</v>
      </c>
      <c r="AD623">
        <f>VLOOKUP($E623,[1]Sheet1!$E$10:$X$629,AD$9,0)</f>
        <v>0</v>
      </c>
      <c r="AE623">
        <f>VLOOKUP($E623,[1]Sheet1!$E$10:$X$629,AE$9,0)</f>
        <v>0</v>
      </c>
      <c r="AF623">
        <f>VLOOKUP($E623,[1]Sheet1!$E$10:$X$629,AF$9,0)</f>
        <v>0</v>
      </c>
      <c r="AG623">
        <f>VLOOKUP($E623,[1]Sheet1!$E$10:$X$629,AG$9,0)</f>
        <v>0</v>
      </c>
      <c r="AH623">
        <f>VLOOKUP($E623,[1]Sheet1!$E$10:$X$629,AH$9,0)</f>
        <v>0</v>
      </c>
      <c r="AJ623">
        <f t="shared" si="31"/>
        <v>720</v>
      </c>
      <c r="AK623">
        <f t="shared" si="32"/>
        <v>0</v>
      </c>
      <c r="AL623">
        <f t="shared" si="33"/>
        <v>720</v>
      </c>
    </row>
    <row r="624" spans="1:38" ht="39.6" x14ac:dyDescent="0.3">
      <c r="A624" s="4" t="s">
        <v>1837</v>
      </c>
      <c r="B624" s="5" t="s">
        <v>1838</v>
      </c>
      <c r="C624" s="21" t="s">
        <v>1839</v>
      </c>
      <c r="D624" s="20"/>
      <c r="E624" s="4">
        <v>1200797</v>
      </c>
      <c r="F624" s="4" t="s">
        <v>44</v>
      </c>
      <c r="G624" s="4" t="s">
        <v>45</v>
      </c>
      <c r="H624" s="4"/>
      <c r="I624" s="4" t="s">
        <v>57</v>
      </c>
      <c r="J624" s="4" t="s">
        <v>47</v>
      </c>
      <c r="K624" s="4">
        <v>12</v>
      </c>
      <c r="L624" s="4">
        <v>20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Z624">
        <f>VLOOKUP(E624,Sheet2!$A$1:$A$39,1,0)</f>
        <v>1200797</v>
      </c>
      <c r="AA624">
        <f>VLOOKUP($E624,[1]Sheet1!$E$10:$X$629,AA$9,0)</f>
        <v>0</v>
      </c>
      <c r="AB624">
        <f>VLOOKUP($E624,[1]Sheet1!$E$10:$X$629,AB$9,0)</f>
        <v>0</v>
      </c>
      <c r="AC624">
        <f>VLOOKUP($E624,[1]Sheet1!$E$10:$X$629,AC$9,0)</f>
        <v>0</v>
      </c>
      <c r="AD624">
        <f>VLOOKUP($E624,[1]Sheet1!$E$10:$X$629,AD$9,0)</f>
        <v>0</v>
      </c>
      <c r="AE624">
        <f>VLOOKUP($E624,[1]Sheet1!$E$10:$X$629,AE$9,0)</f>
        <v>0</v>
      </c>
      <c r="AF624">
        <f>VLOOKUP($E624,[1]Sheet1!$E$10:$X$629,AF$9,0)</f>
        <v>0</v>
      </c>
      <c r="AG624">
        <f>VLOOKUP($E624,[1]Sheet1!$E$10:$X$629,AG$9,0)</f>
        <v>0</v>
      </c>
      <c r="AH624">
        <f>VLOOKUP($E624,[1]Sheet1!$E$10:$X$629,AH$9,0)</f>
        <v>0</v>
      </c>
      <c r="AJ624">
        <f t="shared" si="31"/>
        <v>0</v>
      </c>
      <c r="AK624">
        <f t="shared" si="32"/>
        <v>0</v>
      </c>
      <c r="AL624">
        <f t="shared" si="33"/>
        <v>0</v>
      </c>
    </row>
    <row r="625" spans="1:46" ht="39.6" x14ac:dyDescent="0.3">
      <c r="A625" s="4" t="s">
        <v>1840</v>
      </c>
      <c r="B625" s="5" t="s">
        <v>1841</v>
      </c>
      <c r="C625" s="21" t="s">
        <v>1842</v>
      </c>
      <c r="D625" s="20"/>
      <c r="E625" s="4">
        <v>1200800</v>
      </c>
      <c r="F625" s="4" t="s">
        <v>44</v>
      </c>
      <c r="G625" s="4" t="s">
        <v>45</v>
      </c>
      <c r="H625" s="4" t="s">
        <v>61</v>
      </c>
      <c r="I625" s="4" t="s">
        <v>57</v>
      </c>
      <c r="J625" s="4" t="s">
        <v>47</v>
      </c>
      <c r="K625" s="4">
        <v>10</v>
      </c>
      <c r="L625" s="4">
        <v>20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Z625">
        <f>VLOOKUP(E625,Sheet2!$A$1:$A$39,1,0)</f>
        <v>1200800</v>
      </c>
      <c r="AA625">
        <f>VLOOKUP($E625,[1]Sheet1!$E$10:$X$629,AA$9,0)</f>
        <v>0</v>
      </c>
      <c r="AB625">
        <f>VLOOKUP($E625,[1]Sheet1!$E$10:$X$629,AB$9,0)</f>
        <v>0</v>
      </c>
      <c r="AC625">
        <f>VLOOKUP($E625,[1]Sheet1!$E$10:$X$629,AC$9,0)</f>
        <v>0</v>
      </c>
      <c r="AD625">
        <f>VLOOKUP($E625,[1]Sheet1!$E$10:$X$629,AD$9,0)</f>
        <v>0</v>
      </c>
      <c r="AE625">
        <f>VLOOKUP($E625,[1]Sheet1!$E$10:$X$629,AE$9,0)</f>
        <v>0</v>
      </c>
      <c r="AF625">
        <f>VLOOKUP($E625,[1]Sheet1!$E$10:$X$629,AF$9,0)</f>
        <v>0</v>
      </c>
      <c r="AG625">
        <f>VLOOKUP($E625,[1]Sheet1!$E$10:$X$629,AG$9,0)</f>
        <v>0</v>
      </c>
      <c r="AH625">
        <f>VLOOKUP($E625,[1]Sheet1!$E$10:$X$629,AH$9,0)</f>
        <v>0</v>
      </c>
      <c r="AJ625">
        <f t="shared" si="31"/>
        <v>0</v>
      </c>
      <c r="AK625">
        <f t="shared" si="32"/>
        <v>0</v>
      </c>
      <c r="AL625">
        <f t="shared" si="33"/>
        <v>0</v>
      </c>
    </row>
    <row r="626" spans="1:46" ht="39.6" x14ac:dyDescent="0.3">
      <c r="A626" s="4" t="s">
        <v>1843</v>
      </c>
      <c r="B626" s="5" t="s">
        <v>1844</v>
      </c>
      <c r="C626" s="21" t="s">
        <v>1845</v>
      </c>
      <c r="D626" s="20"/>
      <c r="E626" s="4">
        <v>1200799</v>
      </c>
      <c r="F626" s="4" t="s">
        <v>44</v>
      </c>
      <c r="G626" s="4" t="s">
        <v>45</v>
      </c>
      <c r="H626" s="4" t="s">
        <v>61</v>
      </c>
      <c r="I626" s="4" t="s">
        <v>57</v>
      </c>
      <c r="J626" s="4" t="s">
        <v>47</v>
      </c>
      <c r="K626" s="4">
        <v>10</v>
      </c>
      <c r="L626" s="4">
        <v>20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Z626">
        <f>VLOOKUP(E626,Sheet2!$A$1:$A$39,1,0)</f>
        <v>1200799</v>
      </c>
      <c r="AA626">
        <f>VLOOKUP($E626,[1]Sheet1!$E$10:$X$629,AA$9,0)</f>
        <v>0</v>
      </c>
      <c r="AB626">
        <f>VLOOKUP($E626,[1]Sheet1!$E$10:$X$629,AB$9,0)</f>
        <v>0</v>
      </c>
      <c r="AC626">
        <f>VLOOKUP($E626,[1]Sheet1!$E$10:$X$629,AC$9,0)</f>
        <v>0</v>
      </c>
      <c r="AD626">
        <f>VLOOKUP($E626,[1]Sheet1!$E$10:$X$629,AD$9,0)</f>
        <v>0</v>
      </c>
      <c r="AE626">
        <f>VLOOKUP($E626,[1]Sheet1!$E$10:$X$629,AE$9,0)</f>
        <v>0</v>
      </c>
      <c r="AF626">
        <f>VLOOKUP($E626,[1]Sheet1!$E$10:$X$629,AF$9,0)</f>
        <v>0</v>
      </c>
      <c r="AG626">
        <f>VLOOKUP($E626,[1]Sheet1!$E$10:$X$629,AG$9,0)</f>
        <v>0</v>
      </c>
      <c r="AH626">
        <f>VLOOKUP($E626,[1]Sheet1!$E$10:$X$629,AH$9,0)</f>
        <v>0</v>
      </c>
      <c r="AJ626">
        <f t="shared" si="31"/>
        <v>0</v>
      </c>
      <c r="AK626">
        <f t="shared" si="32"/>
        <v>0</v>
      </c>
      <c r="AL626">
        <f t="shared" si="33"/>
        <v>0</v>
      </c>
    </row>
    <row r="627" spans="1:46" ht="39.6" x14ac:dyDescent="0.3">
      <c r="A627" s="4" t="s">
        <v>1846</v>
      </c>
      <c r="B627" s="5" t="s">
        <v>1847</v>
      </c>
      <c r="C627" s="21" t="s">
        <v>1848</v>
      </c>
      <c r="D627" s="20"/>
      <c r="E627" s="4">
        <v>1200801</v>
      </c>
      <c r="F627" s="4" t="s">
        <v>44</v>
      </c>
      <c r="G627" s="4" t="s">
        <v>45</v>
      </c>
      <c r="H627" s="4" t="s">
        <v>61</v>
      </c>
      <c r="I627" s="4" t="s">
        <v>57</v>
      </c>
      <c r="J627" s="4" t="s">
        <v>47</v>
      </c>
      <c r="K627" s="4">
        <v>10</v>
      </c>
      <c r="L627" s="4">
        <v>20</v>
      </c>
      <c r="M627" s="5">
        <v>0</v>
      </c>
      <c r="N627" s="5">
        <v>0</v>
      </c>
      <c r="O627" s="5">
        <v>0</v>
      </c>
      <c r="P627" s="5">
        <v>144</v>
      </c>
      <c r="Q627" s="5">
        <v>144</v>
      </c>
      <c r="R627" s="5">
        <v>144</v>
      </c>
      <c r="S627" s="5">
        <v>0</v>
      </c>
      <c r="T627" s="5">
        <v>288</v>
      </c>
      <c r="U627" s="5">
        <v>144</v>
      </c>
      <c r="V627" s="5">
        <v>432</v>
      </c>
      <c r="W627" s="5">
        <v>288</v>
      </c>
      <c r="X627" s="5">
        <v>288</v>
      </c>
      <c r="Z627">
        <f>VLOOKUP(E627,Sheet2!$A$1:$A$39,1,0)</f>
        <v>1200801</v>
      </c>
      <c r="AA627">
        <f>VLOOKUP($E627,[1]Sheet1!$E$10:$X$629,AA$9,0)</f>
        <v>0</v>
      </c>
      <c r="AB627">
        <f>VLOOKUP($E627,[1]Sheet1!$E$10:$X$629,AB$9,0)</f>
        <v>0</v>
      </c>
      <c r="AC627">
        <f>VLOOKUP($E627,[1]Sheet1!$E$10:$X$629,AC$9,0)</f>
        <v>0</v>
      </c>
      <c r="AD627">
        <f>VLOOKUP($E627,[1]Sheet1!$E$10:$X$629,AD$9,0)</f>
        <v>0</v>
      </c>
      <c r="AE627">
        <f>VLOOKUP($E627,[1]Sheet1!$E$10:$X$629,AE$9,0)</f>
        <v>0</v>
      </c>
      <c r="AF627">
        <f>VLOOKUP($E627,[1]Sheet1!$E$10:$X$629,AF$9,0)</f>
        <v>0</v>
      </c>
      <c r="AG627">
        <f>VLOOKUP($E627,[1]Sheet1!$E$10:$X$629,AG$9,0)</f>
        <v>0</v>
      </c>
      <c r="AH627">
        <f>VLOOKUP($E627,[1]Sheet1!$E$10:$X$629,AH$9,0)</f>
        <v>0</v>
      </c>
      <c r="AJ627">
        <f t="shared" si="31"/>
        <v>720</v>
      </c>
      <c r="AK627">
        <f t="shared" si="32"/>
        <v>0</v>
      </c>
      <c r="AL627">
        <f t="shared" si="33"/>
        <v>720</v>
      </c>
    </row>
    <row r="628" spans="1:46" ht="39.6" x14ac:dyDescent="0.3">
      <c r="A628" s="4" t="s">
        <v>1849</v>
      </c>
      <c r="B628" s="5" t="s">
        <v>1850</v>
      </c>
      <c r="C628" s="21" t="s">
        <v>1851</v>
      </c>
      <c r="D628" s="20"/>
      <c r="E628" s="4">
        <v>1200802</v>
      </c>
      <c r="F628" s="4" t="s">
        <v>44</v>
      </c>
      <c r="G628" s="4" t="s">
        <v>45</v>
      </c>
      <c r="H628" s="4" t="s">
        <v>61</v>
      </c>
      <c r="I628" s="4" t="s">
        <v>57</v>
      </c>
      <c r="J628" s="4" t="s">
        <v>47</v>
      </c>
      <c r="K628" s="4">
        <v>10</v>
      </c>
      <c r="L628" s="4">
        <v>20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144</v>
      </c>
      <c r="V628" s="5">
        <v>0</v>
      </c>
      <c r="W628" s="5">
        <v>144</v>
      </c>
      <c r="X628" s="5">
        <v>144</v>
      </c>
      <c r="Z628">
        <f>VLOOKUP(E628,Sheet2!$A$1:$A$39,1,0)</f>
        <v>1200802</v>
      </c>
      <c r="AA628">
        <f>VLOOKUP($E628,[1]Sheet1!$E$10:$X$629,AA$9,0)</f>
        <v>0</v>
      </c>
      <c r="AB628">
        <f>VLOOKUP($E628,[1]Sheet1!$E$10:$X$629,AB$9,0)</f>
        <v>0</v>
      </c>
      <c r="AC628">
        <f>VLOOKUP($E628,[1]Sheet1!$E$10:$X$629,AC$9,0)</f>
        <v>0</v>
      </c>
      <c r="AD628">
        <f>VLOOKUP($E628,[1]Sheet1!$E$10:$X$629,AD$9,0)</f>
        <v>0</v>
      </c>
      <c r="AE628">
        <f>VLOOKUP($E628,[1]Sheet1!$E$10:$X$629,AE$9,0)</f>
        <v>0</v>
      </c>
      <c r="AF628">
        <f>VLOOKUP($E628,[1]Sheet1!$E$10:$X$629,AF$9,0)</f>
        <v>0</v>
      </c>
      <c r="AG628">
        <f>VLOOKUP($E628,[1]Sheet1!$E$10:$X$629,AG$9,0)</f>
        <v>0</v>
      </c>
      <c r="AH628">
        <f>VLOOKUP($E628,[1]Sheet1!$E$10:$X$629,AH$9,0)</f>
        <v>0</v>
      </c>
      <c r="AJ628">
        <f t="shared" si="31"/>
        <v>0</v>
      </c>
      <c r="AK628">
        <f t="shared" si="32"/>
        <v>0</v>
      </c>
      <c r="AL628">
        <f t="shared" si="33"/>
        <v>0</v>
      </c>
    </row>
    <row r="629" spans="1:46" ht="39.6" x14ac:dyDescent="0.3">
      <c r="A629" s="4" t="s">
        <v>1852</v>
      </c>
      <c r="B629" s="5" t="s">
        <v>1853</v>
      </c>
      <c r="C629" s="21" t="s">
        <v>1854</v>
      </c>
      <c r="D629" s="20"/>
      <c r="E629" s="4">
        <v>1200891</v>
      </c>
      <c r="F629" s="4" t="s">
        <v>44</v>
      </c>
      <c r="G629" s="4" t="s">
        <v>45</v>
      </c>
      <c r="H629" s="4" t="s">
        <v>56</v>
      </c>
      <c r="I629" s="4" t="s">
        <v>57</v>
      </c>
      <c r="J629" s="4" t="s">
        <v>47</v>
      </c>
      <c r="K629" s="4">
        <v>3</v>
      </c>
      <c r="L629" s="4">
        <v>6</v>
      </c>
      <c r="M629" s="5">
        <v>288</v>
      </c>
      <c r="N629" s="5">
        <v>864</v>
      </c>
      <c r="O629" s="5">
        <v>432</v>
      </c>
      <c r="P629" s="5">
        <v>576</v>
      </c>
      <c r="Q629" s="5">
        <v>720</v>
      </c>
      <c r="R629" s="5">
        <v>1152</v>
      </c>
      <c r="S629" s="5">
        <v>720</v>
      </c>
      <c r="T629" s="5">
        <v>720</v>
      </c>
      <c r="U629" s="5">
        <v>864</v>
      </c>
      <c r="V629" s="5">
        <v>1152</v>
      </c>
      <c r="W629" s="5">
        <v>1008</v>
      </c>
      <c r="X629" s="5">
        <v>864</v>
      </c>
      <c r="Z629">
        <f>VLOOKUP(E629,Sheet2!$A$1:$A$39,1,0)</f>
        <v>1200891</v>
      </c>
      <c r="AA629">
        <f>VLOOKUP($E629,[1]Sheet1!$E$10:$X$629,AA$9,0)</f>
        <v>0</v>
      </c>
      <c r="AB629">
        <f>VLOOKUP($E629,[1]Sheet1!$E$10:$X$629,AB$9,0)</f>
        <v>0</v>
      </c>
      <c r="AC629">
        <f>VLOOKUP($E629,[1]Sheet1!$E$10:$X$629,AC$9,0)</f>
        <v>0</v>
      </c>
      <c r="AD629">
        <f>VLOOKUP($E629,[1]Sheet1!$E$10:$X$629,AD$9,0)</f>
        <v>0</v>
      </c>
      <c r="AE629">
        <f>VLOOKUP($E629,[1]Sheet1!$E$10:$X$629,AE$9,0)</f>
        <v>0</v>
      </c>
      <c r="AF629">
        <f>VLOOKUP($E629,[1]Sheet1!$E$10:$X$629,AF$9,0)</f>
        <v>0</v>
      </c>
      <c r="AG629">
        <f>VLOOKUP($E629,[1]Sheet1!$E$10:$X$629,AG$9,0)</f>
        <v>0</v>
      </c>
      <c r="AH629">
        <f>VLOOKUP($E629,[1]Sheet1!$E$10:$X$629,AH$9,0)</f>
        <v>0</v>
      </c>
      <c r="AJ629">
        <f t="shared" si="31"/>
        <v>5472</v>
      </c>
      <c r="AK629">
        <f t="shared" si="32"/>
        <v>0</v>
      </c>
      <c r="AL629">
        <f t="shared" si="33"/>
        <v>5472</v>
      </c>
    </row>
    <row r="630" spans="1:46" ht="39.6" x14ac:dyDescent="0.3">
      <c r="A630" s="4" t="s">
        <v>1855</v>
      </c>
      <c r="B630" s="5" t="s">
        <v>1856</v>
      </c>
      <c r="C630" s="21" t="s">
        <v>1857</v>
      </c>
      <c r="D630" s="20"/>
      <c r="E630" s="4">
        <v>1200841</v>
      </c>
      <c r="F630" s="4" t="s">
        <v>44</v>
      </c>
      <c r="G630" s="4" t="s">
        <v>45</v>
      </c>
      <c r="H630" s="4" t="s">
        <v>56</v>
      </c>
      <c r="I630" s="4" t="s">
        <v>57</v>
      </c>
      <c r="J630" s="4" t="s">
        <v>47</v>
      </c>
      <c r="K630" s="4">
        <v>6.5</v>
      </c>
      <c r="L630" s="4">
        <v>13</v>
      </c>
      <c r="M630" s="5">
        <v>144</v>
      </c>
      <c r="N630" s="5">
        <v>288</v>
      </c>
      <c r="O630" s="5">
        <v>288</v>
      </c>
      <c r="P630" s="5">
        <v>288</v>
      </c>
      <c r="Q630" s="5">
        <v>432</v>
      </c>
      <c r="R630" s="5">
        <v>576</v>
      </c>
      <c r="S630" s="5">
        <v>576</v>
      </c>
      <c r="T630" s="5">
        <v>720</v>
      </c>
      <c r="U630" s="5">
        <v>576</v>
      </c>
      <c r="V630" s="5">
        <v>1296</v>
      </c>
      <c r="W630" s="5">
        <v>576</v>
      </c>
      <c r="X630" s="5">
        <v>864</v>
      </c>
      <c r="Z630">
        <f>VLOOKUP(E630,Sheet2!$A$1:$A$39,1,0)</f>
        <v>1200841</v>
      </c>
      <c r="AA630" t="e">
        <f>VLOOKUP($E630,[1]Sheet1!$E$10:$X$629,AA$9,0)</f>
        <v>#N/A</v>
      </c>
      <c r="AB630" t="e">
        <f>VLOOKUP($E630,[1]Sheet1!$E$10:$X$629,AB$9,0)</f>
        <v>#N/A</v>
      </c>
      <c r="AC630" t="e">
        <f>VLOOKUP($E630,[1]Sheet1!$E$10:$X$629,AC$9,0)</f>
        <v>#N/A</v>
      </c>
      <c r="AD630" t="e">
        <f>VLOOKUP($E630,[1]Sheet1!$E$10:$X$629,AD$9,0)</f>
        <v>#N/A</v>
      </c>
      <c r="AE630" t="e">
        <f>VLOOKUP($E630,[1]Sheet1!$E$10:$X$629,AE$9,0)</f>
        <v>#N/A</v>
      </c>
      <c r="AF630" t="e">
        <f>VLOOKUP($E630,[1]Sheet1!$E$10:$X$629,AF$9,0)</f>
        <v>#N/A</v>
      </c>
      <c r="AG630" t="e">
        <f>VLOOKUP($E630,[1]Sheet1!$E$10:$X$629,AG$9,0)</f>
        <v>#N/A</v>
      </c>
      <c r="AH630" t="e">
        <f>VLOOKUP($E630,[1]Sheet1!$E$10:$X$629,AH$9,0)</f>
        <v>#N/A</v>
      </c>
      <c r="AJ630">
        <f t="shared" si="31"/>
        <v>3312</v>
      </c>
      <c r="AK630" t="e">
        <f t="shared" si="32"/>
        <v>#N/A</v>
      </c>
      <c r="AL630">
        <f t="shared" si="33"/>
        <v>0</v>
      </c>
    </row>
    <row r="631" spans="1:46" ht="39.6" x14ac:dyDescent="0.3">
      <c r="A631" s="4" t="s">
        <v>1858</v>
      </c>
      <c r="B631" s="5" t="s">
        <v>1859</v>
      </c>
      <c r="C631" s="21" t="s">
        <v>1860</v>
      </c>
      <c r="D631" s="20"/>
      <c r="E631" s="4">
        <v>1200766</v>
      </c>
      <c r="F631" s="4" t="s">
        <v>44</v>
      </c>
      <c r="G631" s="4" t="s">
        <v>45</v>
      </c>
      <c r="H631" s="4"/>
      <c r="I631" s="4" t="s">
        <v>57</v>
      </c>
      <c r="J631" s="4" t="s">
        <v>47</v>
      </c>
      <c r="K631" s="4">
        <v>10</v>
      </c>
      <c r="L631" s="4">
        <v>20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Z631" t="e">
        <f>VLOOKUP(E631,Sheet2!$A$1:$A$39,1,0)</f>
        <v>#N/A</v>
      </c>
      <c r="AA631" t="e">
        <f>VLOOKUP($E631,[1]Sheet1!$E$10:$X$629,AA$9,0)</f>
        <v>#N/A</v>
      </c>
      <c r="AB631" t="e">
        <f>VLOOKUP($E631,[1]Sheet1!$E$10:$X$629,AB$9,0)</f>
        <v>#N/A</v>
      </c>
      <c r="AC631" t="e">
        <f>VLOOKUP($E631,[1]Sheet1!$E$10:$X$629,AC$9,0)</f>
        <v>#N/A</v>
      </c>
      <c r="AD631" t="e">
        <f>VLOOKUP($E631,[1]Sheet1!$E$10:$X$629,AD$9,0)</f>
        <v>#N/A</v>
      </c>
      <c r="AE631" t="e">
        <f>VLOOKUP($E631,[1]Sheet1!$E$10:$X$629,AE$9,0)</f>
        <v>#N/A</v>
      </c>
      <c r="AF631" t="e">
        <f>VLOOKUP($E631,[1]Sheet1!$E$10:$X$629,AF$9,0)</f>
        <v>#N/A</v>
      </c>
      <c r="AG631" t="e">
        <f>VLOOKUP($E631,[1]Sheet1!$E$10:$X$629,AG$9,0)</f>
        <v>#N/A</v>
      </c>
      <c r="AH631" t="e">
        <f>VLOOKUP($E631,[1]Sheet1!$E$10:$X$629,AH$9,0)</f>
        <v>#N/A</v>
      </c>
      <c r="AJ631">
        <f t="shared" si="31"/>
        <v>0</v>
      </c>
      <c r="AK631" t="e">
        <f t="shared" si="32"/>
        <v>#N/A</v>
      </c>
      <c r="AL631">
        <f t="shared" si="33"/>
        <v>0</v>
      </c>
    </row>
    <row r="632" spans="1:46" ht="39.6" x14ac:dyDescent="0.3">
      <c r="A632" s="4" t="s">
        <v>1861</v>
      </c>
      <c r="B632" s="5" t="s">
        <v>1862</v>
      </c>
      <c r="C632" s="21" t="s">
        <v>1863</v>
      </c>
      <c r="D632" s="20"/>
      <c r="E632" s="4">
        <v>1201032</v>
      </c>
      <c r="F632" s="4" t="s">
        <v>44</v>
      </c>
      <c r="G632" s="4" t="s">
        <v>45</v>
      </c>
      <c r="H632" s="4"/>
      <c r="I632" s="4" t="s">
        <v>57</v>
      </c>
      <c r="J632" s="4" t="s">
        <v>47</v>
      </c>
      <c r="K632" s="4">
        <v>12.5</v>
      </c>
      <c r="L632" s="4">
        <v>25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Z632" t="e">
        <f>VLOOKUP(E632,Sheet2!$A$1:$A$39,1,0)</f>
        <v>#N/A</v>
      </c>
      <c r="AA632" t="e">
        <f>VLOOKUP($E632,[1]Sheet1!$E$10:$X$629,AA$9,0)</f>
        <v>#N/A</v>
      </c>
      <c r="AB632" t="e">
        <f>VLOOKUP($E632,[1]Sheet1!$E$10:$X$629,AB$9,0)</f>
        <v>#N/A</v>
      </c>
      <c r="AC632" t="e">
        <f>VLOOKUP($E632,[1]Sheet1!$E$10:$X$629,AC$9,0)</f>
        <v>#N/A</v>
      </c>
      <c r="AD632" t="e">
        <f>VLOOKUP($E632,[1]Sheet1!$E$10:$X$629,AD$9,0)</f>
        <v>#N/A</v>
      </c>
      <c r="AE632" t="e">
        <f>VLOOKUP($E632,[1]Sheet1!$E$10:$X$629,AE$9,0)</f>
        <v>#N/A</v>
      </c>
      <c r="AF632" t="e">
        <f>VLOOKUP($E632,[1]Sheet1!$E$10:$X$629,AF$9,0)</f>
        <v>#N/A</v>
      </c>
      <c r="AG632" t="e">
        <f>VLOOKUP($E632,[1]Sheet1!$E$10:$X$629,AG$9,0)</f>
        <v>#N/A</v>
      </c>
      <c r="AH632" t="e">
        <f>VLOOKUP($E632,[1]Sheet1!$E$10:$X$629,AH$9,0)</f>
        <v>#N/A</v>
      </c>
      <c r="AJ632">
        <f t="shared" si="31"/>
        <v>0</v>
      </c>
      <c r="AK632" t="e">
        <f t="shared" si="32"/>
        <v>#N/A</v>
      </c>
      <c r="AL632">
        <f t="shared" si="33"/>
        <v>0</v>
      </c>
    </row>
    <row r="633" spans="1:46" ht="39.6" x14ac:dyDescent="0.3">
      <c r="A633" s="4" t="s">
        <v>1864</v>
      </c>
      <c r="B633" s="5" t="s">
        <v>1865</v>
      </c>
      <c r="C633" s="21" t="s">
        <v>1866</v>
      </c>
      <c r="D633" s="20"/>
      <c r="E633" s="4">
        <v>1201005</v>
      </c>
      <c r="F633" s="4" t="s">
        <v>44</v>
      </c>
      <c r="G633" s="4" t="s">
        <v>45</v>
      </c>
      <c r="H633" s="4"/>
      <c r="I633" s="4" t="s">
        <v>57</v>
      </c>
      <c r="J633" s="4" t="s">
        <v>47</v>
      </c>
      <c r="K633" s="4">
        <v>10</v>
      </c>
      <c r="L633" s="4">
        <v>20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Z633" t="e">
        <f>VLOOKUP(E633,Sheet2!$A$1:$A$39,1,0)</f>
        <v>#N/A</v>
      </c>
      <c r="AA633" t="e">
        <f>VLOOKUP($E633,[1]Sheet1!$E$10:$X$629,AA$9,0)</f>
        <v>#N/A</v>
      </c>
      <c r="AB633" t="e">
        <f>VLOOKUP($E633,[1]Sheet1!$E$10:$X$629,AB$9,0)</f>
        <v>#N/A</v>
      </c>
      <c r="AC633" t="e">
        <f>VLOOKUP($E633,[1]Sheet1!$E$10:$X$629,AC$9,0)</f>
        <v>#N/A</v>
      </c>
      <c r="AD633" t="e">
        <f>VLOOKUP($E633,[1]Sheet1!$E$10:$X$629,AD$9,0)</f>
        <v>#N/A</v>
      </c>
      <c r="AE633" t="e">
        <f>VLOOKUP($E633,[1]Sheet1!$E$10:$X$629,AE$9,0)</f>
        <v>#N/A</v>
      </c>
      <c r="AF633" t="e">
        <f>VLOOKUP($E633,[1]Sheet1!$E$10:$X$629,AF$9,0)</f>
        <v>#N/A</v>
      </c>
      <c r="AG633" t="e">
        <f>VLOOKUP($E633,[1]Sheet1!$E$10:$X$629,AG$9,0)</f>
        <v>#N/A</v>
      </c>
      <c r="AH633" t="e">
        <f>VLOOKUP($E633,[1]Sheet1!$E$10:$X$629,AH$9,0)</f>
        <v>#N/A</v>
      </c>
      <c r="AJ633">
        <f t="shared" si="31"/>
        <v>0</v>
      </c>
      <c r="AK633" t="e">
        <f t="shared" si="32"/>
        <v>#N/A</v>
      </c>
      <c r="AL633">
        <f t="shared" si="33"/>
        <v>0</v>
      </c>
    </row>
    <row r="634" spans="1:46" ht="39.6" x14ac:dyDescent="0.3">
      <c r="A634" s="4" t="s">
        <v>1867</v>
      </c>
      <c r="B634" s="5" t="s">
        <v>1868</v>
      </c>
      <c r="C634" s="21" t="s">
        <v>1869</v>
      </c>
      <c r="D634" s="20"/>
      <c r="E634" s="4">
        <v>1200765</v>
      </c>
      <c r="F634" s="4" t="s">
        <v>44</v>
      </c>
      <c r="G634" s="4" t="s">
        <v>45</v>
      </c>
      <c r="H634" s="4"/>
      <c r="I634" s="4" t="s">
        <v>57</v>
      </c>
      <c r="J634" s="4" t="s">
        <v>47</v>
      </c>
      <c r="K634" s="4">
        <v>10</v>
      </c>
      <c r="L634" s="4">
        <v>20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Z634" t="e">
        <f>VLOOKUP(E634,Sheet2!$A$1:$A$39,1,0)</f>
        <v>#N/A</v>
      </c>
      <c r="AA634" t="e">
        <f>VLOOKUP($E634,[1]Sheet1!$E$10:$X$629,AA$9,0)</f>
        <v>#N/A</v>
      </c>
      <c r="AB634" t="e">
        <f>VLOOKUP($E634,[1]Sheet1!$E$10:$X$629,AB$9,0)</f>
        <v>#N/A</v>
      </c>
      <c r="AC634" t="e">
        <f>VLOOKUP($E634,[1]Sheet1!$E$10:$X$629,AC$9,0)</f>
        <v>#N/A</v>
      </c>
      <c r="AD634" t="e">
        <f>VLOOKUP($E634,[1]Sheet1!$E$10:$X$629,AD$9,0)</f>
        <v>#N/A</v>
      </c>
      <c r="AE634" t="e">
        <f>VLOOKUP($E634,[1]Sheet1!$E$10:$X$629,AE$9,0)</f>
        <v>#N/A</v>
      </c>
      <c r="AF634" t="e">
        <f>VLOOKUP($E634,[1]Sheet1!$E$10:$X$629,AF$9,0)</f>
        <v>#N/A</v>
      </c>
      <c r="AG634" t="e">
        <f>VLOOKUP($E634,[1]Sheet1!$E$10:$X$629,AG$9,0)</f>
        <v>#N/A</v>
      </c>
      <c r="AH634" t="e">
        <f>VLOOKUP($E634,[1]Sheet1!$E$10:$X$629,AH$9,0)</f>
        <v>#N/A</v>
      </c>
      <c r="AJ634">
        <f t="shared" si="31"/>
        <v>0</v>
      </c>
      <c r="AK634" t="e">
        <f t="shared" si="32"/>
        <v>#N/A</v>
      </c>
      <c r="AL634">
        <f t="shared" si="33"/>
        <v>0</v>
      </c>
    </row>
    <row r="635" spans="1:46" ht="39.6" x14ac:dyDescent="0.3">
      <c r="A635" s="4" t="s">
        <v>1870</v>
      </c>
      <c r="B635" s="5" t="s">
        <v>1871</v>
      </c>
      <c r="C635" s="21" t="s">
        <v>1872</v>
      </c>
      <c r="D635" s="20"/>
      <c r="E635" s="4">
        <v>1200767</v>
      </c>
      <c r="F635" s="4" t="s">
        <v>44</v>
      </c>
      <c r="G635" s="4" t="s">
        <v>45</v>
      </c>
      <c r="H635" s="4"/>
      <c r="I635" s="4" t="s">
        <v>57</v>
      </c>
      <c r="J635" s="4" t="s">
        <v>47</v>
      </c>
      <c r="K635" s="4">
        <v>10</v>
      </c>
      <c r="L635" s="4">
        <v>20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Z635" t="e">
        <f>VLOOKUP(E635,Sheet2!$A$1:$A$39,1,0)</f>
        <v>#N/A</v>
      </c>
      <c r="AA635" t="e">
        <f>VLOOKUP($E635,[1]Sheet1!$E$10:$X$629,AA$9,0)</f>
        <v>#N/A</v>
      </c>
      <c r="AB635" t="e">
        <f>VLOOKUP($E635,[1]Sheet1!$E$10:$X$629,AB$9,0)</f>
        <v>#N/A</v>
      </c>
      <c r="AC635" t="e">
        <f>VLOOKUP($E635,[1]Sheet1!$E$10:$X$629,AC$9,0)</f>
        <v>#N/A</v>
      </c>
      <c r="AD635" t="e">
        <f>VLOOKUP($E635,[1]Sheet1!$E$10:$X$629,AD$9,0)</f>
        <v>#N/A</v>
      </c>
      <c r="AE635" t="e">
        <f>VLOOKUP($E635,[1]Sheet1!$E$10:$X$629,AE$9,0)</f>
        <v>#N/A</v>
      </c>
      <c r="AF635" t="e">
        <f>VLOOKUP($E635,[1]Sheet1!$E$10:$X$629,AF$9,0)</f>
        <v>#N/A</v>
      </c>
      <c r="AG635" t="e">
        <f>VLOOKUP($E635,[1]Sheet1!$E$10:$X$629,AG$9,0)</f>
        <v>#N/A</v>
      </c>
      <c r="AH635" t="e">
        <f>VLOOKUP($E635,[1]Sheet1!$E$10:$X$629,AH$9,0)</f>
        <v>#N/A</v>
      </c>
      <c r="AJ635">
        <f t="shared" si="31"/>
        <v>0</v>
      </c>
      <c r="AK635" t="e">
        <f t="shared" si="32"/>
        <v>#N/A</v>
      </c>
      <c r="AL635">
        <f t="shared" si="33"/>
        <v>0</v>
      </c>
    </row>
    <row r="636" spans="1:46" ht="39.6" x14ac:dyDescent="0.3">
      <c r="A636" s="4" t="s">
        <v>1873</v>
      </c>
      <c r="B636" s="5" t="s">
        <v>1874</v>
      </c>
      <c r="C636" s="21" t="s">
        <v>1875</v>
      </c>
      <c r="D636" s="20"/>
      <c r="E636" s="4">
        <v>1201033</v>
      </c>
      <c r="F636" s="4" t="s">
        <v>44</v>
      </c>
      <c r="G636" s="4" t="s">
        <v>45</v>
      </c>
      <c r="H636" s="4"/>
      <c r="I636" s="4" t="s">
        <v>57</v>
      </c>
      <c r="J636" s="4" t="s">
        <v>47</v>
      </c>
      <c r="K636" s="4">
        <v>12.5</v>
      </c>
      <c r="L636" s="4">
        <v>25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Z636" t="e">
        <f>VLOOKUP(E636,Sheet2!$A$1:$A$39,1,0)</f>
        <v>#N/A</v>
      </c>
      <c r="AA636" t="e">
        <f>VLOOKUP($E636,[1]Sheet1!$E$10:$X$629,AA$9,0)</f>
        <v>#N/A</v>
      </c>
      <c r="AB636" t="e">
        <f>VLOOKUP($E636,[1]Sheet1!$E$10:$X$629,AB$9,0)</f>
        <v>#N/A</v>
      </c>
      <c r="AC636" t="e">
        <f>VLOOKUP($E636,[1]Sheet1!$E$10:$X$629,AC$9,0)</f>
        <v>#N/A</v>
      </c>
      <c r="AD636" t="e">
        <f>VLOOKUP($E636,[1]Sheet1!$E$10:$X$629,AD$9,0)</f>
        <v>#N/A</v>
      </c>
      <c r="AE636" t="e">
        <f>VLOOKUP($E636,[1]Sheet1!$E$10:$X$629,AE$9,0)</f>
        <v>#N/A</v>
      </c>
      <c r="AF636" t="e">
        <f>VLOOKUP($E636,[1]Sheet1!$E$10:$X$629,AF$9,0)</f>
        <v>#N/A</v>
      </c>
      <c r="AG636" t="e">
        <f>VLOOKUP($E636,[1]Sheet1!$E$10:$X$629,AG$9,0)</f>
        <v>#N/A</v>
      </c>
      <c r="AH636" t="e">
        <f>VLOOKUP($E636,[1]Sheet1!$E$10:$X$629,AH$9,0)</f>
        <v>#N/A</v>
      </c>
      <c r="AJ636">
        <f t="shared" si="31"/>
        <v>0</v>
      </c>
      <c r="AK636" t="e">
        <f t="shared" si="32"/>
        <v>#N/A</v>
      </c>
      <c r="AL636">
        <f t="shared" si="33"/>
        <v>0</v>
      </c>
    </row>
    <row r="637" spans="1:46" ht="39.6" x14ac:dyDescent="0.3">
      <c r="A637" s="4" t="s">
        <v>1876</v>
      </c>
      <c r="B637" s="5" t="s">
        <v>1877</v>
      </c>
      <c r="C637" s="21" t="s">
        <v>1878</v>
      </c>
      <c r="D637" s="20"/>
      <c r="E637" s="4">
        <v>1201004</v>
      </c>
      <c r="F637" s="4" t="s">
        <v>44</v>
      </c>
      <c r="G637" s="4" t="s">
        <v>45</v>
      </c>
      <c r="H637" s="4"/>
      <c r="I637" s="4" t="s">
        <v>57</v>
      </c>
      <c r="J637" s="4" t="s">
        <v>47</v>
      </c>
      <c r="K637" s="4">
        <v>10</v>
      </c>
      <c r="L637" s="4">
        <v>20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Z637" t="e">
        <f>VLOOKUP(E637,Sheet2!$A$1:$A$39,1,0)</f>
        <v>#N/A</v>
      </c>
      <c r="AA637" t="e">
        <f>VLOOKUP($E637,[1]Sheet1!$E$10:$X$629,AA$9,0)</f>
        <v>#N/A</v>
      </c>
      <c r="AB637" t="e">
        <f>VLOOKUP($E637,[1]Sheet1!$E$10:$X$629,AB$9,0)</f>
        <v>#N/A</v>
      </c>
      <c r="AC637" t="e">
        <f>VLOOKUP($E637,[1]Sheet1!$E$10:$X$629,AC$9,0)</f>
        <v>#N/A</v>
      </c>
      <c r="AD637" t="e">
        <f>VLOOKUP($E637,[1]Sheet1!$E$10:$X$629,AD$9,0)</f>
        <v>#N/A</v>
      </c>
      <c r="AE637" t="e">
        <f>VLOOKUP($E637,[1]Sheet1!$E$10:$X$629,AE$9,0)</f>
        <v>#N/A</v>
      </c>
      <c r="AF637" t="e">
        <f>VLOOKUP($E637,[1]Sheet1!$E$10:$X$629,AF$9,0)</f>
        <v>#N/A</v>
      </c>
      <c r="AG637" t="e">
        <f>VLOOKUP($E637,[1]Sheet1!$E$10:$X$629,AG$9,0)</f>
        <v>#N/A</v>
      </c>
      <c r="AH637" t="e">
        <f>VLOOKUP($E637,[1]Sheet1!$E$10:$X$629,AH$9,0)</f>
        <v>#N/A</v>
      </c>
      <c r="AJ637">
        <f t="shared" si="31"/>
        <v>0</v>
      </c>
      <c r="AK637" t="e">
        <f t="shared" si="32"/>
        <v>#N/A</v>
      </c>
      <c r="AL637">
        <f t="shared" si="33"/>
        <v>0</v>
      </c>
    </row>
    <row r="638" spans="1:46" ht="39.6" x14ac:dyDescent="0.3">
      <c r="A638" s="4" t="s">
        <v>1879</v>
      </c>
      <c r="B638" s="5" t="s">
        <v>1880</v>
      </c>
      <c r="C638" s="21" t="s">
        <v>1881</v>
      </c>
      <c r="D638" s="20"/>
      <c r="E638" s="4">
        <v>1201002</v>
      </c>
      <c r="F638" s="4" t="s">
        <v>44</v>
      </c>
      <c r="G638" s="4" t="s">
        <v>45</v>
      </c>
      <c r="H638" s="4"/>
      <c r="I638" s="4" t="s">
        <v>57</v>
      </c>
      <c r="J638" s="4" t="s">
        <v>47</v>
      </c>
      <c r="K638" s="4">
        <v>10</v>
      </c>
      <c r="L638" s="4">
        <v>20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Z638" t="e">
        <f>VLOOKUP(E638,Sheet2!$A$1:$A$39,1,0)</f>
        <v>#N/A</v>
      </c>
      <c r="AA638" t="e">
        <f>VLOOKUP($E638,[1]Sheet1!$E$10:$X$629,AA$9,0)</f>
        <v>#N/A</v>
      </c>
      <c r="AB638" t="e">
        <f>VLOOKUP($E638,[1]Sheet1!$E$10:$X$629,AB$9,0)</f>
        <v>#N/A</v>
      </c>
      <c r="AC638" t="e">
        <f>VLOOKUP($E638,[1]Sheet1!$E$10:$X$629,AC$9,0)</f>
        <v>#N/A</v>
      </c>
      <c r="AD638" t="e">
        <f>VLOOKUP($E638,[1]Sheet1!$E$10:$X$629,AD$9,0)</f>
        <v>#N/A</v>
      </c>
      <c r="AE638" t="e">
        <f>VLOOKUP($E638,[1]Sheet1!$E$10:$X$629,AE$9,0)</f>
        <v>#N/A</v>
      </c>
      <c r="AF638" t="e">
        <f>VLOOKUP($E638,[1]Sheet1!$E$10:$X$629,AF$9,0)</f>
        <v>#N/A</v>
      </c>
      <c r="AG638" t="e">
        <f>VLOOKUP($E638,[1]Sheet1!$E$10:$X$629,AG$9,0)</f>
        <v>#N/A</v>
      </c>
      <c r="AH638" t="e">
        <f>VLOOKUP($E638,[1]Sheet1!$E$10:$X$629,AH$9,0)</f>
        <v>#N/A</v>
      </c>
      <c r="AJ638">
        <f t="shared" si="31"/>
        <v>0</v>
      </c>
      <c r="AK638" t="e">
        <f t="shared" si="32"/>
        <v>#N/A</v>
      </c>
      <c r="AL638">
        <f t="shared" si="33"/>
        <v>0</v>
      </c>
    </row>
    <row r="639" spans="1:46" ht="39.6" x14ac:dyDescent="0.3">
      <c r="A639" s="4" t="s">
        <v>1882</v>
      </c>
      <c r="B639" s="5" t="s">
        <v>1883</v>
      </c>
      <c r="C639" s="21" t="s">
        <v>1884</v>
      </c>
      <c r="D639" s="20"/>
      <c r="E639" s="4">
        <v>1201003</v>
      </c>
      <c r="F639" s="4" t="s">
        <v>44</v>
      </c>
      <c r="G639" s="4" t="s">
        <v>45</v>
      </c>
      <c r="H639" s="4"/>
      <c r="I639" s="4" t="s">
        <v>57</v>
      </c>
      <c r="J639" s="4" t="s">
        <v>47</v>
      </c>
      <c r="K639" s="4">
        <v>10</v>
      </c>
      <c r="L639" s="4">
        <v>20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Z639" t="e">
        <f>VLOOKUP(E639,Sheet2!$A$1:$A$39,1,0)</f>
        <v>#N/A</v>
      </c>
      <c r="AA639" t="e">
        <f>VLOOKUP($E639,[1]Sheet1!$E$10:$X$629,AA$9,0)</f>
        <v>#N/A</v>
      </c>
      <c r="AB639" t="e">
        <f>VLOOKUP($E639,[1]Sheet1!$E$10:$X$629,AB$9,0)</f>
        <v>#N/A</v>
      </c>
      <c r="AC639" t="e">
        <f>VLOOKUP($E639,[1]Sheet1!$E$10:$X$629,AC$9,0)</f>
        <v>#N/A</v>
      </c>
      <c r="AD639" t="e">
        <f>VLOOKUP($E639,[1]Sheet1!$E$10:$X$629,AD$9,0)</f>
        <v>#N/A</v>
      </c>
      <c r="AE639" t="e">
        <f>VLOOKUP($E639,[1]Sheet1!$E$10:$X$629,AE$9,0)</f>
        <v>#N/A</v>
      </c>
      <c r="AF639" t="e">
        <f>VLOOKUP($E639,[1]Sheet1!$E$10:$X$629,AF$9,0)</f>
        <v>#N/A</v>
      </c>
      <c r="AG639" t="e">
        <f>VLOOKUP($E639,[1]Sheet1!$E$10:$X$629,AG$9,0)</f>
        <v>#N/A</v>
      </c>
      <c r="AH639" t="e">
        <f>VLOOKUP($E639,[1]Sheet1!$E$10:$X$629,AH$9,0)</f>
        <v>#N/A</v>
      </c>
      <c r="AJ639">
        <f t="shared" si="31"/>
        <v>0</v>
      </c>
      <c r="AK639" t="e">
        <f t="shared" si="32"/>
        <v>#N/A</v>
      </c>
      <c r="AL639">
        <f t="shared" si="33"/>
        <v>0</v>
      </c>
    </row>
    <row r="640" spans="1:46" x14ac:dyDescent="0.3">
      <c r="AT640" s="13">
        <f>AR640-AS640</f>
        <v>0</v>
      </c>
    </row>
  </sheetData>
  <autoFilter ref="A8:AL639" xr:uid="{00000000-0001-0000-0000-000000000000}">
    <filterColumn colId="2" showButton="0"/>
  </autoFilter>
  <mergeCells count="637">
    <mergeCell ref="C638:D638"/>
    <mergeCell ref="C639:D639"/>
    <mergeCell ref="C633:D633"/>
    <mergeCell ref="C634:D634"/>
    <mergeCell ref="C635:D635"/>
    <mergeCell ref="C636:D636"/>
    <mergeCell ref="C637:D637"/>
    <mergeCell ref="C628:D628"/>
    <mergeCell ref="C629:D629"/>
    <mergeCell ref="C630:D630"/>
    <mergeCell ref="C631:D631"/>
    <mergeCell ref="C632:D632"/>
    <mergeCell ref="C623:D623"/>
    <mergeCell ref="C624:D624"/>
    <mergeCell ref="C625:D625"/>
    <mergeCell ref="C626:D626"/>
    <mergeCell ref="C627:D627"/>
    <mergeCell ref="C618:D618"/>
    <mergeCell ref="C619:D619"/>
    <mergeCell ref="C620:D620"/>
    <mergeCell ref="C621:D621"/>
    <mergeCell ref="C622:D622"/>
    <mergeCell ref="C613:D613"/>
    <mergeCell ref="C614:D614"/>
    <mergeCell ref="C615:D615"/>
    <mergeCell ref="C616:D616"/>
    <mergeCell ref="C617:D617"/>
    <mergeCell ref="C608:D608"/>
    <mergeCell ref="C609:D609"/>
    <mergeCell ref="C610:D610"/>
    <mergeCell ref="C611:D611"/>
    <mergeCell ref="C612:D612"/>
    <mergeCell ref="C603:D603"/>
    <mergeCell ref="C604:D604"/>
    <mergeCell ref="C605:D605"/>
    <mergeCell ref="C606:D606"/>
    <mergeCell ref="C607:D607"/>
    <mergeCell ref="C598:D598"/>
    <mergeCell ref="C599:D599"/>
    <mergeCell ref="C600:D600"/>
    <mergeCell ref="C601:D601"/>
    <mergeCell ref="C602:D602"/>
    <mergeCell ref="C593:D593"/>
    <mergeCell ref="C594:D594"/>
    <mergeCell ref="C595:D595"/>
    <mergeCell ref="C596:D596"/>
    <mergeCell ref="C597:D597"/>
    <mergeCell ref="C588:D588"/>
    <mergeCell ref="C589:D589"/>
    <mergeCell ref="C590:D590"/>
    <mergeCell ref="C591:D591"/>
    <mergeCell ref="C592:D592"/>
    <mergeCell ref="C583:D583"/>
    <mergeCell ref="C584:D584"/>
    <mergeCell ref="C585:D585"/>
    <mergeCell ref="C586:D586"/>
    <mergeCell ref="C587:D587"/>
    <mergeCell ref="C578:D578"/>
    <mergeCell ref="C579:D579"/>
    <mergeCell ref="C580:D580"/>
    <mergeCell ref="C581:D581"/>
    <mergeCell ref="C582:D582"/>
    <mergeCell ref="C573:D573"/>
    <mergeCell ref="C574:D574"/>
    <mergeCell ref="C575:D575"/>
    <mergeCell ref="C576:D576"/>
    <mergeCell ref="C577:D577"/>
    <mergeCell ref="C568:D568"/>
    <mergeCell ref="C569:D569"/>
    <mergeCell ref="C570:D570"/>
    <mergeCell ref="C571:D571"/>
    <mergeCell ref="C572:D572"/>
    <mergeCell ref="C563:D563"/>
    <mergeCell ref="C564:D564"/>
    <mergeCell ref="C565:D565"/>
    <mergeCell ref="C566:D566"/>
    <mergeCell ref="C567:D567"/>
    <mergeCell ref="C558:D558"/>
    <mergeCell ref="C559:D559"/>
    <mergeCell ref="C560:D560"/>
    <mergeCell ref="C561:D561"/>
    <mergeCell ref="C562:D562"/>
    <mergeCell ref="C553:D553"/>
    <mergeCell ref="C554:D554"/>
    <mergeCell ref="C555:D555"/>
    <mergeCell ref="C556:D556"/>
    <mergeCell ref="C557:D557"/>
    <mergeCell ref="C548:D548"/>
    <mergeCell ref="C549:D549"/>
    <mergeCell ref="C550:D550"/>
    <mergeCell ref="C551:D551"/>
    <mergeCell ref="C552:D552"/>
    <mergeCell ref="C543:D543"/>
    <mergeCell ref="C544:D544"/>
    <mergeCell ref="C545:D545"/>
    <mergeCell ref="C546:D546"/>
    <mergeCell ref="C547:D547"/>
    <mergeCell ref="C538:D538"/>
    <mergeCell ref="C539:D539"/>
    <mergeCell ref="C540:D540"/>
    <mergeCell ref="C541:D541"/>
    <mergeCell ref="C542:D542"/>
    <mergeCell ref="C533:D533"/>
    <mergeCell ref="C534:D534"/>
    <mergeCell ref="C535:D535"/>
    <mergeCell ref="C536:D536"/>
    <mergeCell ref="C537:D537"/>
    <mergeCell ref="C528:D528"/>
    <mergeCell ref="C529:D529"/>
    <mergeCell ref="C530:D530"/>
    <mergeCell ref="C531:D531"/>
    <mergeCell ref="C532:D532"/>
    <mergeCell ref="C523:D523"/>
    <mergeCell ref="C524:D524"/>
    <mergeCell ref="C525:D525"/>
    <mergeCell ref="C526:D526"/>
    <mergeCell ref="C527:D527"/>
    <mergeCell ref="C518:D518"/>
    <mergeCell ref="C519:D519"/>
    <mergeCell ref="C520:D520"/>
    <mergeCell ref="C521:D521"/>
    <mergeCell ref="C522:D522"/>
    <mergeCell ref="C513:D513"/>
    <mergeCell ref="C514:D514"/>
    <mergeCell ref="C515:D515"/>
    <mergeCell ref="C516:D516"/>
    <mergeCell ref="C517:D517"/>
    <mergeCell ref="C508:D508"/>
    <mergeCell ref="C509:D509"/>
    <mergeCell ref="C510:D510"/>
    <mergeCell ref="C511:D511"/>
    <mergeCell ref="C512:D512"/>
    <mergeCell ref="C503:D503"/>
    <mergeCell ref="C504:D504"/>
    <mergeCell ref="C505:D505"/>
    <mergeCell ref="C506:D506"/>
    <mergeCell ref="C507:D507"/>
    <mergeCell ref="C498:D498"/>
    <mergeCell ref="C499:D499"/>
    <mergeCell ref="C500:D500"/>
    <mergeCell ref="C501:D501"/>
    <mergeCell ref="C502:D502"/>
    <mergeCell ref="C493:D493"/>
    <mergeCell ref="C494:D494"/>
    <mergeCell ref="C495:D495"/>
    <mergeCell ref="C496:D496"/>
    <mergeCell ref="C497:D497"/>
    <mergeCell ref="C488:D488"/>
    <mergeCell ref="C489:D489"/>
    <mergeCell ref="C490:D490"/>
    <mergeCell ref="C491:D491"/>
    <mergeCell ref="C492:D492"/>
    <mergeCell ref="C483:D483"/>
    <mergeCell ref="C484:D484"/>
    <mergeCell ref="C485:D485"/>
    <mergeCell ref="C486:D486"/>
    <mergeCell ref="C487:D487"/>
    <mergeCell ref="C478:D478"/>
    <mergeCell ref="C479:D479"/>
    <mergeCell ref="C480:D480"/>
    <mergeCell ref="C481:D481"/>
    <mergeCell ref="C482:D482"/>
    <mergeCell ref="C473:D473"/>
    <mergeCell ref="C474:D474"/>
    <mergeCell ref="C475:D475"/>
    <mergeCell ref="C476:D476"/>
    <mergeCell ref="C477:D477"/>
    <mergeCell ref="C468:D468"/>
    <mergeCell ref="C469:D469"/>
    <mergeCell ref="C470:D470"/>
    <mergeCell ref="C471:D471"/>
    <mergeCell ref="C472:D472"/>
    <mergeCell ref="C463:D463"/>
    <mergeCell ref="C464:D464"/>
    <mergeCell ref="C465:D465"/>
    <mergeCell ref="C466:D466"/>
    <mergeCell ref="C467:D467"/>
    <mergeCell ref="C458:D458"/>
    <mergeCell ref="C459:D459"/>
    <mergeCell ref="C460:D460"/>
    <mergeCell ref="C461:D461"/>
    <mergeCell ref="C462:D462"/>
    <mergeCell ref="C453:D453"/>
    <mergeCell ref="C454:D454"/>
    <mergeCell ref="C455:D455"/>
    <mergeCell ref="C456:D456"/>
    <mergeCell ref="C457:D457"/>
    <mergeCell ref="C448:D448"/>
    <mergeCell ref="C449:D449"/>
    <mergeCell ref="C450:D450"/>
    <mergeCell ref="C451:D451"/>
    <mergeCell ref="C452:D452"/>
    <mergeCell ref="C443:D443"/>
    <mergeCell ref="C444:D444"/>
    <mergeCell ref="C445:D445"/>
    <mergeCell ref="C446:D446"/>
    <mergeCell ref="C447:D447"/>
    <mergeCell ref="C438:D438"/>
    <mergeCell ref="C439:D439"/>
    <mergeCell ref="C440:D440"/>
    <mergeCell ref="C441:D441"/>
    <mergeCell ref="C442:D442"/>
    <mergeCell ref="C433:D433"/>
    <mergeCell ref="C434:D434"/>
    <mergeCell ref="C435:D435"/>
    <mergeCell ref="C436:D436"/>
    <mergeCell ref="C437:D437"/>
    <mergeCell ref="C428:D428"/>
    <mergeCell ref="C429:D429"/>
    <mergeCell ref="C430:D430"/>
    <mergeCell ref="C431:D431"/>
    <mergeCell ref="C432:D432"/>
    <mergeCell ref="C423:D423"/>
    <mergeCell ref="C424:D424"/>
    <mergeCell ref="C425:D425"/>
    <mergeCell ref="C426:D426"/>
    <mergeCell ref="C427:D427"/>
    <mergeCell ref="C418:D418"/>
    <mergeCell ref="C419:D419"/>
    <mergeCell ref="C420:D420"/>
    <mergeCell ref="C421:D421"/>
    <mergeCell ref="C422:D422"/>
    <mergeCell ref="C413:D413"/>
    <mergeCell ref="C414:D414"/>
    <mergeCell ref="C415:D415"/>
    <mergeCell ref="C416:D416"/>
    <mergeCell ref="C417:D417"/>
    <mergeCell ref="C408:D408"/>
    <mergeCell ref="C409:D409"/>
    <mergeCell ref="C410:D410"/>
    <mergeCell ref="C411:D411"/>
    <mergeCell ref="C412:D412"/>
    <mergeCell ref="C403:D403"/>
    <mergeCell ref="C404:D404"/>
    <mergeCell ref="C405:D405"/>
    <mergeCell ref="C406:D406"/>
    <mergeCell ref="C407:D407"/>
    <mergeCell ref="C398:D398"/>
    <mergeCell ref="C399:D399"/>
    <mergeCell ref="C400:D400"/>
    <mergeCell ref="C401:D401"/>
    <mergeCell ref="C402:D402"/>
    <mergeCell ref="C393:D393"/>
    <mergeCell ref="C394:D394"/>
    <mergeCell ref="C395:D395"/>
    <mergeCell ref="C396:D396"/>
    <mergeCell ref="C397:D397"/>
    <mergeCell ref="C388:D388"/>
    <mergeCell ref="C389:D389"/>
    <mergeCell ref="C390:D390"/>
    <mergeCell ref="C391:D391"/>
    <mergeCell ref="C392:D392"/>
    <mergeCell ref="C383:D383"/>
    <mergeCell ref="C384:D384"/>
    <mergeCell ref="C385:D385"/>
    <mergeCell ref="C386:D386"/>
    <mergeCell ref="C387:D387"/>
    <mergeCell ref="C378:D378"/>
    <mergeCell ref="C379:D379"/>
    <mergeCell ref="C380:D380"/>
    <mergeCell ref="C381:D381"/>
    <mergeCell ref="C382:D382"/>
    <mergeCell ref="C373:D373"/>
    <mergeCell ref="C374:D374"/>
    <mergeCell ref="C375:D375"/>
    <mergeCell ref="C376:D376"/>
    <mergeCell ref="C377:D377"/>
    <mergeCell ref="C368:D368"/>
    <mergeCell ref="C369:D369"/>
    <mergeCell ref="C370:D370"/>
    <mergeCell ref="C371:D371"/>
    <mergeCell ref="C372:D372"/>
    <mergeCell ref="C363:D363"/>
    <mergeCell ref="C364:D364"/>
    <mergeCell ref="C365:D365"/>
    <mergeCell ref="C366:D366"/>
    <mergeCell ref="C367:D367"/>
    <mergeCell ref="C358:D358"/>
    <mergeCell ref="C359:D359"/>
    <mergeCell ref="C360:D360"/>
    <mergeCell ref="C361:D361"/>
    <mergeCell ref="C362:D362"/>
    <mergeCell ref="C353:D353"/>
    <mergeCell ref="C354:D354"/>
    <mergeCell ref="C355:D355"/>
    <mergeCell ref="C356:D356"/>
    <mergeCell ref="C357:D357"/>
    <mergeCell ref="C348:D348"/>
    <mergeCell ref="C349:D349"/>
    <mergeCell ref="C350:D350"/>
    <mergeCell ref="C351:D351"/>
    <mergeCell ref="C352:D352"/>
    <mergeCell ref="C343:D343"/>
    <mergeCell ref="C344:D344"/>
    <mergeCell ref="C345:D345"/>
    <mergeCell ref="C346:D346"/>
    <mergeCell ref="C347:D347"/>
    <mergeCell ref="C338:D338"/>
    <mergeCell ref="C339:D339"/>
    <mergeCell ref="C340:D340"/>
    <mergeCell ref="C341:D341"/>
    <mergeCell ref="C342:D342"/>
    <mergeCell ref="C333:D333"/>
    <mergeCell ref="C334:D334"/>
    <mergeCell ref="C335:D335"/>
    <mergeCell ref="C336:D336"/>
    <mergeCell ref="C337:D337"/>
    <mergeCell ref="C328:D328"/>
    <mergeCell ref="C329:D329"/>
    <mergeCell ref="C330:D330"/>
    <mergeCell ref="C331:D331"/>
    <mergeCell ref="C332:D332"/>
    <mergeCell ref="C323:D323"/>
    <mergeCell ref="C324:D324"/>
    <mergeCell ref="C325:D325"/>
    <mergeCell ref="C326:D326"/>
    <mergeCell ref="C327:D327"/>
    <mergeCell ref="C318:D318"/>
    <mergeCell ref="C319:D319"/>
    <mergeCell ref="C320:D320"/>
    <mergeCell ref="C321:D321"/>
    <mergeCell ref="C322:D322"/>
    <mergeCell ref="C313:D313"/>
    <mergeCell ref="C314:D314"/>
    <mergeCell ref="C315:D315"/>
    <mergeCell ref="C316:D316"/>
    <mergeCell ref="C317:D317"/>
    <mergeCell ref="C308:D308"/>
    <mergeCell ref="C309:D309"/>
    <mergeCell ref="C310:D310"/>
    <mergeCell ref="C311:D311"/>
    <mergeCell ref="C312:D312"/>
    <mergeCell ref="C303:D303"/>
    <mergeCell ref="C304:D304"/>
    <mergeCell ref="C305:D305"/>
    <mergeCell ref="C306:D306"/>
    <mergeCell ref="C307:D307"/>
    <mergeCell ref="C298:D298"/>
    <mergeCell ref="C299:D299"/>
    <mergeCell ref="C300:D300"/>
    <mergeCell ref="C301:D301"/>
    <mergeCell ref="C302:D302"/>
    <mergeCell ref="C293:D293"/>
    <mergeCell ref="C294:D294"/>
    <mergeCell ref="C295:D295"/>
    <mergeCell ref="C296:D296"/>
    <mergeCell ref="C297:D297"/>
    <mergeCell ref="C288:D288"/>
    <mergeCell ref="C289:D289"/>
    <mergeCell ref="C290:D290"/>
    <mergeCell ref="C291:D291"/>
    <mergeCell ref="C292:D292"/>
    <mergeCell ref="C283:D283"/>
    <mergeCell ref="C284:D284"/>
    <mergeCell ref="C285:D285"/>
    <mergeCell ref="C286:D286"/>
    <mergeCell ref="C287:D287"/>
    <mergeCell ref="C278:D278"/>
    <mergeCell ref="C279:D279"/>
    <mergeCell ref="C280:D280"/>
    <mergeCell ref="C281:D281"/>
    <mergeCell ref="C282:D282"/>
    <mergeCell ref="C273:D273"/>
    <mergeCell ref="C274:D274"/>
    <mergeCell ref="C275:D275"/>
    <mergeCell ref="C276:D276"/>
    <mergeCell ref="C277:D277"/>
    <mergeCell ref="C268:D268"/>
    <mergeCell ref="C269:D269"/>
    <mergeCell ref="C270:D270"/>
    <mergeCell ref="C271:D271"/>
    <mergeCell ref="C272:D272"/>
    <mergeCell ref="C263:D263"/>
    <mergeCell ref="C264:D264"/>
    <mergeCell ref="C265:D265"/>
    <mergeCell ref="C266:D266"/>
    <mergeCell ref="C267:D267"/>
    <mergeCell ref="C258:D258"/>
    <mergeCell ref="C259:D259"/>
    <mergeCell ref="C260:D260"/>
    <mergeCell ref="C261:D261"/>
    <mergeCell ref="C262:D262"/>
    <mergeCell ref="C253:D253"/>
    <mergeCell ref="C254:D254"/>
    <mergeCell ref="C255:D255"/>
    <mergeCell ref="C256:D256"/>
    <mergeCell ref="C257:D257"/>
    <mergeCell ref="C248:D248"/>
    <mergeCell ref="C249:D249"/>
    <mergeCell ref="C250:D250"/>
    <mergeCell ref="C251:D251"/>
    <mergeCell ref="C252:D252"/>
    <mergeCell ref="C243:D243"/>
    <mergeCell ref="C244:D244"/>
    <mergeCell ref="C245:D245"/>
    <mergeCell ref="C246:D246"/>
    <mergeCell ref="C247:D247"/>
    <mergeCell ref="C238:D238"/>
    <mergeCell ref="C239:D239"/>
    <mergeCell ref="C240:D240"/>
    <mergeCell ref="C241:D241"/>
    <mergeCell ref="C242:D242"/>
    <mergeCell ref="C233:D233"/>
    <mergeCell ref="C234:D234"/>
    <mergeCell ref="C235:D235"/>
    <mergeCell ref="C236:D236"/>
    <mergeCell ref="C237:D237"/>
    <mergeCell ref="C228:D228"/>
    <mergeCell ref="C229:D229"/>
    <mergeCell ref="C230:D230"/>
    <mergeCell ref="C231:D231"/>
    <mergeCell ref="C232:D232"/>
    <mergeCell ref="C223:D223"/>
    <mergeCell ref="C224:D224"/>
    <mergeCell ref="C225:D225"/>
    <mergeCell ref="C226:D226"/>
    <mergeCell ref="C227:D227"/>
    <mergeCell ref="C218:D218"/>
    <mergeCell ref="C219:D219"/>
    <mergeCell ref="C220:D220"/>
    <mergeCell ref="C221:D221"/>
    <mergeCell ref="C222:D222"/>
    <mergeCell ref="C213:D213"/>
    <mergeCell ref="C214:D214"/>
    <mergeCell ref="C215:D215"/>
    <mergeCell ref="C216:D216"/>
    <mergeCell ref="C217:D217"/>
    <mergeCell ref="C208:D208"/>
    <mergeCell ref="C209:D209"/>
    <mergeCell ref="C210:D210"/>
    <mergeCell ref="C211:D211"/>
    <mergeCell ref="C212:D212"/>
    <mergeCell ref="C203:D203"/>
    <mergeCell ref="C204:D204"/>
    <mergeCell ref="C205:D205"/>
    <mergeCell ref="C206:D206"/>
    <mergeCell ref="C207:D207"/>
    <mergeCell ref="C198:D198"/>
    <mergeCell ref="C199:D199"/>
    <mergeCell ref="C200:D200"/>
    <mergeCell ref="C201:D201"/>
    <mergeCell ref="C202:D202"/>
    <mergeCell ref="C193:D193"/>
    <mergeCell ref="C194:D194"/>
    <mergeCell ref="C195:D195"/>
    <mergeCell ref="C196:D196"/>
    <mergeCell ref="C197:D197"/>
    <mergeCell ref="C188:D188"/>
    <mergeCell ref="C189:D189"/>
    <mergeCell ref="C190:D190"/>
    <mergeCell ref="C191:D191"/>
    <mergeCell ref="C192:D192"/>
    <mergeCell ref="C183:D183"/>
    <mergeCell ref="C184:D184"/>
    <mergeCell ref="C185:D185"/>
    <mergeCell ref="C186:D186"/>
    <mergeCell ref="C187:D187"/>
    <mergeCell ref="C178:D178"/>
    <mergeCell ref="C179:D179"/>
    <mergeCell ref="C180:D180"/>
    <mergeCell ref="C181:D181"/>
    <mergeCell ref="C182:D182"/>
    <mergeCell ref="C173:D173"/>
    <mergeCell ref="C174:D174"/>
    <mergeCell ref="C175:D175"/>
    <mergeCell ref="C176:D176"/>
    <mergeCell ref="C177:D177"/>
    <mergeCell ref="C168:D168"/>
    <mergeCell ref="C169:D169"/>
    <mergeCell ref="C170:D170"/>
    <mergeCell ref="C171:D171"/>
    <mergeCell ref="C172:D172"/>
    <mergeCell ref="C163:D163"/>
    <mergeCell ref="C164:D164"/>
    <mergeCell ref="C165:D165"/>
    <mergeCell ref="C166:D166"/>
    <mergeCell ref="C167:D167"/>
    <mergeCell ref="C158:D158"/>
    <mergeCell ref="C159:D159"/>
    <mergeCell ref="C160:D160"/>
    <mergeCell ref="C161:D161"/>
    <mergeCell ref="C162:D162"/>
    <mergeCell ref="C153:D153"/>
    <mergeCell ref="C154:D154"/>
    <mergeCell ref="C155:D155"/>
    <mergeCell ref="C156:D156"/>
    <mergeCell ref="C157:D157"/>
    <mergeCell ref="C148:D148"/>
    <mergeCell ref="C149:D149"/>
    <mergeCell ref="C150:D150"/>
    <mergeCell ref="C151:D151"/>
    <mergeCell ref="C152:D152"/>
    <mergeCell ref="C143:D143"/>
    <mergeCell ref="C144:D144"/>
    <mergeCell ref="C145:D145"/>
    <mergeCell ref="C146:D146"/>
    <mergeCell ref="C147:D147"/>
    <mergeCell ref="C138:D138"/>
    <mergeCell ref="C139:D139"/>
    <mergeCell ref="C140:D140"/>
    <mergeCell ref="C141:D141"/>
    <mergeCell ref="C142:D142"/>
    <mergeCell ref="C133:D133"/>
    <mergeCell ref="C134:D134"/>
    <mergeCell ref="C135:D135"/>
    <mergeCell ref="C136:D136"/>
    <mergeCell ref="C137:D137"/>
    <mergeCell ref="C128:D128"/>
    <mergeCell ref="C129:D129"/>
    <mergeCell ref="C130:D130"/>
    <mergeCell ref="C131:D131"/>
    <mergeCell ref="C132:D132"/>
    <mergeCell ref="C123:D12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3:D83"/>
    <mergeCell ref="C84:D84"/>
    <mergeCell ref="C85:D85"/>
    <mergeCell ref="C86:D86"/>
    <mergeCell ref="C87:D87"/>
    <mergeCell ref="C78:D78"/>
    <mergeCell ref="C79:D79"/>
    <mergeCell ref="C80:D80"/>
    <mergeCell ref="C81:D81"/>
    <mergeCell ref="C82:D82"/>
    <mergeCell ref="C73:D73"/>
    <mergeCell ref="C74:D74"/>
    <mergeCell ref="C75:D75"/>
    <mergeCell ref="C76:D76"/>
    <mergeCell ref="C77:D77"/>
    <mergeCell ref="C68:D68"/>
    <mergeCell ref="C69:D69"/>
    <mergeCell ref="C70:D70"/>
    <mergeCell ref="C71:D71"/>
    <mergeCell ref="C72:D72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5:D35"/>
    <mergeCell ref="C36:D36"/>
    <mergeCell ref="C37:D37"/>
    <mergeCell ref="C28:D28"/>
    <mergeCell ref="C29:D29"/>
    <mergeCell ref="C30:D30"/>
    <mergeCell ref="C31:D31"/>
    <mergeCell ref="C32:D32"/>
    <mergeCell ref="C43:D43"/>
    <mergeCell ref="C26:D26"/>
    <mergeCell ref="C27:D27"/>
    <mergeCell ref="C18:D18"/>
    <mergeCell ref="C19:D19"/>
    <mergeCell ref="C20:D20"/>
    <mergeCell ref="C21:D21"/>
    <mergeCell ref="C22:D22"/>
    <mergeCell ref="C33:D33"/>
    <mergeCell ref="C34:D34"/>
    <mergeCell ref="C17:D17"/>
    <mergeCell ref="C8:D8"/>
    <mergeCell ref="A9:L9"/>
    <mergeCell ref="C10:D10"/>
    <mergeCell ref="C11:D11"/>
    <mergeCell ref="C12:D12"/>
    <mergeCell ref="C23:D23"/>
    <mergeCell ref="C24:D24"/>
    <mergeCell ref="C25:D25"/>
    <mergeCell ref="A1:C1"/>
    <mergeCell ref="A3:C3"/>
    <mergeCell ref="A4:C4"/>
    <mergeCell ref="A5:C5"/>
    <mergeCell ref="A7:L7"/>
    <mergeCell ref="C13:D13"/>
    <mergeCell ref="C14:D14"/>
    <mergeCell ref="C15:D15"/>
    <mergeCell ref="C16:D16"/>
  </mergeCells>
  <pageMargins left="0.5" right="0.5" top="0.5" bottom="0.5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877C-C80D-44D0-B16C-1817E6AB6EA1}">
  <dimension ref="A1:A39"/>
  <sheetViews>
    <sheetView topLeftCell="A9" workbookViewId="0">
      <selection sqref="A1:A39"/>
    </sheetView>
  </sheetViews>
  <sheetFormatPr defaultRowHeight="14.4" x14ac:dyDescent="0.3"/>
  <sheetData>
    <row r="1" spans="1:1" x14ac:dyDescent="0.3">
      <c r="A1" s="11">
        <v>1200777</v>
      </c>
    </row>
    <row r="2" spans="1:1" x14ac:dyDescent="0.3">
      <c r="A2" s="11">
        <v>1200785</v>
      </c>
    </row>
    <row r="3" spans="1:1" x14ac:dyDescent="0.3">
      <c r="A3" s="11">
        <v>1200786</v>
      </c>
    </row>
    <row r="4" spans="1:1" x14ac:dyDescent="0.3">
      <c r="A4" s="11">
        <v>1200742</v>
      </c>
    </row>
    <row r="5" spans="1:1" x14ac:dyDescent="0.3">
      <c r="A5" s="11">
        <v>1200743</v>
      </c>
    </row>
    <row r="6" spans="1:1" x14ac:dyDescent="0.3">
      <c r="A6" s="11">
        <v>1200744</v>
      </c>
    </row>
    <row r="7" spans="1:1" x14ac:dyDescent="0.3">
      <c r="A7" s="11">
        <v>1200745</v>
      </c>
    </row>
    <row r="8" spans="1:1" x14ac:dyDescent="0.3">
      <c r="A8" s="11">
        <v>1200746</v>
      </c>
    </row>
    <row r="9" spans="1:1" x14ac:dyDescent="0.3">
      <c r="A9" s="11">
        <v>1200768</v>
      </c>
    </row>
    <row r="10" spans="1:1" x14ac:dyDescent="0.3">
      <c r="A10" s="11">
        <v>1200769</v>
      </c>
    </row>
    <row r="11" spans="1:1" x14ac:dyDescent="0.3">
      <c r="A11" s="11">
        <v>1200770</v>
      </c>
    </row>
    <row r="12" spans="1:1" x14ac:dyDescent="0.3">
      <c r="A12" s="11">
        <v>1200771</v>
      </c>
    </row>
    <row r="13" spans="1:1" x14ac:dyDescent="0.3">
      <c r="A13" s="11">
        <v>1200772</v>
      </c>
    </row>
    <row r="14" spans="1:1" x14ac:dyDescent="0.3">
      <c r="A14" s="11">
        <v>1200773</v>
      </c>
    </row>
    <row r="15" spans="1:1" x14ac:dyDescent="0.3">
      <c r="A15" s="11">
        <v>1200891</v>
      </c>
    </row>
    <row r="16" spans="1:1" x14ac:dyDescent="0.3">
      <c r="A16" s="11">
        <v>1200794</v>
      </c>
    </row>
    <row r="17" spans="1:1" x14ac:dyDescent="0.3">
      <c r="A17" s="11">
        <v>1200763</v>
      </c>
    </row>
    <row r="18" spans="1:1" x14ac:dyDescent="0.3">
      <c r="A18" s="11">
        <v>1200764</v>
      </c>
    </row>
    <row r="19" spans="1:1" x14ac:dyDescent="0.3">
      <c r="A19" s="11">
        <v>1200841</v>
      </c>
    </row>
    <row r="20" spans="1:1" x14ac:dyDescent="0.3">
      <c r="A20" s="11">
        <v>1200797</v>
      </c>
    </row>
    <row r="21" spans="1:1" x14ac:dyDescent="0.3">
      <c r="A21" s="11">
        <v>1200798</v>
      </c>
    </row>
    <row r="22" spans="1:1" x14ac:dyDescent="0.3">
      <c r="A22" s="11">
        <v>1200799</v>
      </c>
    </row>
    <row r="23" spans="1:1" x14ac:dyDescent="0.3">
      <c r="A23" s="11">
        <v>1200800</v>
      </c>
    </row>
    <row r="24" spans="1:1" x14ac:dyDescent="0.3">
      <c r="A24" s="11">
        <v>1200801</v>
      </c>
    </row>
    <row r="25" spans="1:1" x14ac:dyDescent="0.3">
      <c r="A25" s="11">
        <v>1200802</v>
      </c>
    </row>
    <row r="26" spans="1:1" x14ac:dyDescent="0.3">
      <c r="A26" s="11">
        <v>1200803</v>
      </c>
    </row>
    <row r="27" spans="1:1" x14ac:dyDescent="0.3">
      <c r="A27" s="11">
        <v>1200804</v>
      </c>
    </row>
    <row r="28" spans="1:1" x14ac:dyDescent="0.3">
      <c r="A28" s="11">
        <v>1200805</v>
      </c>
    </row>
    <row r="29" spans="1:1" x14ac:dyDescent="0.3">
      <c r="A29" s="11">
        <v>1200806</v>
      </c>
    </row>
    <row r="30" spans="1:1" x14ac:dyDescent="0.3">
      <c r="A30" s="11">
        <v>1200807</v>
      </c>
    </row>
    <row r="31" spans="1:1" x14ac:dyDescent="0.3">
      <c r="A31" s="11">
        <v>1200808</v>
      </c>
    </row>
    <row r="32" spans="1:1" x14ac:dyDescent="0.3">
      <c r="A32" s="11">
        <v>1200809</v>
      </c>
    </row>
    <row r="33" spans="1:1" x14ac:dyDescent="0.3">
      <c r="A33" s="11">
        <v>1200810</v>
      </c>
    </row>
    <row r="34" spans="1:1" x14ac:dyDescent="0.3">
      <c r="A34" s="11">
        <v>1200897</v>
      </c>
    </row>
    <row r="35" spans="1:1" x14ac:dyDescent="0.3">
      <c r="A35" s="11">
        <v>1200811</v>
      </c>
    </row>
    <row r="36" spans="1:1" x14ac:dyDescent="0.3">
      <c r="A36" s="11">
        <v>1200812</v>
      </c>
    </row>
    <row r="37" spans="1:1" x14ac:dyDescent="0.3">
      <c r="A37" s="11">
        <v>1200813</v>
      </c>
    </row>
    <row r="38" spans="1:1" x14ac:dyDescent="0.3">
      <c r="A38" s="11">
        <v>1200814</v>
      </c>
    </row>
    <row r="39" spans="1:1" x14ac:dyDescent="0.3">
      <c r="A39" s="11">
        <v>1200898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workbookViewId="0"/>
  </sheetViews>
  <sheetFormatPr defaultRowHeight="14.4" x14ac:dyDescent="0.3"/>
  <cols>
    <col min="1" max="1" width="0.109375" customWidth="1"/>
    <col min="2" max="2" width="17" customWidth="1"/>
    <col min="3" max="3" width="21.5546875" customWidth="1"/>
    <col min="4" max="4" width="16.33203125" customWidth="1"/>
    <col min="5" max="5" width="4.5546875" customWidth="1"/>
    <col min="6" max="6" width="11.21875" customWidth="1"/>
    <col min="7" max="7" width="11.44140625" customWidth="1"/>
    <col min="8" max="8" width="7" customWidth="1"/>
    <col min="9" max="9" width="20.5546875" customWidth="1"/>
    <col min="10" max="10" width="23.109375" customWidth="1"/>
    <col min="11" max="11" width="20.44140625" customWidth="1"/>
    <col min="12" max="12" width="11.109375" customWidth="1"/>
    <col min="13" max="13" width="12.77734375" customWidth="1"/>
    <col min="14" max="15" width="19.5546875" customWidth="1"/>
    <col min="16" max="16" width="143.5546875" customWidth="1"/>
  </cols>
  <sheetData>
    <row r="1" spans="1:15" ht="4.5" customHeight="1" x14ac:dyDescent="0.3"/>
    <row r="2" spans="1:15" ht="25.5" customHeight="1" x14ac:dyDescent="0.3">
      <c r="A2" s="14" t="s">
        <v>0</v>
      </c>
      <c r="B2" s="15"/>
      <c r="C2" s="15"/>
      <c r="D2" s="15"/>
      <c r="E2" s="15"/>
    </row>
    <row r="3" spans="1:15" ht="22.05" customHeight="1" x14ac:dyDescent="0.3">
      <c r="A3" s="24" t="s">
        <v>1885</v>
      </c>
      <c r="B3" s="15"/>
      <c r="C3" s="15"/>
      <c r="D3" s="15"/>
      <c r="E3" s="15"/>
    </row>
    <row r="4" spans="1:15" ht="25.5" customHeight="1" x14ac:dyDescent="0.3">
      <c r="A4" s="16" t="s">
        <v>2</v>
      </c>
      <c r="B4" s="15"/>
      <c r="C4" s="15"/>
      <c r="D4" s="15"/>
      <c r="E4" s="15"/>
    </row>
    <row r="5" spans="1:15" ht="19.95" customHeight="1" x14ac:dyDescent="0.3">
      <c r="A5" s="17" t="s">
        <v>3</v>
      </c>
      <c r="B5" s="15"/>
      <c r="C5" s="15"/>
      <c r="D5" s="15"/>
      <c r="E5" s="15"/>
    </row>
    <row r="6" spans="1:15" ht="19.95" customHeight="1" x14ac:dyDescent="0.3"/>
    <row r="7" spans="1:15" ht="85.05" customHeight="1" x14ac:dyDescent="0.3">
      <c r="A7" s="25" t="s">
        <v>1886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5" ht="18.45" customHeight="1" x14ac:dyDescent="0.3"/>
    <row r="9" spans="1:15" x14ac:dyDescent="0.3">
      <c r="B9" s="6" t="s">
        <v>1887</v>
      </c>
      <c r="C9" s="27" t="s">
        <v>1888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ht="24" x14ac:dyDescent="0.3">
      <c r="B10" s="7" t="s">
        <v>1889</v>
      </c>
      <c r="C10" s="8" t="s">
        <v>1890</v>
      </c>
      <c r="D10" s="8" t="s">
        <v>18</v>
      </c>
      <c r="E10" s="28" t="s">
        <v>19</v>
      </c>
      <c r="F10" s="20"/>
      <c r="G10" s="28" t="s">
        <v>20</v>
      </c>
      <c r="H10" s="20"/>
      <c r="I10" s="8" t="s">
        <v>22</v>
      </c>
      <c r="J10" s="8" t="s">
        <v>23</v>
      </c>
      <c r="K10" s="8" t="s">
        <v>24</v>
      </c>
      <c r="L10" s="28" t="s">
        <v>25</v>
      </c>
      <c r="M10" s="20"/>
      <c r="N10" s="8" t="s">
        <v>1891</v>
      </c>
      <c r="O10" s="8" t="s">
        <v>1892</v>
      </c>
    </row>
    <row r="11" spans="1:15" ht="57" x14ac:dyDescent="0.3">
      <c r="B11" s="9" t="s">
        <v>1893</v>
      </c>
      <c r="C11" s="10" t="s">
        <v>1894</v>
      </c>
      <c r="D11" s="10" t="s">
        <v>1895</v>
      </c>
      <c r="E11" s="26" t="s">
        <v>1896</v>
      </c>
      <c r="F11" s="20"/>
      <c r="G11" s="26" t="s">
        <v>1897</v>
      </c>
      <c r="H11" s="20"/>
      <c r="I11" s="10" t="s">
        <v>1898</v>
      </c>
      <c r="J11" s="10" t="s">
        <v>1899</v>
      </c>
      <c r="K11" s="10" t="s">
        <v>1900</v>
      </c>
      <c r="L11" s="26" t="s">
        <v>1901</v>
      </c>
      <c r="M11" s="20"/>
      <c r="N11" s="10" t="s">
        <v>1902</v>
      </c>
      <c r="O11" s="10" t="s">
        <v>1903</v>
      </c>
    </row>
    <row r="12" spans="1:15" ht="79.8" x14ac:dyDescent="0.3">
      <c r="B12" s="9" t="s">
        <v>1904</v>
      </c>
      <c r="C12" s="10" t="s">
        <v>1905</v>
      </c>
      <c r="D12" s="10" t="s">
        <v>1905</v>
      </c>
      <c r="E12" s="26" t="s">
        <v>1905</v>
      </c>
      <c r="F12" s="20"/>
      <c r="G12" s="26" t="s">
        <v>1905</v>
      </c>
      <c r="H12" s="20"/>
      <c r="I12" s="10" t="s">
        <v>1905</v>
      </c>
      <c r="J12" s="10" t="s">
        <v>1906</v>
      </c>
      <c r="K12" s="10" t="s">
        <v>1907</v>
      </c>
      <c r="L12" s="26" t="s">
        <v>1908</v>
      </c>
      <c r="M12" s="20"/>
      <c r="N12" s="10" t="s">
        <v>1905</v>
      </c>
      <c r="O12" s="10" t="s">
        <v>1905</v>
      </c>
    </row>
    <row r="13" spans="1:15" ht="92.55" customHeight="1" x14ac:dyDescent="0.3"/>
  </sheetData>
  <mergeCells count="15">
    <mergeCell ref="E12:F12"/>
    <mergeCell ref="G12:H12"/>
    <mergeCell ref="L12:M12"/>
    <mergeCell ref="C9:O9"/>
    <mergeCell ref="E10:F10"/>
    <mergeCell ref="G10:H10"/>
    <mergeCell ref="L10:M10"/>
    <mergeCell ref="E11:F11"/>
    <mergeCell ref="G11:H11"/>
    <mergeCell ref="L11:M11"/>
    <mergeCell ref="A2:E2"/>
    <mergeCell ref="A3:E3"/>
    <mergeCell ref="A4:E4"/>
    <mergeCell ref="A5:E5"/>
    <mergeCell ref="A7:L7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6A8961-FDA6-4974-909B-58B7AE42F45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A89A5C0-113F-4616-BD42-10A031DC11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359066-8245-4DB7-973C-10C261384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7f8174d-51f2-482a-bb18-14d2a74042f9"/>
    <ds:schemaRef ds:uri="a57b84a3-7f36-48ab-ab00-cf11bd590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Definitions_and_Disclaimer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Ali Khan</cp:lastModifiedBy>
  <dcterms:modified xsi:type="dcterms:W3CDTF">2026-04-24T09:22:09Z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